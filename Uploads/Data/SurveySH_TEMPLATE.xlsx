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Levine\Documents\GitHub\SQL-Database-Corrections\Uploads\Data\"/>
    </mc:Choice>
  </mc:AlternateContent>
  <xr:revisionPtr revIDLastSave="0" documentId="13_ncr:1_{950048B4-0E1A-4EBB-9D44-AC9E6B8DA633}" xr6:coauthVersionLast="47" xr6:coauthVersionMax="47" xr10:uidLastSave="{00000000-0000-0000-0000-000000000000}"/>
  <bookViews>
    <workbookView xWindow="-120" yWindow="-120" windowWidth="29040" windowHeight="15720" xr2:uid="{2108D022-863A-4DDA-9361-349A7F55884E}"/>
  </bookViews>
  <sheets>
    <sheet name="Instructions" sheetId="2" r:id="rId1"/>
    <sheet name="Template" sheetId="1" r:id="rId2"/>
    <sheet name="Fixed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2" i="1"/>
  <c r="B3" i="1" a="1"/>
  <c r="B4" i="1" a="1"/>
  <c r="B5" i="1" a="1"/>
  <c r="B6" i="1" a="1"/>
  <c r="B7" i="1" a="1"/>
  <c r="B8" i="1" a="1"/>
  <c r="B9" i="1" a="1"/>
  <c r="B10" i="1" a="1"/>
  <c r="B11" i="1" a="1"/>
  <c r="B12" i="1" a="1"/>
  <c r="B13" i="1" a="1"/>
  <c r="B14" i="1" a="1"/>
  <c r="B15" i="1" a="1"/>
  <c r="B16" i="1" a="1"/>
  <c r="B17" i="1" a="1"/>
  <c r="B18" i="1" a="1"/>
  <c r="B19" i="1" a="1"/>
  <c r="B20" i="1" a="1"/>
  <c r="B21" i="1" a="1"/>
  <c r="B22" i="1" a="1"/>
  <c r="B23" i="1" a="1"/>
  <c r="B24" i="1" a="1"/>
  <c r="B25" i="1" a="1"/>
  <c r="B26" i="1" a="1"/>
  <c r="B27" i="1" a="1"/>
  <c r="B28" i="1" a="1"/>
  <c r="B29" i="1" a="1"/>
  <c r="B30" i="1" a="1"/>
  <c r="B31" i="1" a="1"/>
  <c r="B32" i="1" a="1"/>
  <c r="B33" i="1" a="1"/>
  <c r="B34" i="1" a="1"/>
  <c r="B35" i="1" a="1"/>
  <c r="B36" i="1" a="1"/>
  <c r="B37" i="1" a="1"/>
  <c r="B38" i="1" a="1"/>
  <c r="B39" i="1" a="1"/>
  <c r="B40" i="1" a="1"/>
  <c r="B41" i="1" a="1"/>
  <c r="B42" i="1" a="1"/>
  <c r="B43" i="1" a="1"/>
  <c r="B44" i="1" a="1"/>
  <c r="B45" i="1" a="1"/>
  <c r="B46" i="1" a="1"/>
  <c r="B47" i="1" a="1"/>
  <c r="B48" i="1" a="1"/>
  <c r="B49" i="1" a="1"/>
  <c r="B50" i="1" a="1"/>
  <c r="B51" i="1" a="1"/>
  <c r="B52" i="1" a="1"/>
  <c r="B53" i="1" a="1"/>
  <c r="B54" i="1" a="1"/>
  <c r="B55" i="1" a="1"/>
  <c r="B56" i="1" a="1"/>
  <c r="B57" i="1" a="1"/>
  <c r="B58" i="1" a="1"/>
  <c r="B59" i="1" a="1"/>
  <c r="B60" i="1" a="1"/>
  <c r="B61" i="1" a="1"/>
  <c r="B62" i="1" a="1"/>
  <c r="B63" i="1" a="1"/>
  <c r="B64" i="1" a="1"/>
  <c r="B65" i="1" a="1"/>
  <c r="B66" i="1" a="1"/>
  <c r="B67" i="1" a="1"/>
  <c r="B68" i="1" a="1"/>
  <c r="B69" i="1" a="1"/>
  <c r="B70" i="1" a="1"/>
  <c r="B71" i="1" a="1"/>
  <c r="B72" i="1" a="1"/>
  <c r="B73" i="1" a="1"/>
  <c r="B74" i="1" a="1"/>
  <c r="B75" i="1" a="1"/>
  <c r="B76" i="1" a="1"/>
  <c r="B77" i="1" a="1"/>
  <c r="B78" i="1" a="1"/>
  <c r="B79" i="1" a="1"/>
  <c r="B80" i="1" a="1"/>
  <c r="B81" i="1" a="1"/>
  <c r="B82" i="1" a="1"/>
  <c r="B83" i="1" a="1"/>
  <c r="B84" i="1" a="1"/>
  <c r="B85" i="1" a="1"/>
  <c r="B86" i="1" a="1"/>
  <c r="B87" i="1" a="1"/>
  <c r="B88" i="1" a="1"/>
  <c r="B89" i="1" a="1"/>
  <c r="B90" i="1" a="1"/>
  <c r="B91" i="1" a="1"/>
  <c r="B92" i="1" a="1"/>
  <c r="B93" i="1" a="1"/>
  <c r="B94" i="1" a="1"/>
  <c r="B95" i="1" a="1"/>
  <c r="B96" i="1" a="1"/>
  <c r="B97" i="1" a="1"/>
  <c r="B98" i="1" a="1"/>
  <c r="B99" i="1" a="1"/>
  <c r="B100" i="1" a="1"/>
  <c r="B101" i="1" a="1"/>
  <c r="B102" i="1" a="1"/>
  <c r="B103" i="1" a="1"/>
  <c r="B104" i="1" a="1"/>
  <c r="B105" i="1" a="1"/>
  <c r="B106" i="1" a="1"/>
  <c r="B107" i="1" a="1"/>
  <c r="B108" i="1" a="1"/>
  <c r="B109" i="1" a="1"/>
  <c r="B110" i="1" a="1"/>
  <c r="B111" i="1" a="1"/>
  <c r="B112" i="1" a="1"/>
  <c r="B113" i="1" a="1"/>
  <c r="B114" i="1" a="1"/>
  <c r="B115" i="1" a="1"/>
  <c r="B116" i="1" a="1"/>
  <c r="B117" i="1" a="1"/>
  <c r="B118" i="1" a="1"/>
  <c r="B119" i="1" a="1"/>
  <c r="B120" i="1" a="1"/>
  <c r="B121" i="1" a="1"/>
  <c r="B122" i="1" a="1"/>
  <c r="B123" i="1" a="1"/>
  <c r="B124" i="1" a="1"/>
  <c r="B125" i="1" a="1"/>
  <c r="B126" i="1" a="1"/>
  <c r="B127" i="1" a="1"/>
  <c r="B128" i="1" a="1"/>
  <c r="B129" i="1" a="1"/>
  <c r="B130" i="1" a="1"/>
  <c r="B131" i="1" a="1"/>
  <c r="B132" i="1" a="1"/>
  <c r="B133" i="1" a="1"/>
  <c r="B134" i="1" a="1"/>
  <c r="B135" i="1" a="1"/>
  <c r="B136" i="1" a="1"/>
  <c r="B137" i="1" a="1"/>
  <c r="B138" i="1" a="1"/>
  <c r="B139" i="1" a="1"/>
  <c r="B140" i="1" a="1"/>
  <c r="B141" i="1" a="1"/>
  <c r="B142" i="1" a="1"/>
  <c r="B143" i="1" a="1"/>
  <c r="B144" i="1" a="1"/>
  <c r="B145" i="1" a="1"/>
  <c r="B146" i="1" a="1"/>
  <c r="B147" i="1" a="1"/>
  <c r="B148" i="1" a="1"/>
  <c r="B149" i="1" a="1"/>
  <c r="B150" i="1" a="1"/>
  <c r="B151" i="1" a="1"/>
  <c r="B152" i="1" a="1"/>
  <c r="B153" i="1" a="1"/>
  <c r="B154" i="1" a="1"/>
  <c r="B155" i="1" a="1"/>
  <c r="B156" i="1" a="1"/>
  <c r="B157" i="1" a="1"/>
  <c r="B158" i="1" a="1"/>
  <c r="B159" i="1" a="1"/>
  <c r="B160" i="1" a="1"/>
  <c r="B161" i="1" a="1"/>
  <c r="B162" i="1" a="1"/>
  <c r="B163" i="1" a="1"/>
  <c r="B164" i="1" a="1"/>
  <c r="B165" i="1" a="1"/>
  <c r="B166" i="1" a="1"/>
  <c r="B167" i="1" a="1"/>
  <c r="B168" i="1" a="1"/>
  <c r="B169" i="1" a="1"/>
  <c r="B170" i="1" a="1"/>
  <c r="B171" i="1" a="1"/>
  <c r="B172" i="1" a="1"/>
  <c r="B173" i="1" a="1"/>
  <c r="B174" i="1" a="1"/>
  <c r="B175" i="1" a="1"/>
  <c r="B176" i="1" a="1"/>
  <c r="B177" i="1" a="1"/>
  <c r="B178" i="1" a="1"/>
  <c r="B179" i="1" a="1"/>
  <c r="B180" i="1" a="1"/>
  <c r="B181" i="1" a="1"/>
  <c r="B182" i="1" a="1"/>
  <c r="B183" i="1" a="1"/>
  <c r="B184" i="1" a="1"/>
  <c r="B185" i="1" a="1"/>
  <c r="B186" i="1" a="1"/>
  <c r="B187" i="1" a="1"/>
  <c r="B188" i="1" a="1"/>
  <c r="B189" i="1" a="1"/>
  <c r="B190" i="1" a="1"/>
  <c r="B191" i="1" a="1"/>
  <c r="B192" i="1" a="1"/>
  <c r="B193" i="1" a="1"/>
  <c r="B194" i="1" a="1"/>
  <c r="B195" i="1" a="1"/>
  <c r="B196" i="1" a="1"/>
  <c r="B197" i="1" a="1"/>
  <c r="B198" i="1" a="1"/>
  <c r="B199" i="1" a="1"/>
  <c r="B200" i="1" a="1"/>
  <c r="B201" i="1" a="1"/>
  <c r="B202" i="1" a="1"/>
  <c r="B203" i="1" a="1"/>
  <c r="B204" i="1" a="1"/>
  <c r="B205" i="1" a="1"/>
  <c r="B206" i="1" a="1"/>
  <c r="B207" i="1" a="1"/>
  <c r="B208" i="1" a="1"/>
  <c r="B209" i="1" a="1"/>
  <c r="B210" i="1" a="1"/>
  <c r="B211" i="1" a="1"/>
  <c r="B212" i="1" a="1"/>
  <c r="B213" i="1" a="1"/>
  <c r="B214" i="1" a="1"/>
  <c r="B215" i="1" a="1"/>
  <c r="B216" i="1" a="1"/>
  <c r="B217" i="1" a="1"/>
  <c r="B218" i="1" a="1"/>
  <c r="B219" i="1" a="1"/>
  <c r="B220" i="1" a="1"/>
  <c r="B221" i="1" a="1"/>
  <c r="B222" i="1" a="1"/>
  <c r="B223" i="1" a="1"/>
  <c r="B224" i="1" a="1"/>
  <c r="B225" i="1" a="1"/>
  <c r="B226" i="1" a="1"/>
  <c r="B227" i="1" a="1"/>
  <c r="B228" i="1" a="1"/>
  <c r="B229" i="1" a="1"/>
  <c r="B230" i="1" a="1"/>
  <c r="B231" i="1" a="1"/>
  <c r="B232" i="1" a="1"/>
  <c r="B233" i="1" a="1"/>
  <c r="B234" i="1" a="1"/>
  <c r="B235" i="1" a="1"/>
  <c r="B236" i="1" a="1"/>
  <c r="B237" i="1" a="1"/>
  <c r="B238" i="1" a="1"/>
  <c r="B239" i="1" a="1"/>
  <c r="B240" i="1" a="1"/>
  <c r="B241" i="1" a="1"/>
  <c r="B242" i="1" a="1"/>
  <c r="B243" i="1" a="1"/>
  <c r="B244" i="1" a="1"/>
  <c r="B245" i="1" a="1"/>
  <c r="B246" i="1" a="1"/>
  <c r="B247" i="1" a="1"/>
  <c r="B248" i="1" a="1"/>
  <c r="B249" i="1" a="1"/>
  <c r="B250" i="1" a="1"/>
  <c r="B251" i="1" a="1"/>
  <c r="B252" i="1" a="1"/>
  <c r="B253" i="1" a="1"/>
  <c r="B254" i="1" a="1"/>
  <c r="B255" i="1" a="1"/>
  <c r="B256" i="1" a="1"/>
  <c r="B257" i="1" a="1"/>
  <c r="B258" i="1" a="1"/>
  <c r="B259" i="1" a="1"/>
  <c r="B260" i="1" a="1"/>
  <c r="B261" i="1" a="1"/>
  <c r="B262" i="1" a="1"/>
  <c r="B263" i="1" a="1"/>
  <c r="B264" i="1" a="1"/>
  <c r="B265" i="1" a="1"/>
  <c r="B266" i="1" a="1"/>
  <c r="B267" i="1" a="1"/>
  <c r="B268" i="1" a="1"/>
  <c r="B269" i="1" a="1"/>
  <c r="B270" i="1" a="1"/>
  <c r="B271" i="1" a="1"/>
  <c r="B272" i="1" a="1"/>
  <c r="B273" i="1" a="1"/>
  <c r="B274" i="1" a="1"/>
  <c r="B275" i="1" a="1"/>
  <c r="B276" i="1" a="1"/>
  <c r="B277" i="1" a="1"/>
  <c r="B278" i="1" a="1"/>
  <c r="B279" i="1" a="1"/>
  <c r="B280" i="1" a="1"/>
  <c r="B281" i="1" a="1"/>
  <c r="B282" i="1" a="1"/>
  <c r="B283" i="1" a="1"/>
  <c r="B284" i="1" a="1"/>
  <c r="B285" i="1" a="1"/>
  <c r="B286" i="1" a="1"/>
  <c r="B287" i="1" a="1"/>
  <c r="B288" i="1" a="1"/>
  <c r="B289" i="1" a="1"/>
  <c r="B290" i="1" a="1"/>
  <c r="B291" i="1" a="1"/>
  <c r="B292" i="1" a="1"/>
  <c r="B293" i="1" a="1"/>
  <c r="B294" i="1" a="1"/>
  <c r="B295" i="1" a="1"/>
  <c r="B296" i="1" a="1"/>
  <c r="B297" i="1" a="1"/>
  <c r="B298" i="1" a="1"/>
  <c r="B299" i="1" a="1"/>
  <c r="B300" i="1" a="1"/>
  <c r="B301" i="1" a="1"/>
  <c r="B302" i="1" a="1"/>
  <c r="B303" i="1" a="1"/>
  <c r="B304" i="1" a="1"/>
  <c r="B305" i="1" a="1"/>
  <c r="B306" i="1" a="1"/>
  <c r="B307" i="1" a="1"/>
  <c r="B308" i="1" a="1"/>
  <c r="B309" i="1" a="1"/>
  <c r="B310" i="1" a="1"/>
  <c r="B311" i="1" a="1"/>
  <c r="B312" i="1" a="1"/>
  <c r="B313" i="1" a="1"/>
  <c r="B314" i="1" a="1"/>
  <c r="B315" i="1" a="1"/>
  <c r="B316" i="1" a="1"/>
  <c r="B317" i="1" a="1"/>
  <c r="B318" i="1" a="1"/>
  <c r="B319" i="1" a="1"/>
  <c r="B320" i="1" a="1"/>
  <c r="B321" i="1" a="1"/>
  <c r="B322" i="1" a="1"/>
  <c r="B323" i="1" a="1"/>
  <c r="B324" i="1" a="1"/>
  <c r="B325" i="1" a="1"/>
  <c r="B326" i="1" a="1"/>
  <c r="B327" i="1" a="1"/>
  <c r="B328" i="1" a="1"/>
  <c r="B329" i="1" a="1"/>
  <c r="B330" i="1" a="1"/>
  <c r="B331" i="1" a="1"/>
  <c r="B332" i="1" a="1"/>
  <c r="B333" i="1" a="1"/>
  <c r="B334" i="1" a="1"/>
  <c r="B335" i="1" a="1"/>
  <c r="B336" i="1" a="1"/>
  <c r="B337" i="1" a="1"/>
  <c r="B338" i="1" a="1"/>
  <c r="B339" i="1" a="1"/>
  <c r="B340" i="1" a="1"/>
  <c r="B341" i="1" a="1"/>
  <c r="B342" i="1" a="1"/>
  <c r="B343" i="1" a="1"/>
  <c r="B344" i="1" a="1"/>
  <c r="B345" i="1" a="1"/>
  <c r="B346" i="1" a="1"/>
  <c r="B347" i="1" a="1"/>
  <c r="B348" i="1" a="1"/>
  <c r="B349" i="1" a="1"/>
  <c r="B350" i="1" a="1"/>
  <c r="B351" i="1" a="1"/>
  <c r="B352" i="1" a="1"/>
  <c r="B353" i="1" a="1"/>
  <c r="B354" i="1" a="1"/>
  <c r="B355" i="1" a="1"/>
  <c r="B356" i="1" a="1"/>
  <c r="B357" i="1" a="1"/>
  <c r="B358" i="1" a="1"/>
  <c r="B359" i="1" a="1"/>
  <c r="B360" i="1" a="1"/>
  <c r="B361" i="1" a="1"/>
  <c r="B362" i="1" a="1"/>
  <c r="B363" i="1" a="1"/>
  <c r="B364" i="1" a="1"/>
  <c r="B365" i="1" a="1"/>
  <c r="B366" i="1" a="1"/>
  <c r="B367" i="1" a="1"/>
  <c r="B368" i="1" a="1"/>
  <c r="B369" i="1" a="1"/>
  <c r="B370" i="1" a="1"/>
  <c r="B371" i="1" a="1"/>
  <c r="B372" i="1" a="1"/>
  <c r="B373" i="1" a="1"/>
  <c r="B374" i="1" a="1"/>
  <c r="B375" i="1" a="1"/>
  <c r="B376" i="1" a="1"/>
  <c r="B377" i="1" a="1"/>
  <c r="B378" i="1" a="1"/>
  <c r="B379" i="1" a="1"/>
  <c r="B380" i="1" a="1"/>
  <c r="B381" i="1" a="1"/>
  <c r="B382" i="1" a="1"/>
  <c r="B383" i="1" a="1"/>
  <c r="B384" i="1" a="1"/>
  <c r="B385" i="1" a="1"/>
  <c r="B386" i="1" a="1"/>
  <c r="B387" i="1" a="1"/>
  <c r="B388" i="1" a="1"/>
  <c r="B389" i="1" a="1"/>
  <c r="B390" i="1" a="1"/>
  <c r="B391" i="1" a="1"/>
  <c r="B392" i="1" a="1"/>
  <c r="B393" i="1" a="1"/>
  <c r="B394" i="1" a="1"/>
  <c r="B395" i="1" a="1"/>
  <c r="B396" i="1" a="1"/>
  <c r="B397" i="1" a="1"/>
  <c r="B398" i="1" a="1"/>
  <c r="B399" i="1" a="1"/>
  <c r="B400" i="1" a="1"/>
  <c r="B401" i="1" a="1"/>
  <c r="B402" i="1" a="1"/>
  <c r="B403" i="1" a="1"/>
  <c r="B404" i="1" a="1"/>
  <c r="B405" i="1" a="1"/>
  <c r="B406" i="1" a="1"/>
  <c r="B407" i="1" a="1"/>
  <c r="B408" i="1" a="1"/>
  <c r="B409" i="1" a="1"/>
  <c r="B410" i="1" a="1"/>
  <c r="B411" i="1" a="1"/>
  <c r="B412" i="1" a="1"/>
  <c r="B413" i="1" a="1"/>
  <c r="B414" i="1" a="1"/>
  <c r="B415" i="1" a="1"/>
  <c r="B416" i="1" a="1"/>
  <c r="B417" i="1" a="1"/>
  <c r="B418" i="1" a="1"/>
  <c r="B419" i="1" a="1"/>
  <c r="B420" i="1" a="1"/>
  <c r="B421" i="1" a="1"/>
  <c r="B422" i="1" a="1"/>
  <c r="B423" i="1" a="1"/>
  <c r="B424" i="1" a="1"/>
  <c r="B425" i="1" a="1"/>
  <c r="B426" i="1" a="1"/>
  <c r="B427" i="1" a="1"/>
  <c r="B428" i="1" a="1"/>
  <c r="B429" i="1" a="1"/>
  <c r="B430" i="1" a="1"/>
  <c r="B431" i="1" a="1"/>
  <c r="B432" i="1" a="1"/>
  <c r="B433" i="1" a="1"/>
  <c r="B434" i="1" a="1"/>
  <c r="B435" i="1" a="1"/>
  <c r="B436" i="1" a="1"/>
  <c r="B437" i="1" a="1"/>
  <c r="B438" i="1" a="1"/>
  <c r="B439" i="1" a="1"/>
  <c r="B440" i="1" a="1"/>
  <c r="B441" i="1" a="1"/>
  <c r="B442" i="1" a="1"/>
  <c r="B443" i="1" a="1"/>
  <c r="B444" i="1" a="1"/>
  <c r="B445" i="1" a="1"/>
  <c r="B446" i="1" a="1"/>
  <c r="B447" i="1" a="1"/>
  <c r="B448" i="1" a="1"/>
  <c r="B449" i="1" a="1"/>
  <c r="B450" i="1" a="1"/>
  <c r="B451" i="1" a="1"/>
  <c r="B452" i="1" a="1"/>
  <c r="B453" i="1" a="1"/>
  <c r="B454" i="1" a="1"/>
  <c r="B455" i="1" a="1"/>
  <c r="B456" i="1" a="1"/>
  <c r="B457" i="1" a="1"/>
  <c r="B458" i="1" a="1"/>
  <c r="B459" i="1" a="1"/>
  <c r="B460" i="1" a="1"/>
  <c r="B461" i="1" a="1"/>
  <c r="B462" i="1" a="1"/>
  <c r="B463" i="1" a="1"/>
  <c r="B464" i="1" a="1"/>
  <c r="B465" i="1" a="1"/>
  <c r="B466" i="1" a="1"/>
  <c r="B467" i="1" a="1"/>
  <c r="B468" i="1" a="1"/>
  <c r="B469" i="1" a="1"/>
  <c r="B470" i="1" a="1"/>
  <c r="B471" i="1" a="1"/>
  <c r="B472" i="1" a="1"/>
  <c r="B473" i="1" a="1"/>
  <c r="B474" i="1" a="1"/>
  <c r="B475" i="1" a="1"/>
  <c r="B476" i="1" a="1"/>
  <c r="B477" i="1" a="1"/>
  <c r="B478" i="1" a="1"/>
  <c r="B479" i="1" a="1"/>
  <c r="B480" i="1" a="1"/>
  <c r="B481" i="1" a="1"/>
  <c r="B482" i="1" a="1"/>
  <c r="B483" i="1" a="1"/>
  <c r="B484" i="1" a="1"/>
  <c r="B485" i="1" a="1"/>
  <c r="B486" i="1" a="1"/>
  <c r="B487" i="1" a="1"/>
  <c r="B488" i="1" a="1"/>
  <c r="B489" i="1" a="1"/>
  <c r="B490" i="1" a="1"/>
  <c r="B491" i="1" a="1"/>
  <c r="B492" i="1" a="1"/>
  <c r="B493" i="1" a="1"/>
  <c r="B494" i="1" a="1"/>
  <c r="B495" i="1" a="1"/>
  <c r="B496" i="1" a="1"/>
  <c r="B497" i="1" a="1"/>
  <c r="B498" i="1" a="1"/>
  <c r="B499" i="1" a="1"/>
  <c r="B500" i="1" a="1"/>
  <c r="B501" i="1" a="1"/>
  <c r="B502" i="1" a="1"/>
  <c r="B503" i="1" a="1"/>
  <c r="B504" i="1" a="1"/>
  <c r="B505" i="1" a="1"/>
  <c r="B506" i="1" a="1"/>
  <c r="B507" i="1" a="1"/>
  <c r="B508" i="1" a="1"/>
  <c r="B509" i="1" a="1"/>
  <c r="B510" i="1" a="1"/>
  <c r="B511" i="1" a="1"/>
  <c r="B512" i="1" a="1"/>
  <c r="B513" i="1" a="1"/>
  <c r="B514" i="1" a="1"/>
  <c r="B515" i="1" a="1"/>
  <c r="B516" i="1" a="1"/>
  <c r="B517" i="1" a="1"/>
  <c r="B518" i="1" a="1"/>
  <c r="B519" i="1" a="1"/>
  <c r="B520" i="1" a="1"/>
  <c r="B521" i="1" a="1"/>
  <c r="B522" i="1" a="1"/>
  <c r="B523" i="1" a="1"/>
  <c r="B524" i="1" a="1"/>
  <c r="B525" i="1" a="1"/>
  <c r="B526" i="1" a="1"/>
  <c r="B527" i="1" a="1"/>
  <c r="B528" i="1" a="1"/>
  <c r="B529" i="1" a="1"/>
  <c r="B530" i="1" a="1"/>
  <c r="B531" i="1" a="1"/>
  <c r="B532" i="1" a="1"/>
  <c r="B533" i="1" a="1"/>
  <c r="B534" i="1" a="1"/>
  <c r="B535" i="1" a="1"/>
  <c r="B536" i="1" a="1"/>
  <c r="B537" i="1" a="1"/>
  <c r="B538" i="1" a="1"/>
  <c r="B539" i="1" a="1"/>
  <c r="B540" i="1" a="1"/>
  <c r="B541" i="1" a="1"/>
  <c r="B542" i="1" a="1"/>
  <c r="B543" i="1" a="1"/>
  <c r="B544" i="1" a="1"/>
  <c r="B545" i="1" a="1"/>
  <c r="B546" i="1" a="1"/>
  <c r="B547" i="1" a="1"/>
  <c r="B548" i="1" a="1"/>
  <c r="B549" i="1" a="1"/>
  <c r="B550" i="1" a="1"/>
  <c r="B551" i="1" a="1"/>
  <c r="B552" i="1" a="1"/>
  <c r="B553" i="1" a="1"/>
  <c r="B554" i="1" a="1"/>
  <c r="B555" i="1" a="1"/>
  <c r="B556" i="1" a="1"/>
  <c r="B557" i="1" a="1"/>
  <c r="B558" i="1" a="1"/>
  <c r="B559" i="1" a="1"/>
  <c r="B560" i="1" a="1"/>
  <c r="B561" i="1" a="1"/>
  <c r="B562" i="1" a="1"/>
  <c r="B563" i="1" a="1"/>
  <c r="B564" i="1" a="1"/>
  <c r="B565" i="1" a="1"/>
  <c r="B566" i="1" a="1"/>
  <c r="B567" i="1" a="1"/>
  <c r="B568" i="1" a="1"/>
  <c r="B569" i="1" a="1"/>
  <c r="B570" i="1" a="1"/>
  <c r="B571" i="1" a="1"/>
  <c r="B572" i="1" a="1"/>
  <c r="B573" i="1" a="1"/>
  <c r="B574" i="1" a="1"/>
  <c r="B575" i="1" a="1"/>
  <c r="B576" i="1" a="1"/>
  <c r="B577" i="1" a="1"/>
  <c r="B578" i="1" a="1"/>
  <c r="B579" i="1" a="1"/>
  <c r="B580" i="1" a="1"/>
  <c r="B581" i="1" a="1"/>
  <c r="B582" i="1" a="1"/>
  <c r="B583" i="1" a="1"/>
  <c r="B584" i="1" a="1"/>
  <c r="B585" i="1" a="1"/>
  <c r="B586" i="1" a="1"/>
  <c r="B587" i="1" a="1"/>
  <c r="B588" i="1" a="1"/>
  <c r="B589" i="1" a="1"/>
  <c r="B590" i="1" a="1"/>
  <c r="B591" i="1" a="1"/>
  <c r="B592" i="1" a="1"/>
  <c r="B593" i="1" a="1"/>
  <c r="B594" i="1" a="1"/>
  <c r="B595" i="1" a="1"/>
  <c r="B596" i="1" a="1"/>
  <c r="B597" i="1" a="1"/>
  <c r="B598" i="1" a="1"/>
  <c r="B599" i="1" a="1"/>
  <c r="B600" i="1" a="1"/>
  <c r="B601" i="1" a="1"/>
  <c r="B602" i="1" a="1"/>
  <c r="B603" i="1" a="1"/>
  <c r="B604" i="1" a="1"/>
  <c r="B605" i="1" a="1"/>
  <c r="B606" i="1" a="1"/>
  <c r="B607" i="1" a="1"/>
  <c r="B608" i="1" a="1"/>
  <c r="B609" i="1" a="1"/>
  <c r="B610" i="1" a="1"/>
  <c r="B611" i="1" a="1"/>
  <c r="B612" i="1" a="1"/>
  <c r="B613" i="1" a="1"/>
  <c r="B614" i="1" a="1"/>
  <c r="B615" i="1" a="1"/>
  <c r="B616" i="1" a="1"/>
  <c r="B617" i="1" a="1"/>
  <c r="B618" i="1" a="1"/>
  <c r="B619" i="1" a="1"/>
  <c r="B620" i="1" a="1"/>
  <c r="B621" i="1" a="1"/>
  <c r="B622" i="1" a="1"/>
  <c r="B623" i="1" a="1"/>
  <c r="B624" i="1" a="1"/>
  <c r="B625" i="1" a="1"/>
  <c r="B626" i="1" a="1"/>
  <c r="B627" i="1" a="1"/>
  <c r="B628" i="1" a="1"/>
  <c r="B629" i="1" a="1"/>
  <c r="B630" i="1" a="1"/>
  <c r="B631" i="1" a="1"/>
  <c r="B632" i="1" a="1"/>
  <c r="B633" i="1" a="1"/>
  <c r="B634" i="1" a="1"/>
  <c r="B635" i="1" a="1"/>
  <c r="B636" i="1" a="1"/>
  <c r="B637" i="1" a="1"/>
  <c r="B638" i="1" a="1"/>
  <c r="B639" i="1" a="1"/>
  <c r="B640" i="1" a="1"/>
  <c r="B641" i="1" a="1"/>
  <c r="B642" i="1" a="1"/>
  <c r="B643" i="1" a="1"/>
  <c r="B644" i="1" a="1"/>
  <c r="B645" i="1" a="1"/>
  <c r="B646" i="1" a="1"/>
  <c r="B647" i="1" a="1"/>
  <c r="B648" i="1" a="1"/>
  <c r="B649" i="1" a="1"/>
  <c r="B650" i="1" a="1"/>
  <c r="B651" i="1" a="1"/>
  <c r="B652" i="1" a="1"/>
  <c r="B653" i="1" a="1"/>
  <c r="B654" i="1" a="1"/>
  <c r="B655" i="1" a="1"/>
  <c r="B656" i="1" a="1"/>
  <c r="B657" i="1" a="1"/>
  <c r="B658" i="1" a="1"/>
  <c r="B659" i="1" a="1"/>
  <c r="B660" i="1" a="1"/>
  <c r="B661" i="1" a="1"/>
  <c r="B662" i="1" a="1"/>
  <c r="B663" i="1" a="1"/>
  <c r="B664" i="1" a="1"/>
  <c r="B665" i="1" a="1"/>
  <c r="B666" i="1" a="1"/>
  <c r="B667" i="1" a="1"/>
  <c r="B668" i="1" a="1"/>
  <c r="B669" i="1" a="1"/>
  <c r="B670" i="1" a="1"/>
  <c r="B671" i="1" a="1"/>
  <c r="B672" i="1" a="1"/>
  <c r="B673" i="1" a="1"/>
  <c r="B674" i="1" a="1"/>
  <c r="B675" i="1" a="1"/>
  <c r="B676" i="1" a="1"/>
  <c r="B677" i="1" a="1"/>
  <c r="B678" i="1" a="1"/>
  <c r="B679" i="1" a="1"/>
  <c r="B680" i="1" a="1"/>
  <c r="B681" i="1" a="1"/>
  <c r="B682" i="1" a="1"/>
  <c r="B683" i="1" a="1"/>
  <c r="B684" i="1" a="1"/>
  <c r="B685" i="1" a="1"/>
  <c r="B686" i="1" a="1"/>
  <c r="B687" i="1" a="1"/>
  <c r="B688" i="1" a="1"/>
  <c r="B689" i="1" a="1"/>
  <c r="B690" i="1" a="1"/>
  <c r="B691" i="1" a="1"/>
  <c r="B692" i="1" a="1"/>
  <c r="B693" i="1" a="1"/>
  <c r="B694" i="1" a="1"/>
  <c r="B695" i="1" a="1"/>
  <c r="B696" i="1" a="1"/>
  <c r="B697" i="1" a="1"/>
  <c r="B698" i="1" a="1"/>
  <c r="B699" i="1" a="1"/>
  <c r="B700" i="1" a="1"/>
  <c r="B701" i="1" a="1"/>
  <c r="B702" i="1" a="1"/>
  <c r="B703" i="1" a="1"/>
  <c r="B704" i="1" a="1"/>
  <c r="B705" i="1" a="1"/>
  <c r="B706" i="1" a="1"/>
  <c r="B707" i="1" a="1"/>
  <c r="B708" i="1" a="1"/>
  <c r="B709" i="1" a="1"/>
  <c r="B710" i="1" a="1"/>
  <c r="B711" i="1" a="1"/>
  <c r="B712" i="1" a="1"/>
  <c r="B713" i="1" a="1"/>
  <c r="B714" i="1" a="1"/>
  <c r="B715" i="1" a="1"/>
  <c r="B716" i="1" a="1"/>
  <c r="B717" i="1" a="1"/>
  <c r="B718" i="1" a="1"/>
  <c r="B719" i="1" a="1"/>
  <c r="B720" i="1" a="1"/>
  <c r="B721" i="1" a="1"/>
  <c r="B722" i="1" a="1"/>
  <c r="B723" i="1" a="1"/>
  <c r="B724" i="1" a="1"/>
  <c r="B725" i="1" a="1"/>
  <c r="B726" i="1" a="1"/>
  <c r="B727" i="1" a="1"/>
  <c r="B728" i="1" a="1"/>
  <c r="B729" i="1" a="1"/>
  <c r="B730" i="1" a="1"/>
  <c r="B731" i="1" a="1"/>
  <c r="B732" i="1" a="1"/>
  <c r="B733" i="1" a="1"/>
  <c r="B734" i="1" a="1"/>
  <c r="B735" i="1" a="1"/>
  <c r="B736" i="1" a="1"/>
  <c r="B737" i="1" a="1"/>
  <c r="B738" i="1" a="1"/>
  <c r="B739" i="1" a="1"/>
  <c r="B740" i="1" a="1"/>
  <c r="B741" i="1" a="1"/>
  <c r="B742" i="1" a="1"/>
  <c r="B743" i="1" a="1"/>
  <c r="B744" i="1" a="1"/>
  <c r="B745" i="1" a="1"/>
  <c r="B746" i="1" a="1"/>
  <c r="B747" i="1" a="1"/>
  <c r="B748" i="1" a="1"/>
  <c r="B749" i="1" a="1"/>
  <c r="B750" i="1" a="1"/>
  <c r="B751" i="1" a="1"/>
  <c r="A3" i="1" a="1"/>
  <c r="A4" i="1" a="1"/>
  <c r="A5" i="1" a="1"/>
  <c r="A6" i="1" a="1"/>
  <c r="A7" i="1" a="1"/>
  <c r="A8" i="1" a="1"/>
  <c r="A9" i="1" a="1"/>
  <c r="A10" i="1" a="1"/>
  <c r="A11" i="1" a="1"/>
  <c r="A12" i="1" a="1"/>
  <c r="A13" i="1" a="1"/>
  <c r="A14" i="1" a="1"/>
  <c r="A15" i="1" a="1"/>
  <c r="A16" i="1" a="1"/>
  <c r="A17" i="1" a="1"/>
  <c r="A18" i="1" a="1"/>
  <c r="A19" i="1" a="1"/>
  <c r="A20" i="1" a="1"/>
  <c r="A21" i="1" a="1"/>
  <c r="A22" i="1" a="1"/>
  <c r="A23" i="1" a="1"/>
  <c r="A24" i="1" a="1"/>
  <c r="A25" i="1" a="1"/>
  <c r="A26" i="1" a="1"/>
  <c r="A27" i="1" a="1"/>
  <c r="A28" i="1" a="1"/>
  <c r="A29" i="1" a="1"/>
  <c r="A30" i="1" a="1"/>
  <c r="A31" i="1" a="1"/>
  <c r="A32" i="1" a="1"/>
  <c r="A33" i="1" a="1"/>
  <c r="A34" i="1" a="1"/>
  <c r="A35" i="1" a="1"/>
  <c r="A36" i="1" a="1"/>
  <c r="A37" i="1" a="1"/>
  <c r="A38" i="1" a="1"/>
  <c r="A39" i="1" a="1"/>
  <c r="A40" i="1" a="1"/>
  <c r="A41" i="1" a="1"/>
  <c r="A42" i="1" a="1"/>
  <c r="A43" i="1" a="1"/>
  <c r="A44" i="1" a="1"/>
  <c r="A45" i="1" a="1"/>
  <c r="A46" i="1" a="1"/>
  <c r="A47" i="1" a="1"/>
  <c r="A48" i="1" a="1"/>
  <c r="A49" i="1" a="1"/>
  <c r="A50" i="1" a="1"/>
  <c r="A51" i="1" a="1"/>
  <c r="A52" i="1" a="1"/>
  <c r="A53" i="1" a="1"/>
  <c r="A54" i="1" a="1"/>
  <c r="A55" i="1" a="1"/>
  <c r="A56" i="1" a="1"/>
  <c r="A57" i="1" a="1"/>
  <c r="A58" i="1" a="1"/>
  <c r="A59" i="1" a="1"/>
  <c r="A60" i="1" a="1"/>
  <c r="A61" i="1" a="1"/>
  <c r="A62" i="1" a="1"/>
  <c r="A63" i="1" a="1"/>
  <c r="A64" i="1" a="1"/>
  <c r="A65" i="1" a="1"/>
  <c r="A66" i="1" a="1"/>
  <c r="A67" i="1" a="1"/>
  <c r="A68" i="1" a="1"/>
  <c r="A69" i="1" a="1"/>
  <c r="A70" i="1" a="1"/>
  <c r="A71" i="1" a="1"/>
  <c r="A72" i="1" a="1"/>
  <c r="A73" i="1" a="1"/>
  <c r="A74" i="1" a="1"/>
  <c r="A75" i="1" a="1"/>
  <c r="A76" i="1" a="1"/>
  <c r="A77" i="1" a="1"/>
  <c r="A78" i="1" a="1"/>
  <c r="A79" i="1" a="1"/>
  <c r="A80" i="1" a="1"/>
  <c r="A81" i="1" a="1"/>
  <c r="A82" i="1" a="1"/>
  <c r="A83" i="1" a="1"/>
  <c r="A84" i="1" a="1"/>
  <c r="A85" i="1" a="1"/>
  <c r="A86" i="1" a="1"/>
  <c r="A87" i="1" a="1"/>
  <c r="A88" i="1" a="1"/>
  <c r="A89" i="1" a="1"/>
  <c r="A90" i="1" a="1"/>
  <c r="A91" i="1" a="1"/>
  <c r="A92" i="1" a="1"/>
  <c r="A93" i="1" a="1"/>
  <c r="A94" i="1" a="1"/>
  <c r="A95" i="1" a="1"/>
  <c r="A96" i="1" a="1"/>
  <c r="A97" i="1" a="1"/>
  <c r="A98" i="1" a="1"/>
  <c r="A99" i="1" a="1"/>
  <c r="A100" i="1" a="1"/>
  <c r="A101" i="1" a="1"/>
  <c r="A102" i="1" a="1"/>
  <c r="A103" i="1" a="1"/>
  <c r="A104" i="1" a="1"/>
  <c r="A105" i="1" a="1"/>
  <c r="A106" i="1" a="1"/>
  <c r="A107" i="1" a="1"/>
  <c r="A108" i="1" a="1"/>
  <c r="A109" i="1" a="1"/>
  <c r="A110" i="1" a="1"/>
  <c r="A111" i="1" a="1"/>
  <c r="A112" i="1" a="1"/>
  <c r="A113" i="1" a="1"/>
  <c r="A114" i="1" a="1"/>
  <c r="A115" i="1" a="1"/>
  <c r="A116" i="1" a="1"/>
  <c r="A117" i="1" a="1"/>
  <c r="A118" i="1" a="1"/>
  <c r="A119" i="1" a="1"/>
  <c r="A120" i="1" a="1"/>
  <c r="A121" i="1" a="1"/>
  <c r="A122" i="1" a="1"/>
  <c r="A123" i="1" a="1"/>
  <c r="A124" i="1" a="1"/>
  <c r="A125" i="1" a="1"/>
  <c r="A126" i="1" a="1"/>
  <c r="A127" i="1" a="1"/>
  <c r="A128" i="1" a="1"/>
  <c r="A129" i="1" a="1"/>
  <c r="A130" i="1" a="1"/>
  <c r="A131" i="1" a="1"/>
  <c r="A132" i="1" a="1"/>
  <c r="A133" i="1" a="1"/>
  <c r="A134" i="1" a="1"/>
  <c r="A135" i="1" a="1"/>
  <c r="A136" i="1" a="1"/>
  <c r="A137" i="1" a="1"/>
  <c r="A138" i="1" a="1"/>
  <c r="A139" i="1" a="1"/>
  <c r="A140" i="1" a="1"/>
  <c r="A141" i="1" a="1"/>
  <c r="A142" i="1" a="1"/>
  <c r="A143" i="1" a="1"/>
  <c r="A144" i="1" a="1"/>
  <c r="A145" i="1" a="1"/>
  <c r="A146" i="1" a="1"/>
  <c r="A147" i="1" a="1"/>
  <c r="A148" i="1" a="1"/>
  <c r="A149" i="1" a="1"/>
  <c r="A150" i="1" a="1"/>
  <c r="A151" i="1" a="1"/>
  <c r="A152" i="1" a="1"/>
  <c r="A153" i="1" a="1"/>
  <c r="A154" i="1" a="1"/>
  <c r="A155" i="1" a="1"/>
  <c r="A156" i="1" a="1"/>
  <c r="A157" i="1" a="1"/>
  <c r="A158" i="1" a="1"/>
  <c r="A159" i="1" a="1"/>
  <c r="A160" i="1" a="1"/>
  <c r="A161" i="1" a="1"/>
  <c r="A162" i="1" a="1"/>
  <c r="A163" i="1" a="1"/>
  <c r="A164" i="1" a="1"/>
  <c r="A165" i="1" a="1"/>
  <c r="A166" i="1" a="1"/>
  <c r="A167" i="1" a="1"/>
  <c r="A168" i="1" a="1"/>
  <c r="A169" i="1" a="1"/>
  <c r="A170" i="1" a="1"/>
  <c r="A171" i="1" a="1"/>
  <c r="A172" i="1" a="1"/>
  <c r="A173" i="1" a="1"/>
  <c r="A174" i="1" a="1"/>
  <c r="A175" i="1" a="1"/>
  <c r="A176" i="1" a="1"/>
  <c r="A177" i="1" a="1"/>
  <c r="A178" i="1" a="1"/>
  <c r="A179" i="1" a="1"/>
  <c r="A180" i="1" a="1"/>
  <c r="A181" i="1" a="1"/>
  <c r="A182" i="1" a="1"/>
  <c r="A183" i="1" a="1"/>
  <c r="A184" i="1" a="1"/>
  <c r="A185" i="1" a="1"/>
  <c r="A186" i="1" a="1"/>
  <c r="A187" i="1" a="1"/>
  <c r="A188" i="1" a="1"/>
  <c r="A189" i="1" a="1"/>
  <c r="A190" i="1" a="1"/>
  <c r="A191" i="1" a="1"/>
  <c r="A192" i="1" a="1"/>
  <c r="A193" i="1" a="1"/>
  <c r="A194" i="1" a="1"/>
  <c r="A195" i="1" a="1"/>
  <c r="A196" i="1" a="1"/>
  <c r="A197" i="1" a="1"/>
  <c r="A198" i="1" a="1"/>
  <c r="A199" i="1" a="1"/>
  <c r="A200" i="1" a="1"/>
  <c r="A201" i="1" a="1"/>
  <c r="A202" i="1" a="1"/>
  <c r="A203" i="1" a="1"/>
  <c r="A204" i="1" a="1"/>
  <c r="A205" i="1" a="1"/>
  <c r="A206" i="1" a="1"/>
  <c r="A207" i="1" a="1"/>
  <c r="A208" i="1" a="1"/>
  <c r="A209" i="1" a="1"/>
  <c r="A210" i="1" a="1"/>
  <c r="A211" i="1" a="1"/>
  <c r="A212" i="1" a="1"/>
  <c r="A213" i="1" a="1"/>
  <c r="A214" i="1" a="1"/>
  <c r="A215" i="1" a="1"/>
  <c r="A216" i="1" a="1"/>
  <c r="A217" i="1" a="1"/>
  <c r="A218" i="1" a="1"/>
  <c r="A219" i="1" a="1"/>
  <c r="A220" i="1" a="1"/>
  <c r="A221" i="1" a="1"/>
  <c r="A222" i="1" a="1"/>
  <c r="A223" i="1" a="1"/>
  <c r="A224" i="1" a="1"/>
  <c r="A225" i="1" a="1"/>
  <c r="A226" i="1" a="1"/>
  <c r="A227" i="1" a="1"/>
  <c r="A228" i="1" a="1"/>
  <c r="A229" i="1" a="1"/>
  <c r="A230" i="1" a="1"/>
  <c r="A231" i="1" a="1"/>
  <c r="A232" i="1" a="1"/>
  <c r="A233" i="1" a="1"/>
  <c r="A234" i="1" a="1"/>
  <c r="A235" i="1" a="1"/>
  <c r="A236" i="1" a="1"/>
  <c r="A237" i="1" a="1"/>
  <c r="A238" i="1" a="1"/>
  <c r="A239" i="1" a="1"/>
  <c r="A240" i="1" a="1"/>
  <c r="A241" i="1" a="1"/>
  <c r="A242" i="1" a="1"/>
  <c r="A243" i="1" a="1"/>
  <c r="A244" i="1" a="1"/>
  <c r="A245" i="1" a="1"/>
  <c r="A246" i="1" a="1"/>
  <c r="A247" i="1" a="1"/>
  <c r="A248" i="1" a="1"/>
  <c r="A249" i="1" a="1"/>
  <c r="A250" i="1" a="1"/>
  <c r="A251" i="1" a="1"/>
  <c r="A252" i="1" a="1"/>
  <c r="A253" i="1" a="1"/>
  <c r="A254" i="1" a="1"/>
  <c r="A255" i="1" a="1"/>
  <c r="A256" i="1" a="1"/>
  <c r="A257" i="1" a="1"/>
  <c r="A258" i="1" a="1"/>
  <c r="A259" i="1" a="1"/>
  <c r="A260" i="1" a="1"/>
  <c r="A261" i="1" a="1"/>
  <c r="A262" i="1" a="1"/>
  <c r="A263" i="1" a="1"/>
  <c r="A264" i="1" a="1"/>
  <c r="A265" i="1" a="1"/>
  <c r="A266" i="1" a="1"/>
  <c r="A267" i="1" a="1"/>
  <c r="A268" i="1" a="1"/>
  <c r="A269" i="1" a="1"/>
  <c r="A270" i="1" a="1"/>
  <c r="A271" i="1" a="1"/>
  <c r="A272" i="1" a="1"/>
  <c r="A273" i="1" a="1"/>
  <c r="A274" i="1" a="1"/>
  <c r="A275" i="1" a="1"/>
  <c r="A276" i="1" a="1"/>
  <c r="A277" i="1" a="1"/>
  <c r="A278" i="1" a="1"/>
  <c r="A279" i="1" a="1"/>
  <c r="A280" i="1" a="1"/>
  <c r="A281" i="1" a="1"/>
  <c r="A282" i="1" a="1"/>
  <c r="A283" i="1" a="1"/>
  <c r="A284" i="1" a="1"/>
  <c r="A285" i="1" a="1"/>
  <c r="A286" i="1" a="1"/>
  <c r="A287" i="1" a="1"/>
  <c r="A288" i="1" a="1"/>
  <c r="A289" i="1" a="1"/>
  <c r="A290" i="1" a="1"/>
  <c r="A291" i="1" a="1"/>
  <c r="A292" i="1" a="1"/>
  <c r="A293" i="1" a="1"/>
  <c r="A294" i="1" a="1"/>
  <c r="A295" i="1" a="1"/>
  <c r="A296" i="1" a="1"/>
  <c r="A297" i="1" a="1"/>
  <c r="A298" i="1" a="1"/>
  <c r="A299" i="1" a="1"/>
  <c r="A300" i="1" a="1"/>
  <c r="A301" i="1" a="1"/>
  <c r="A302" i="1" a="1"/>
  <c r="A303" i="1" a="1"/>
  <c r="A304" i="1" a="1"/>
  <c r="A305" i="1" a="1"/>
  <c r="A306" i="1" a="1"/>
  <c r="A307" i="1" a="1"/>
  <c r="A308" i="1" a="1"/>
  <c r="A309" i="1" a="1"/>
  <c r="A310" i="1" a="1"/>
  <c r="A311" i="1" a="1"/>
  <c r="A312" i="1" a="1"/>
  <c r="A313" i="1" a="1"/>
  <c r="A314" i="1" a="1"/>
  <c r="A315" i="1" a="1"/>
  <c r="A316" i="1" a="1"/>
  <c r="A317" i="1" a="1"/>
  <c r="A318" i="1" a="1"/>
  <c r="A319" i="1" a="1"/>
  <c r="A320" i="1" a="1"/>
  <c r="A321" i="1" a="1"/>
  <c r="A322" i="1" a="1"/>
  <c r="A323" i="1" a="1"/>
  <c r="A324" i="1" a="1"/>
  <c r="A325" i="1" a="1"/>
  <c r="A326" i="1" a="1"/>
  <c r="A327" i="1" a="1"/>
  <c r="A328" i="1" a="1"/>
  <c r="A329" i="1" a="1"/>
  <c r="A330" i="1" a="1"/>
  <c r="A331" i="1" a="1"/>
  <c r="A332" i="1" a="1"/>
  <c r="A333" i="1" a="1"/>
  <c r="A334" i="1" a="1"/>
  <c r="A335" i="1" a="1"/>
  <c r="A336" i="1" a="1"/>
  <c r="A337" i="1" a="1"/>
  <c r="A338" i="1" a="1"/>
  <c r="A339" i="1" a="1"/>
  <c r="A340" i="1" a="1"/>
  <c r="A341" i="1" a="1"/>
  <c r="A342" i="1" a="1"/>
  <c r="A343" i="1" a="1"/>
  <c r="A344" i="1" a="1"/>
  <c r="A345" i="1" a="1"/>
  <c r="A346" i="1" a="1"/>
  <c r="A347" i="1" a="1"/>
  <c r="A348" i="1" a="1"/>
  <c r="A349" i="1" a="1"/>
  <c r="A350" i="1" a="1"/>
  <c r="A351" i="1" a="1"/>
  <c r="A352" i="1" a="1"/>
  <c r="A353" i="1" a="1"/>
  <c r="A354" i="1" a="1"/>
  <c r="A355" i="1" a="1"/>
  <c r="A356" i="1" a="1"/>
  <c r="A357" i="1" a="1"/>
  <c r="A358" i="1" a="1"/>
  <c r="A359" i="1" a="1"/>
  <c r="A360" i="1" a="1"/>
  <c r="A361" i="1" a="1"/>
  <c r="A362" i="1" a="1"/>
  <c r="A363" i="1" a="1"/>
  <c r="A364" i="1" a="1"/>
  <c r="A365" i="1" a="1"/>
  <c r="A366" i="1" a="1"/>
  <c r="A367" i="1" a="1"/>
  <c r="A368" i="1" a="1"/>
  <c r="A369" i="1" a="1"/>
  <c r="A370" i="1" a="1"/>
  <c r="A371" i="1" a="1"/>
  <c r="A372" i="1" a="1"/>
  <c r="A373" i="1" a="1"/>
  <c r="A374" i="1" a="1"/>
  <c r="A375" i="1" a="1"/>
  <c r="A376" i="1" a="1"/>
  <c r="A377" i="1" a="1"/>
  <c r="A378" i="1" a="1"/>
  <c r="A379" i="1" a="1"/>
  <c r="A380" i="1" a="1"/>
  <c r="A381" i="1" a="1"/>
  <c r="A382" i="1" a="1"/>
  <c r="A383" i="1" a="1"/>
  <c r="A384" i="1" a="1"/>
  <c r="A385" i="1" a="1"/>
  <c r="A386" i="1" a="1"/>
  <c r="A387" i="1" a="1"/>
  <c r="A388" i="1" a="1"/>
  <c r="A389" i="1" a="1"/>
  <c r="A390" i="1" a="1"/>
  <c r="A391" i="1" a="1"/>
  <c r="A392" i="1" a="1"/>
  <c r="A393" i="1" a="1"/>
  <c r="A394" i="1" a="1"/>
  <c r="A395" i="1" a="1"/>
  <c r="A396" i="1" a="1"/>
  <c r="A397" i="1" a="1"/>
  <c r="A398" i="1" a="1"/>
  <c r="A399" i="1" a="1"/>
  <c r="A400" i="1" a="1"/>
  <c r="A401" i="1" a="1"/>
  <c r="A402" i="1" a="1"/>
  <c r="A403" i="1" a="1"/>
  <c r="A404" i="1" a="1"/>
  <c r="A405" i="1" a="1"/>
  <c r="A406" i="1" a="1"/>
  <c r="A407" i="1" a="1"/>
  <c r="A408" i="1" a="1"/>
  <c r="A409" i="1" a="1"/>
  <c r="A410" i="1" a="1"/>
  <c r="A411" i="1" a="1"/>
  <c r="A412" i="1" a="1"/>
  <c r="A413" i="1" a="1"/>
  <c r="A414" i="1" a="1"/>
  <c r="A415" i="1" a="1"/>
  <c r="A416" i="1" a="1"/>
  <c r="A417" i="1" a="1"/>
  <c r="A418" i="1" a="1"/>
  <c r="A419" i="1" a="1"/>
  <c r="A420" i="1" a="1"/>
  <c r="A421" i="1" a="1"/>
  <c r="A422" i="1" a="1"/>
  <c r="A423" i="1" a="1"/>
  <c r="A424" i="1" a="1"/>
  <c r="A425" i="1" a="1"/>
  <c r="A426" i="1" a="1"/>
  <c r="A427" i="1" a="1"/>
  <c r="A428" i="1" a="1"/>
  <c r="A429" i="1" a="1"/>
  <c r="A430" i="1" a="1"/>
  <c r="A431" i="1" a="1"/>
  <c r="A432" i="1" a="1"/>
  <c r="A433" i="1" a="1"/>
  <c r="A434" i="1" a="1"/>
  <c r="A435" i="1" a="1"/>
  <c r="A436" i="1" a="1"/>
  <c r="A437" i="1" a="1"/>
  <c r="A438" i="1" a="1"/>
  <c r="A439" i="1" a="1"/>
  <c r="A440" i="1" a="1"/>
  <c r="A441" i="1" a="1"/>
  <c r="A442" i="1" a="1"/>
  <c r="A443" i="1" a="1"/>
  <c r="A444" i="1" a="1"/>
  <c r="A445" i="1" a="1"/>
  <c r="A446" i="1" a="1"/>
  <c r="A447" i="1" a="1"/>
  <c r="A448" i="1" a="1"/>
  <c r="A449" i="1" a="1"/>
  <c r="A450" i="1" a="1"/>
  <c r="A451" i="1" a="1"/>
  <c r="A452" i="1" a="1"/>
  <c r="A453" i="1" a="1"/>
  <c r="A454" i="1" a="1"/>
  <c r="A455" i="1" a="1"/>
  <c r="A456" i="1" a="1"/>
  <c r="A457" i="1" a="1"/>
  <c r="A458" i="1" a="1"/>
  <c r="A459" i="1" a="1"/>
  <c r="A460" i="1" a="1"/>
  <c r="A461" i="1" a="1"/>
  <c r="A462" i="1" a="1"/>
  <c r="A463" i="1" a="1"/>
  <c r="A464" i="1" a="1"/>
  <c r="A465" i="1" a="1"/>
  <c r="A466" i="1" a="1"/>
  <c r="A467" i="1" a="1"/>
  <c r="A468" i="1" a="1"/>
  <c r="A469" i="1" a="1"/>
  <c r="A470" i="1" a="1"/>
  <c r="A471" i="1" a="1"/>
  <c r="A472" i="1" a="1"/>
  <c r="A473" i="1" a="1"/>
  <c r="A474" i="1" a="1"/>
  <c r="A475" i="1" a="1"/>
  <c r="A476" i="1" a="1"/>
  <c r="A477" i="1" a="1"/>
  <c r="A478" i="1" a="1"/>
  <c r="A479" i="1" a="1"/>
  <c r="A480" i="1" a="1"/>
  <c r="A481" i="1" a="1"/>
  <c r="A482" i="1" a="1"/>
  <c r="A483" i="1" a="1"/>
  <c r="A484" i="1" a="1"/>
  <c r="A485" i="1" a="1"/>
  <c r="A486" i="1" a="1"/>
  <c r="A487" i="1" a="1"/>
  <c r="A488" i="1" a="1"/>
  <c r="A489" i="1" a="1"/>
  <c r="A490" i="1" a="1"/>
  <c r="A491" i="1" a="1"/>
  <c r="A492" i="1" a="1"/>
  <c r="A493" i="1" a="1"/>
  <c r="A494" i="1" a="1"/>
  <c r="A495" i="1" a="1"/>
  <c r="A496" i="1" a="1"/>
  <c r="A497" i="1" a="1"/>
  <c r="A498" i="1" a="1"/>
  <c r="A499" i="1" a="1"/>
  <c r="A500" i="1" a="1"/>
  <c r="A501" i="1" a="1"/>
  <c r="A502" i="1" a="1"/>
  <c r="A503" i="1" a="1"/>
  <c r="A504" i="1" a="1"/>
  <c r="A505" i="1" a="1"/>
  <c r="A506" i="1" a="1"/>
  <c r="A507" i="1" a="1"/>
  <c r="A508" i="1" a="1"/>
  <c r="A509" i="1" a="1"/>
  <c r="A510" i="1" a="1"/>
  <c r="A511" i="1" a="1"/>
  <c r="A512" i="1" a="1"/>
  <c r="A513" i="1" a="1"/>
  <c r="A514" i="1" a="1"/>
  <c r="A515" i="1" a="1"/>
  <c r="A516" i="1" a="1"/>
  <c r="A517" i="1" a="1"/>
  <c r="A518" i="1" a="1"/>
  <c r="A519" i="1" a="1"/>
  <c r="A520" i="1" a="1"/>
  <c r="A521" i="1" a="1"/>
  <c r="A522" i="1" a="1"/>
  <c r="A523" i="1" a="1"/>
  <c r="A524" i="1" a="1"/>
  <c r="A525" i="1" a="1"/>
  <c r="A526" i="1" a="1"/>
  <c r="A527" i="1" a="1"/>
  <c r="A528" i="1" a="1"/>
  <c r="A529" i="1" a="1"/>
  <c r="A530" i="1" a="1"/>
  <c r="A531" i="1" a="1"/>
  <c r="A532" i="1" a="1"/>
  <c r="A533" i="1" a="1"/>
  <c r="A534" i="1" a="1"/>
  <c r="A535" i="1" a="1"/>
  <c r="A536" i="1" a="1"/>
  <c r="A537" i="1" a="1"/>
  <c r="A538" i="1" a="1"/>
  <c r="A539" i="1" a="1"/>
  <c r="A540" i="1" a="1"/>
  <c r="A541" i="1" a="1"/>
  <c r="A542" i="1" a="1"/>
  <c r="A543" i="1" a="1"/>
  <c r="A544" i="1" a="1"/>
  <c r="A545" i="1" a="1"/>
  <c r="A546" i="1" a="1"/>
  <c r="A547" i="1" a="1"/>
  <c r="A548" i="1" a="1"/>
  <c r="A549" i="1" a="1"/>
  <c r="A550" i="1" a="1"/>
  <c r="A551" i="1" a="1"/>
  <c r="A552" i="1" a="1"/>
  <c r="A553" i="1" a="1"/>
  <c r="A554" i="1" a="1"/>
  <c r="A555" i="1" a="1"/>
  <c r="A556" i="1" a="1"/>
  <c r="A557" i="1" a="1"/>
  <c r="A558" i="1" a="1"/>
  <c r="A559" i="1" a="1"/>
  <c r="A560" i="1" a="1"/>
  <c r="A561" i="1" a="1"/>
  <c r="A562" i="1" a="1"/>
  <c r="A563" i="1" a="1"/>
  <c r="A564" i="1" a="1"/>
  <c r="A565" i="1" a="1"/>
  <c r="A566" i="1" a="1"/>
  <c r="A567" i="1" a="1"/>
  <c r="A568" i="1" a="1"/>
  <c r="A569" i="1" a="1"/>
  <c r="A570" i="1" a="1"/>
  <c r="A571" i="1" a="1"/>
  <c r="A572" i="1" a="1"/>
  <c r="A573" i="1" a="1"/>
  <c r="A574" i="1" a="1"/>
  <c r="A575" i="1" a="1"/>
  <c r="A576" i="1" a="1"/>
  <c r="A577" i="1" a="1"/>
  <c r="A578" i="1" a="1"/>
  <c r="A579" i="1" a="1"/>
  <c r="A580" i="1" a="1"/>
  <c r="A581" i="1" a="1"/>
  <c r="A582" i="1" a="1"/>
  <c r="A583" i="1" a="1"/>
  <c r="A584" i="1" a="1"/>
  <c r="A585" i="1" a="1"/>
  <c r="A586" i="1" a="1"/>
  <c r="A587" i="1" a="1"/>
  <c r="A588" i="1" a="1"/>
  <c r="A589" i="1" a="1"/>
  <c r="A590" i="1" a="1"/>
  <c r="A591" i="1" a="1"/>
  <c r="A592" i="1" a="1"/>
  <c r="A593" i="1" a="1"/>
  <c r="A594" i="1" a="1"/>
  <c r="A595" i="1" a="1"/>
  <c r="A596" i="1" a="1"/>
  <c r="A597" i="1" a="1"/>
  <c r="A598" i="1" a="1"/>
  <c r="A599" i="1" a="1"/>
  <c r="A600" i="1" a="1"/>
  <c r="A601" i="1" a="1"/>
  <c r="A602" i="1" a="1"/>
  <c r="A603" i="1" a="1"/>
  <c r="A604" i="1" a="1"/>
  <c r="A605" i="1" a="1"/>
  <c r="A606" i="1" a="1"/>
  <c r="A607" i="1" a="1"/>
  <c r="A608" i="1" a="1"/>
  <c r="A609" i="1" a="1"/>
  <c r="A610" i="1" a="1"/>
  <c r="A611" i="1" a="1"/>
  <c r="A612" i="1" a="1"/>
  <c r="A613" i="1" a="1"/>
  <c r="A614" i="1" a="1"/>
  <c r="A615" i="1" a="1"/>
  <c r="A616" i="1" a="1"/>
  <c r="A617" i="1" a="1"/>
  <c r="A618" i="1" a="1"/>
  <c r="A619" i="1" a="1"/>
  <c r="A620" i="1" a="1"/>
  <c r="A621" i="1" a="1"/>
  <c r="A622" i="1" a="1"/>
  <c r="A623" i="1" a="1"/>
  <c r="A624" i="1" a="1"/>
  <c r="A625" i="1" a="1"/>
  <c r="A626" i="1" a="1"/>
  <c r="A627" i="1" a="1"/>
  <c r="A628" i="1" a="1"/>
  <c r="A629" i="1" a="1"/>
  <c r="A630" i="1" a="1"/>
  <c r="A631" i="1" a="1"/>
  <c r="A632" i="1" a="1"/>
  <c r="A633" i="1" a="1"/>
  <c r="A634" i="1" a="1"/>
  <c r="A635" i="1" a="1"/>
  <c r="A636" i="1" a="1"/>
  <c r="A637" i="1" a="1"/>
  <c r="A638" i="1" a="1"/>
  <c r="A639" i="1" a="1"/>
  <c r="A640" i="1" a="1"/>
  <c r="A641" i="1" a="1"/>
  <c r="A642" i="1" a="1"/>
  <c r="A643" i="1" a="1"/>
  <c r="A644" i="1" a="1"/>
  <c r="A645" i="1" a="1"/>
  <c r="A646" i="1" a="1"/>
  <c r="A647" i="1" a="1"/>
  <c r="A648" i="1" a="1"/>
  <c r="A649" i="1" a="1"/>
  <c r="A650" i="1" a="1"/>
  <c r="A651" i="1" a="1"/>
  <c r="A652" i="1" a="1"/>
  <c r="A653" i="1" a="1"/>
  <c r="A654" i="1" a="1"/>
  <c r="A655" i="1" a="1"/>
  <c r="A656" i="1" a="1"/>
  <c r="A657" i="1" a="1"/>
  <c r="A658" i="1" a="1"/>
  <c r="A659" i="1" a="1"/>
  <c r="A660" i="1" a="1"/>
  <c r="A661" i="1" a="1"/>
  <c r="A662" i="1" a="1"/>
  <c r="A663" i="1" a="1"/>
  <c r="A664" i="1" a="1"/>
  <c r="A665" i="1" a="1"/>
  <c r="A666" i="1" a="1"/>
  <c r="A667" i="1" a="1"/>
  <c r="A668" i="1" a="1"/>
  <c r="A669" i="1" a="1"/>
  <c r="A670" i="1" a="1"/>
  <c r="A671" i="1" a="1"/>
  <c r="A672" i="1" a="1"/>
  <c r="A673" i="1" a="1"/>
  <c r="A674" i="1" a="1"/>
  <c r="A675" i="1" a="1"/>
  <c r="A676" i="1" a="1"/>
  <c r="A677" i="1" a="1"/>
  <c r="A678" i="1" a="1"/>
  <c r="A679" i="1" a="1"/>
  <c r="A680" i="1" a="1"/>
  <c r="A681" i="1" a="1"/>
  <c r="A682" i="1" a="1"/>
  <c r="A683" i="1" a="1"/>
  <c r="A684" i="1" a="1"/>
  <c r="A685" i="1" a="1"/>
  <c r="A686" i="1" a="1"/>
  <c r="A687" i="1" a="1"/>
  <c r="A688" i="1" a="1"/>
  <c r="A689" i="1" a="1"/>
  <c r="A690" i="1" a="1"/>
  <c r="A691" i="1" a="1"/>
  <c r="A692" i="1" a="1"/>
  <c r="A693" i="1" a="1"/>
  <c r="A694" i="1" a="1"/>
  <c r="A695" i="1" a="1"/>
  <c r="A696" i="1" a="1"/>
  <c r="A697" i="1" a="1"/>
  <c r="A698" i="1" a="1"/>
  <c r="A699" i="1" a="1"/>
  <c r="A700" i="1" a="1"/>
  <c r="A701" i="1" a="1"/>
  <c r="A702" i="1" a="1"/>
  <c r="A703" i="1" a="1"/>
  <c r="A704" i="1" a="1"/>
  <c r="A705" i="1" a="1"/>
  <c r="A706" i="1" a="1"/>
  <c r="A707" i="1" a="1"/>
  <c r="A708" i="1" a="1"/>
  <c r="A709" i="1" a="1"/>
  <c r="A710" i="1" a="1"/>
  <c r="A711" i="1" a="1"/>
  <c r="A712" i="1" a="1"/>
  <c r="A713" i="1" a="1"/>
  <c r="A714" i="1" a="1"/>
  <c r="A715" i="1" a="1"/>
  <c r="A716" i="1" a="1"/>
  <c r="A717" i="1" a="1"/>
  <c r="A718" i="1" a="1"/>
  <c r="A719" i="1" a="1"/>
  <c r="A720" i="1" a="1"/>
  <c r="A721" i="1" a="1"/>
  <c r="A722" i="1" a="1"/>
  <c r="A723" i="1" a="1"/>
  <c r="A724" i="1" a="1"/>
  <c r="A725" i="1" a="1"/>
  <c r="A726" i="1" a="1"/>
  <c r="A727" i="1" a="1"/>
  <c r="A728" i="1" a="1"/>
  <c r="A729" i="1" a="1"/>
  <c r="A730" i="1" a="1"/>
  <c r="A731" i="1" a="1"/>
  <c r="A732" i="1" a="1"/>
  <c r="A733" i="1" a="1"/>
  <c r="A734" i="1" a="1"/>
  <c r="A735" i="1" a="1"/>
  <c r="A736" i="1" a="1"/>
  <c r="A737" i="1" a="1"/>
  <c r="A738" i="1" a="1"/>
  <c r="A739" i="1" a="1"/>
  <c r="A740" i="1" a="1"/>
  <c r="A741" i="1" a="1"/>
  <c r="A742" i="1" a="1"/>
  <c r="A743" i="1" a="1"/>
  <c r="A744" i="1" a="1"/>
  <c r="A745" i="1" a="1"/>
  <c r="A746" i="1" a="1"/>
  <c r="A747" i="1" a="1"/>
  <c r="A748" i="1" a="1"/>
  <c r="A749" i="1" a="1"/>
  <c r="A750" i="1" a="1"/>
  <c r="A751" i="1" a="1"/>
  <c r="B2" i="1" a="1"/>
  <c r="A2" i="1" a="1"/>
  <c r="C550" i="1"/>
  <c r="I550" i="1"/>
  <c r="J550" i="1"/>
  <c r="L550" i="1"/>
  <c r="C551" i="1"/>
  <c r="I551" i="1"/>
  <c r="J551" i="1"/>
  <c r="L551" i="1"/>
  <c r="C552" i="1"/>
  <c r="I552" i="1"/>
  <c r="J552" i="1"/>
  <c r="L552" i="1"/>
  <c r="C553" i="1"/>
  <c r="I553" i="1"/>
  <c r="J553" i="1"/>
  <c r="L553" i="1"/>
  <c r="C554" i="1"/>
  <c r="I554" i="1"/>
  <c r="J554" i="1"/>
  <c r="L554" i="1"/>
  <c r="C555" i="1"/>
  <c r="I555" i="1"/>
  <c r="J555" i="1"/>
  <c r="L555" i="1"/>
  <c r="C556" i="1"/>
  <c r="I556" i="1"/>
  <c r="J556" i="1"/>
  <c r="L556" i="1"/>
  <c r="C557" i="1"/>
  <c r="I557" i="1"/>
  <c r="J557" i="1"/>
  <c r="L557" i="1"/>
  <c r="C558" i="1"/>
  <c r="I558" i="1"/>
  <c r="J558" i="1"/>
  <c r="L558" i="1"/>
  <c r="C559" i="1"/>
  <c r="I559" i="1"/>
  <c r="J559" i="1"/>
  <c r="L559" i="1"/>
  <c r="C560" i="1"/>
  <c r="I560" i="1"/>
  <c r="J560" i="1"/>
  <c r="L560" i="1"/>
  <c r="C561" i="1"/>
  <c r="I561" i="1"/>
  <c r="J561" i="1"/>
  <c r="L561" i="1"/>
  <c r="C562" i="1"/>
  <c r="I562" i="1"/>
  <c r="J562" i="1"/>
  <c r="L562" i="1"/>
  <c r="C563" i="1"/>
  <c r="I563" i="1"/>
  <c r="J563" i="1"/>
  <c r="L563" i="1"/>
  <c r="C564" i="1"/>
  <c r="I564" i="1"/>
  <c r="J564" i="1"/>
  <c r="L564" i="1"/>
  <c r="C565" i="1"/>
  <c r="I565" i="1"/>
  <c r="J565" i="1"/>
  <c r="L565" i="1"/>
  <c r="C566" i="1"/>
  <c r="I566" i="1"/>
  <c r="J566" i="1"/>
  <c r="L566" i="1"/>
  <c r="C567" i="1"/>
  <c r="I567" i="1"/>
  <c r="J567" i="1"/>
  <c r="L567" i="1"/>
  <c r="C568" i="1"/>
  <c r="I568" i="1"/>
  <c r="J568" i="1"/>
  <c r="L568" i="1"/>
  <c r="C569" i="1"/>
  <c r="I569" i="1"/>
  <c r="J569" i="1"/>
  <c r="L569" i="1"/>
  <c r="C570" i="1"/>
  <c r="I570" i="1"/>
  <c r="J570" i="1"/>
  <c r="L570" i="1"/>
  <c r="C571" i="1"/>
  <c r="I571" i="1"/>
  <c r="J571" i="1"/>
  <c r="L571" i="1"/>
  <c r="C572" i="1"/>
  <c r="I572" i="1"/>
  <c r="J572" i="1"/>
  <c r="L572" i="1"/>
  <c r="C573" i="1"/>
  <c r="I573" i="1"/>
  <c r="J573" i="1"/>
  <c r="L573" i="1"/>
  <c r="C574" i="1"/>
  <c r="I574" i="1"/>
  <c r="J574" i="1"/>
  <c r="L574" i="1"/>
  <c r="C575" i="1"/>
  <c r="I575" i="1"/>
  <c r="J575" i="1"/>
  <c r="L575" i="1"/>
  <c r="C576" i="1"/>
  <c r="I576" i="1"/>
  <c r="J576" i="1"/>
  <c r="L576" i="1"/>
  <c r="C577" i="1"/>
  <c r="I577" i="1"/>
  <c r="J577" i="1"/>
  <c r="L577" i="1"/>
  <c r="C578" i="1"/>
  <c r="I578" i="1"/>
  <c r="J578" i="1"/>
  <c r="L578" i="1"/>
  <c r="C579" i="1"/>
  <c r="I579" i="1"/>
  <c r="J579" i="1"/>
  <c r="L579" i="1"/>
  <c r="C580" i="1"/>
  <c r="I580" i="1"/>
  <c r="J580" i="1"/>
  <c r="L580" i="1"/>
  <c r="C581" i="1"/>
  <c r="I581" i="1"/>
  <c r="J581" i="1"/>
  <c r="L581" i="1"/>
  <c r="C582" i="1"/>
  <c r="I582" i="1"/>
  <c r="J582" i="1"/>
  <c r="L582" i="1"/>
  <c r="C583" i="1"/>
  <c r="I583" i="1"/>
  <c r="J583" i="1"/>
  <c r="L583" i="1"/>
  <c r="C584" i="1"/>
  <c r="I584" i="1"/>
  <c r="J584" i="1"/>
  <c r="L584" i="1"/>
  <c r="C585" i="1"/>
  <c r="I585" i="1"/>
  <c r="J585" i="1"/>
  <c r="L585" i="1"/>
  <c r="C586" i="1"/>
  <c r="I586" i="1"/>
  <c r="J586" i="1"/>
  <c r="L586" i="1"/>
  <c r="C587" i="1"/>
  <c r="I587" i="1"/>
  <c r="J587" i="1"/>
  <c r="L587" i="1"/>
  <c r="C588" i="1"/>
  <c r="I588" i="1"/>
  <c r="J588" i="1"/>
  <c r="L588" i="1"/>
  <c r="C589" i="1"/>
  <c r="I589" i="1"/>
  <c r="J589" i="1"/>
  <c r="L589" i="1"/>
  <c r="C590" i="1"/>
  <c r="I590" i="1"/>
  <c r="J590" i="1"/>
  <c r="L590" i="1"/>
  <c r="C591" i="1"/>
  <c r="I591" i="1"/>
  <c r="J591" i="1"/>
  <c r="L591" i="1"/>
  <c r="C592" i="1"/>
  <c r="I592" i="1"/>
  <c r="J592" i="1"/>
  <c r="L592" i="1"/>
  <c r="C593" i="1"/>
  <c r="I593" i="1"/>
  <c r="J593" i="1"/>
  <c r="L593" i="1"/>
  <c r="C594" i="1"/>
  <c r="I594" i="1"/>
  <c r="J594" i="1"/>
  <c r="L594" i="1"/>
  <c r="C595" i="1"/>
  <c r="I595" i="1"/>
  <c r="J595" i="1"/>
  <c r="L595" i="1"/>
  <c r="C596" i="1"/>
  <c r="I596" i="1"/>
  <c r="J596" i="1"/>
  <c r="L596" i="1"/>
  <c r="C597" i="1"/>
  <c r="I597" i="1"/>
  <c r="J597" i="1"/>
  <c r="L597" i="1"/>
  <c r="C598" i="1"/>
  <c r="I598" i="1"/>
  <c r="J598" i="1"/>
  <c r="L598" i="1"/>
  <c r="C599" i="1"/>
  <c r="I599" i="1"/>
  <c r="J599" i="1"/>
  <c r="L599" i="1"/>
  <c r="C600" i="1"/>
  <c r="I600" i="1"/>
  <c r="J600" i="1"/>
  <c r="L600" i="1"/>
  <c r="C601" i="1"/>
  <c r="I601" i="1"/>
  <c r="J601" i="1"/>
  <c r="L601" i="1"/>
  <c r="C602" i="1"/>
  <c r="I602" i="1"/>
  <c r="J602" i="1"/>
  <c r="L602" i="1"/>
  <c r="C603" i="1"/>
  <c r="I603" i="1"/>
  <c r="J603" i="1"/>
  <c r="L603" i="1"/>
  <c r="C604" i="1"/>
  <c r="I604" i="1"/>
  <c r="J604" i="1"/>
  <c r="L604" i="1"/>
  <c r="C605" i="1"/>
  <c r="I605" i="1"/>
  <c r="J605" i="1"/>
  <c r="L605" i="1"/>
  <c r="C606" i="1"/>
  <c r="I606" i="1"/>
  <c r="J606" i="1"/>
  <c r="L606" i="1"/>
  <c r="C607" i="1"/>
  <c r="I607" i="1"/>
  <c r="J607" i="1"/>
  <c r="L607" i="1"/>
  <c r="C608" i="1"/>
  <c r="I608" i="1"/>
  <c r="J608" i="1"/>
  <c r="L608" i="1"/>
  <c r="C609" i="1"/>
  <c r="I609" i="1"/>
  <c r="J609" i="1"/>
  <c r="L609" i="1"/>
  <c r="C610" i="1"/>
  <c r="I610" i="1"/>
  <c r="J610" i="1"/>
  <c r="L610" i="1"/>
  <c r="C611" i="1"/>
  <c r="I611" i="1"/>
  <c r="J611" i="1"/>
  <c r="L611" i="1"/>
  <c r="C612" i="1"/>
  <c r="I612" i="1"/>
  <c r="J612" i="1"/>
  <c r="L612" i="1"/>
  <c r="C613" i="1"/>
  <c r="I613" i="1"/>
  <c r="J613" i="1"/>
  <c r="L613" i="1"/>
  <c r="C614" i="1"/>
  <c r="I614" i="1"/>
  <c r="J614" i="1"/>
  <c r="L614" i="1"/>
  <c r="C615" i="1"/>
  <c r="I615" i="1"/>
  <c r="J615" i="1"/>
  <c r="L615" i="1"/>
  <c r="C616" i="1"/>
  <c r="I616" i="1"/>
  <c r="J616" i="1"/>
  <c r="L616" i="1"/>
  <c r="C617" i="1"/>
  <c r="I617" i="1"/>
  <c r="J617" i="1"/>
  <c r="L617" i="1"/>
  <c r="C618" i="1"/>
  <c r="I618" i="1"/>
  <c r="J618" i="1"/>
  <c r="L618" i="1"/>
  <c r="C619" i="1"/>
  <c r="I619" i="1"/>
  <c r="J619" i="1"/>
  <c r="L619" i="1"/>
  <c r="C620" i="1"/>
  <c r="I620" i="1"/>
  <c r="J620" i="1"/>
  <c r="L620" i="1"/>
  <c r="C621" i="1"/>
  <c r="I621" i="1"/>
  <c r="J621" i="1"/>
  <c r="L621" i="1"/>
  <c r="C622" i="1"/>
  <c r="I622" i="1"/>
  <c r="J622" i="1"/>
  <c r="L622" i="1"/>
  <c r="C623" i="1"/>
  <c r="I623" i="1"/>
  <c r="J623" i="1"/>
  <c r="L623" i="1"/>
  <c r="C624" i="1"/>
  <c r="I624" i="1"/>
  <c r="J624" i="1"/>
  <c r="L624" i="1"/>
  <c r="C625" i="1"/>
  <c r="I625" i="1"/>
  <c r="J625" i="1"/>
  <c r="L625" i="1"/>
  <c r="C626" i="1"/>
  <c r="I626" i="1"/>
  <c r="J626" i="1"/>
  <c r="L626" i="1"/>
  <c r="C627" i="1"/>
  <c r="I627" i="1"/>
  <c r="J627" i="1"/>
  <c r="L627" i="1"/>
  <c r="C628" i="1"/>
  <c r="I628" i="1"/>
  <c r="J628" i="1"/>
  <c r="L628" i="1"/>
  <c r="C629" i="1"/>
  <c r="I629" i="1"/>
  <c r="J629" i="1"/>
  <c r="L629" i="1"/>
  <c r="C630" i="1"/>
  <c r="I630" i="1"/>
  <c r="J630" i="1"/>
  <c r="L630" i="1"/>
  <c r="C631" i="1"/>
  <c r="I631" i="1"/>
  <c r="J631" i="1"/>
  <c r="L631" i="1"/>
  <c r="C632" i="1"/>
  <c r="I632" i="1"/>
  <c r="J632" i="1"/>
  <c r="L632" i="1"/>
  <c r="C633" i="1"/>
  <c r="I633" i="1"/>
  <c r="J633" i="1"/>
  <c r="L633" i="1"/>
  <c r="C634" i="1"/>
  <c r="I634" i="1"/>
  <c r="J634" i="1"/>
  <c r="L634" i="1"/>
  <c r="C635" i="1"/>
  <c r="I635" i="1"/>
  <c r="J635" i="1"/>
  <c r="L635" i="1"/>
  <c r="C636" i="1"/>
  <c r="I636" i="1"/>
  <c r="J636" i="1"/>
  <c r="L636" i="1"/>
  <c r="C637" i="1"/>
  <c r="I637" i="1"/>
  <c r="J637" i="1"/>
  <c r="L637" i="1"/>
  <c r="C638" i="1"/>
  <c r="I638" i="1"/>
  <c r="J638" i="1"/>
  <c r="L638" i="1"/>
  <c r="C639" i="1"/>
  <c r="I639" i="1"/>
  <c r="J639" i="1"/>
  <c r="L639" i="1"/>
  <c r="C640" i="1"/>
  <c r="I640" i="1"/>
  <c r="J640" i="1"/>
  <c r="L640" i="1"/>
  <c r="C641" i="1"/>
  <c r="I641" i="1"/>
  <c r="J641" i="1"/>
  <c r="L641" i="1"/>
  <c r="C642" i="1"/>
  <c r="I642" i="1"/>
  <c r="J642" i="1"/>
  <c r="L642" i="1"/>
  <c r="C643" i="1"/>
  <c r="I643" i="1"/>
  <c r="J643" i="1"/>
  <c r="L643" i="1"/>
  <c r="C644" i="1"/>
  <c r="I644" i="1"/>
  <c r="J644" i="1"/>
  <c r="L644" i="1"/>
  <c r="C645" i="1"/>
  <c r="I645" i="1"/>
  <c r="J645" i="1"/>
  <c r="L645" i="1"/>
  <c r="C646" i="1"/>
  <c r="I646" i="1"/>
  <c r="J646" i="1"/>
  <c r="L646" i="1"/>
  <c r="C647" i="1"/>
  <c r="I647" i="1"/>
  <c r="J647" i="1"/>
  <c r="L647" i="1"/>
  <c r="C648" i="1"/>
  <c r="I648" i="1"/>
  <c r="J648" i="1"/>
  <c r="L648" i="1"/>
  <c r="C649" i="1"/>
  <c r="I649" i="1"/>
  <c r="J649" i="1"/>
  <c r="L649" i="1"/>
  <c r="C650" i="1"/>
  <c r="I650" i="1"/>
  <c r="J650" i="1"/>
  <c r="L650" i="1"/>
  <c r="C651" i="1"/>
  <c r="I651" i="1"/>
  <c r="J651" i="1"/>
  <c r="L651" i="1"/>
  <c r="C652" i="1"/>
  <c r="I652" i="1"/>
  <c r="J652" i="1"/>
  <c r="L652" i="1"/>
  <c r="C653" i="1"/>
  <c r="I653" i="1"/>
  <c r="J653" i="1"/>
  <c r="L653" i="1"/>
  <c r="C654" i="1"/>
  <c r="I654" i="1"/>
  <c r="J654" i="1"/>
  <c r="L654" i="1"/>
  <c r="C655" i="1"/>
  <c r="I655" i="1"/>
  <c r="J655" i="1"/>
  <c r="L655" i="1"/>
  <c r="C656" i="1"/>
  <c r="I656" i="1"/>
  <c r="J656" i="1"/>
  <c r="L656" i="1"/>
  <c r="C657" i="1"/>
  <c r="I657" i="1"/>
  <c r="J657" i="1"/>
  <c r="L657" i="1"/>
  <c r="C658" i="1"/>
  <c r="I658" i="1"/>
  <c r="J658" i="1"/>
  <c r="L658" i="1"/>
  <c r="C659" i="1"/>
  <c r="I659" i="1"/>
  <c r="J659" i="1"/>
  <c r="L659" i="1"/>
  <c r="C660" i="1"/>
  <c r="I660" i="1"/>
  <c r="J660" i="1"/>
  <c r="L660" i="1"/>
  <c r="C661" i="1"/>
  <c r="I661" i="1"/>
  <c r="J661" i="1"/>
  <c r="L661" i="1"/>
  <c r="C662" i="1"/>
  <c r="I662" i="1"/>
  <c r="J662" i="1"/>
  <c r="L662" i="1"/>
  <c r="C663" i="1"/>
  <c r="I663" i="1"/>
  <c r="J663" i="1"/>
  <c r="L663" i="1"/>
  <c r="C664" i="1"/>
  <c r="I664" i="1"/>
  <c r="J664" i="1"/>
  <c r="L664" i="1"/>
  <c r="C665" i="1"/>
  <c r="I665" i="1"/>
  <c r="J665" i="1"/>
  <c r="L665" i="1"/>
  <c r="C666" i="1"/>
  <c r="I666" i="1"/>
  <c r="J666" i="1"/>
  <c r="L666" i="1"/>
  <c r="C667" i="1"/>
  <c r="I667" i="1"/>
  <c r="J667" i="1"/>
  <c r="L667" i="1"/>
  <c r="C668" i="1"/>
  <c r="I668" i="1"/>
  <c r="J668" i="1"/>
  <c r="L668" i="1"/>
  <c r="C669" i="1"/>
  <c r="I669" i="1"/>
  <c r="J669" i="1"/>
  <c r="L669" i="1"/>
  <c r="C670" i="1"/>
  <c r="I670" i="1"/>
  <c r="J670" i="1"/>
  <c r="L670" i="1"/>
  <c r="C671" i="1"/>
  <c r="I671" i="1"/>
  <c r="J671" i="1"/>
  <c r="L671" i="1"/>
  <c r="C672" i="1"/>
  <c r="I672" i="1"/>
  <c r="J672" i="1"/>
  <c r="L672" i="1"/>
  <c r="C673" i="1"/>
  <c r="I673" i="1"/>
  <c r="J673" i="1"/>
  <c r="L673" i="1"/>
  <c r="C674" i="1"/>
  <c r="I674" i="1"/>
  <c r="J674" i="1"/>
  <c r="L674" i="1"/>
  <c r="C675" i="1"/>
  <c r="I675" i="1"/>
  <c r="J675" i="1"/>
  <c r="L675" i="1"/>
  <c r="C676" i="1"/>
  <c r="I676" i="1"/>
  <c r="J676" i="1"/>
  <c r="L676" i="1"/>
  <c r="C677" i="1"/>
  <c r="I677" i="1"/>
  <c r="J677" i="1"/>
  <c r="L677" i="1"/>
  <c r="C678" i="1"/>
  <c r="I678" i="1"/>
  <c r="J678" i="1"/>
  <c r="L678" i="1"/>
  <c r="C679" i="1"/>
  <c r="I679" i="1"/>
  <c r="J679" i="1"/>
  <c r="L679" i="1"/>
  <c r="C680" i="1"/>
  <c r="I680" i="1"/>
  <c r="J680" i="1"/>
  <c r="L680" i="1"/>
  <c r="C681" i="1"/>
  <c r="I681" i="1"/>
  <c r="J681" i="1"/>
  <c r="L681" i="1"/>
  <c r="C682" i="1"/>
  <c r="I682" i="1"/>
  <c r="J682" i="1"/>
  <c r="L682" i="1"/>
  <c r="C683" i="1"/>
  <c r="I683" i="1"/>
  <c r="J683" i="1"/>
  <c r="L683" i="1"/>
  <c r="C684" i="1"/>
  <c r="I684" i="1"/>
  <c r="J684" i="1"/>
  <c r="L684" i="1"/>
  <c r="C685" i="1"/>
  <c r="I685" i="1"/>
  <c r="J685" i="1"/>
  <c r="L685" i="1"/>
  <c r="C686" i="1"/>
  <c r="I686" i="1"/>
  <c r="J686" i="1"/>
  <c r="L686" i="1"/>
  <c r="C687" i="1"/>
  <c r="I687" i="1"/>
  <c r="J687" i="1"/>
  <c r="L687" i="1"/>
  <c r="C688" i="1"/>
  <c r="I688" i="1"/>
  <c r="J688" i="1"/>
  <c r="L688" i="1"/>
  <c r="C689" i="1"/>
  <c r="I689" i="1"/>
  <c r="J689" i="1"/>
  <c r="L689" i="1"/>
  <c r="C690" i="1"/>
  <c r="I690" i="1"/>
  <c r="J690" i="1"/>
  <c r="L690" i="1"/>
  <c r="C691" i="1"/>
  <c r="I691" i="1"/>
  <c r="J691" i="1"/>
  <c r="L691" i="1"/>
  <c r="C692" i="1"/>
  <c r="I692" i="1"/>
  <c r="J692" i="1"/>
  <c r="L692" i="1"/>
  <c r="C693" i="1"/>
  <c r="I693" i="1"/>
  <c r="J693" i="1"/>
  <c r="L693" i="1"/>
  <c r="C694" i="1"/>
  <c r="I694" i="1"/>
  <c r="J694" i="1"/>
  <c r="L694" i="1"/>
  <c r="C695" i="1"/>
  <c r="I695" i="1"/>
  <c r="J695" i="1"/>
  <c r="L695" i="1"/>
  <c r="C696" i="1"/>
  <c r="I696" i="1"/>
  <c r="J696" i="1"/>
  <c r="L696" i="1"/>
  <c r="C697" i="1"/>
  <c r="I697" i="1"/>
  <c r="J697" i="1"/>
  <c r="L697" i="1"/>
  <c r="C698" i="1"/>
  <c r="I698" i="1"/>
  <c r="J698" i="1"/>
  <c r="L698" i="1"/>
  <c r="C699" i="1"/>
  <c r="I699" i="1"/>
  <c r="J699" i="1"/>
  <c r="L699" i="1"/>
  <c r="C700" i="1"/>
  <c r="I700" i="1"/>
  <c r="J700" i="1"/>
  <c r="L700" i="1"/>
  <c r="C701" i="1"/>
  <c r="I701" i="1"/>
  <c r="J701" i="1"/>
  <c r="L701" i="1"/>
  <c r="C702" i="1"/>
  <c r="I702" i="1"/>
  <c r="J702" i="1"/>
  <c r="L702" i="1"/>
  <c r="C703" i="1"/>
  <c r="I703" i="1"/>
  <c r="J703" i="1"/>
  <c r="L703" i="1"/>
  <c r="C704" i="1"/>
  <c r="I704" i="1"/>
  <c r="J704" i="1"/>
  <c r="L704" i="1"/>
  <c r="C705" i="1"/>
  <c r="I705" i="1"/>
  <c r="J705" i="1"/>
  <c r="L705" i="1"/>
  <c r="C706" i="1"/>
  <c r="I706" i="1"/>
  <c r="J706" i="1"/>
  <c r="L706" i="1"/>
  <c r="C707" i="1"/>
  <c r="I707" i="1"/>
  <c r="J707" i="1"/>
  <c r="L707" i="1"/>
  <c r="C708" i="1"/>
  <c r="I708" i="1"/>
  <c r="J708" i="1"/>
  <c r="L708" i="1"/>
  <c r="C709" i="1"/>
  <c r="I709" i="1"/>
  <c r="J709" i="1"/>
  <c r="L709" i="1"/>
  <c r="C710" i="1"/>
  <c r="I710" i="1"/>
  <c r="J710" i="1"/>
  <c r="L710" i="1"/>
  <c r="C711" i="1"/>
  <c r="I711" i="1"/>
  <c r="J711" i="1"/>
  <c r="L711" i="1"/>
  <c r="C712" i="1"/>
  <c r="I712" i="1"/>
  <c r="J712" i="1"/>
  <c r="L712" i="1"/>
  <c r="C713" i="1"/>
  <c r="I713" i="1"/>
  <c r="J713" i="1"/>
  <c r="L713" i="1"/>
  <c r="C714" i="1"/>
  <c r="I714" i="1"/>
  <c r="J714" i="1"/>
  <c r="L714" i="1"/>
  <c r="C715" i="1"/>
  <c r="I715" i="1"/>
  <c r="J715" i="1"/>
  <c r="L715" i="1"/>
  <c r="C716" i="1"/>
  <c r="I716" i="1"/>
  <c r="J716" i="1"/>
  <c r="L716" i="1"/>
  <c r="C717" i="1"/>
  <c r="I717" i="1"/>
  <c r="J717" i="1"/>
  <c r="L717" i="1"/>
  <c r="C718" i="1"/>
  <c r="I718" i="1"/>
  <c r="J718" i="1"/>
  <c r="L718" i="1"/>
  <c r="C719" i="1"/>
  <c r="I719" i="1"/>
  <c r="J719" i="1"/>
  <c r="L719" i="1"/>
  <c r="C720" i="1"/>
  <c r="I720" i="1"/>
  <c r="J720" i="1"/>
  <c r="L720" i="1"/>
  <c r="C721" i="1"/>
  <c r="I721" i="1"/>
  <c r="J721" i="1"/>
  <c r="L721" i="1"/>
  <c r="C722" i="1"/>
  <c r="I722" i="1"/>
  <c r="J722" i="1"/>
  <c r="L722" i="1"/>
  <c r="C723" i="1"/>
  <c r="I723" i="1"/>
  <c r="J723" i="1"/>
  <c r="L723" i="1"/>
  <c r="C724" i="1"/>
  <c r="I724" i="1"/>
  <c r="J724" i="1"/>
  <c r="L724" i="1"/>
  <c r="C725" i="1"/>
  <c r="I725" i="1"/>
  <c r="J725" i="1"/>
  <c r="L725" i="1"/>
  <c r="C726" i="1"/>
  <c r="I726" i="1"/>
  <c r="J726" i="1"/>
  <c r="L726" i="1"/>
  <c r="C727" i="1"/>
  <c r="I727" i="1"/>
  <c r="J727" i="1"/>
  <c r="L727" i="1"/>
  <c r="C728" i="1"/>
  <c r="I728" i="1"/>
  <c r="J728" i="1"/>
  <c r="L728" i="1"/>
  <c r="C729" i="1"/>
  <c r="I729" i="1"/>
  <c r="J729" i="1"/>
  <c r="L729" i="1"/>
  <c r="C730" i="1"/>
  <c r="I730" i="1"/>
  <c r="J730" i="1"/>
  <c r="L730" i="1"/>
  <c r="C731" i="1"/>
  <c r="I731" i="1"/>
  <c r="J731" i="1"/>
  <c r="L731" i="1"/>
  <c r="C732" i="1"/>
  <c r="I732" i="1"/>
  <c r="J732" i="1"/>
  <c r="L732" i="1"/>
  <c r="C733" i="1"/>
  <c r="I733" i="1"/>
  <c r="J733" i="1"/>
  <c r="L733" i="1"/>
  <c r="C734" i="1"/>
  <c r="I734" i="1"/>
  <c r="J734" i="1"/>
  <c r="L734" i="1"/>
  <c r="C735" i="1"/>
  <c r="I735" i="1"/>
  <c r="J735" i="1"/>
  <c r="L735" i="1"/>
  <c r="C736" i="1"/>
  <c r="I736" i="1"/>
  <c r="J736" i="1"/>
  <c r="L736" i="1"/>
  <c r="C737" i="1"/>
  <c r="I737" i="1"/>
  <c r="J737" i="1"/>
  <c r="L737" i="1"/>
  <c r="C738" i="1"/>
  <c r="I738" i="1"/>
  <c r="J738" i="1"/>
  <c r="L738" i="1"/>
  <c r="C739" i="1"/>
  <c r="I739" i="1"/>
  <c r="J739" i="1"/>
  <c r="L739" i="1"/>
  <c r="C740" i="1"/>
  <c r="I740" i="1"/>
  <c r="J740" i="1"/>
  <c r="L740" i="1"/>
  <c r="C741" i="1"/>
  <c r="I741" i="1"/>
  <c r="J741" i="1"/>
  <c r="L741" i="1"/>
  <c r="C742" i="1"/>
  <c r="I742" i="1"/>
  <c r="J742" i="1"/>
  <c r="L742" i="1"/>
  <c r="C743" i="1"/>
  <c r="I743" i="1"/>
  <c r="J743" i="1"/>
  <c r="L743" i="1"/>
  <c r="C744" i="1"/>
  <c r="I744" i="1"/>
  <c r="J744" i="1"/>
  <c r="L744" i="1"/>
  <c r="C745" i="1"/>
  <c r="I745" i="1"/>
  <c r="J745" i="1"/>
  <c r="L745" i="1"/>
  <c r="C746" i="1"/>
  <c r="I746" i="1"/>
  <c r="J746" i="1"/>
  <c r="L746" i="1"/>
  <c r="C747" i="1"/>
  <c r="I747" i="1"/>
  <c r="J747" i="1"/>
  <c r="L747" i="1"/>
  <c r="C748" i="1"/>
  <c r="I748" i="1"/>
  <c r="J748" i="1"/>
  <c r="L748" i="1"/>
  <c r="C749" i="1"/>
  <c r="I749" i="1"/>
  <c r="J749" i="1"/>
  <c r="L749" i="1"/>
  <c r="C750" i="1"/>
  <c r="I750" i="1"/>
  <c r="J750" i="1"/>
  <c r="L750" i="1"/>
  <c r="C751" i="1"/>
  <c r="I751" i="1"/>
  <c r="J751" i="1"/>
  <c r="L751" i="1"/>
  <c r="C358" i="1"/>
  <c r="I358" i="1"/>
  <c r="J358" i="1"/>
  <c r="L358" i="1"/>
  <c r="C359" i="1"/>
  <c r="I359" i="1"/>
  <c r="J359" i="1"/>
  <c r="L359" i="1"/>
  <c r="C360" i="1"/>
  <c r="I360" i="1"/>
  <c r="J360" i="1"/>
  <c r="L360" i="1"/>
  <c r="C361" i="1"/>
  <c r="I361" i="1"/>
  <c r="J361" i="1"/>
  <c r="L361" i="1"/>
  <c r="C362" i="1"/>
  <c r="I362" i="1"/>
  <c r="J362" i="1"/>
  <c r="L362" i="1"/>
  <c r="C363" i="1"/>
  <c r="I363" i="1"/>
  <c r="J363" i="1"/>
  <c r="L363" i="1"/>
  <c r="C364" i="1"/>
  <c r="I364" i="1"/>
  <c r="J364" i="1"/>
  <c r="L364" i="1"/>
  <c r="C365" i="1"/>
  <c r="I365" i="1"/>
  <c r="J365" i="1"/>
  <c r="L365" i="1"/>
  <c r="C366" i="1"/>
  <c r="I366" i="1"/>
  <c r="J366" i="1"/>
  <c r="L366" i="1"/>
  <c r="C367" i="1"/>
  <c r="I367" i="1"/>
  <c r="J367" i="1"/>
  <c r="L367" i="1"/>
  <c r="C368" i="1"/>
  <c r="I368" i="1"/>
  <c r="J368" i="1"/>
  <c r="L368" i="1"/>
  <c r="C369" i="1"/>
  <c r="I369" i="1"/>
  <c r="J369" i="1"/>
  <c r="L369" i="1"/>
  <c r="C370" i="1"/>
  <c r="I370" i="1"/>
  <c r="J370" i="1"/>
  <c r="L370" i="1"/>
  <c r="C371" i="1"/>
  <c r="I371" i="1"/>
  <c r="J371" i="1"/>
  <c r="L371" i="1"/>
  <c r="C372" i="1"/>
  <c r="I372" i="1"/>
  <c r="J372" i="1"/>
  <c r="L372" i="1"/>
  <c r="C373" i="1"/>
  <c r="I373" i="1"/>
  <c r="J373" i="1"/>
  <c r="L373" i="1"/>
  <c r="C374" i="1"/>
  <c r="I374" i="1"/>
  <c r="J374" i="1"/>
  <c r="L374" i="1"/>
  <c r="C375" i="1"/>
  <c r="I375" i="1"/>
  <c r="J375" i="1"/>
  <c r="L375" i="1"/>
  <c r="C376" i="1"/>
  <c r="I376" i="1"/>
  <c r="J376" i="1"/>
  <c r="L376" i="1"/>
  <c r="C377" i="1"/>
  <c r="I377" i="1"/>
  <c r="J377" i="1"/>
  <c r="L377" i="1"/>
  <c r="C378" i="1"/>
  <c r="I378" i="1"/>
  <c r="J378" i="1"/>
  <c r="L378" i="1"/>
  <c r="C379" i="1"/>
  <c r="I379" i="1"/>
  <c r="J379" i="1"/>
  <c r="L379" i="1"/>
  <c r="C380" i="1"/>
  <c r="I380" i="1"/>
  <c r="J380" i="1"/>
  <c r="L380" i="1"/>
  <c r="C381" i="1"/>
  <c r="I381" i="1"/>
  <c r="J381" i="1"/>
  <c r="L381" i="1"/>
  <c r="C382" i="1"/>
  <c r="I382" i="1"/>
  <c r="J382" i="1"/>
  <c r="L382" i="1"/>
  <c r="C383" i="1"/>
  <c r="I383" i="1"/>
  <c r="J383" i="1"/>
  <c r="L383" i="1"/>
  <c r="C384" i="1"/>
  <c r="I384" i="1"/>
  <c r="J384" i="1"/>
  <c r="L384" i="1"/>
  <c r="C385" i="1"/>
  <c r="I385" i="1"/>
  <c r="J385" i="1"/>
  <c r="L385" i="1"/>
  <c r="C386" i="1"/>
  <c r="I386" i="1"/>
  <c r="J386" i="1"/>
  <c r="L386" i="1"/>
  <c r="C387" i="1"/>
  <c r="I387" i="1"/>
  <c r="J387" i="1"/>
  <c r="L387" i="1"/>
  <c r="C388" i="1"/>
  <c r="I388" i="1"/>
  <c r="J388" i="1"/>
  <c r="L388" i="1"/>
  <c r="C389" i="1"/>
  <c r="I389" i="1"/>
  <c r="J389" i="1"/>
  <c r="L389" i="1"/>
  <c r="C390" i="1"/>
  <c r="I390" i="1"/>
  <c r="J390" i="1"/>
  <c r="L390" i="1"/>
  <c r="C391" i="1"/>
  <c r="I391" i="1"/>
  <c r="J391" i="1"/>
  <c r="L391" i="1"/>
  <c r="C392" i="1"/>
  <c r="I392" i="1"/>
  <c r="J392" i="1"/>
  <c r="L392" i="1"/>
  <c r="C393" i="1"/>
  <c r="I393" i="1"/>
  <c r="J393" i="1"/>
  <c r="L393" i="1"/>
  <c r="C394" i="1"/>
  <c r="I394" i="1"/>
  <c r="J394" i="1"/>
  <c r="L394" i="1"/>
  <c r="C395" i="1"/>
  <c r="I395" i="1"/>
  <c r="J395" i="1"/>
  <c r="L395" i="1"/>
  <c r="C396" i="1"/>
  <c r="I396" i="1"/>
  <c r="J396" i="1"/>
  <c r="L396" i="1"/>
  <c r="C397" i="1"/>
  <c r="I397" i="1"/>
  <c r="J397" i="1"/>
  <c r="L397" i="1"/>
  <c r="C398" i="1"/>
  <c r="I398" i="1"/>
  <c r="J398" i="1"/>
  <c r="L398" i="1"/>
  <c r="C399" i="1"/>
  <c r="I399" i="1"/>
  <c r="J399" i="1"/>
  <c r="L399" i="1"/>
  <c r="C400" i="1"/>
  <c r="I400" i="1"/>
  <c r="J400" i="1"/>
  <c r="L400" i="1"/>
  <c r="C401" i="1"/>
  <c r="I401" i="1"/>
  <c r="J401" i="1"/>
  <c r="L401" i="1"/>
  <c r="C402" i="1"/>
  <c r="I402" i="1"/>
  <c r="J402" i="1"/>
  <c r="L402" i="1"/>
  <c r="C403" i="1"/>
  <c r="I403" i="1"/>
  <c r="J403" i="1"/>
  <c r="L403" i="1"/>
  <c r="C404" i="1"/>
  <c r="I404" i="1"/>
  <c r="J404" i="1"/>
  <c r="L404" i="1"/>
  <c r="C405" i="1"/>
  <c r="I405" i="1"/>
  <c r="J405" i="1"/>
  <c r="L405" i="1"/>
  <c r="C406" i="1"/>
  <c r="I406" i="1"/>
  <c r="J406" i="1"/>
  <c r="L406" i="1"/>
  <c r="C407" i="1"/>
  <c r="I407" i="1"/>
  <c r="J407" i="1"/>
  <c r="L407" i="1"/>
  <c r="C408" i="1"/>
  <c r="I408" i="1"/>
  <c r="J408" i="1"/>
  <c r="L408" i="1"/>
  <c r="C409" i="1"/>
  <c r="I409" i="1"/>
  <c r="J409" i="1"/>
  <c r="L409" i="1"/>
  <c r="C410" i="1"/>
  <c r="I410" i="1"/>
  <c r="J410" i="1"/>
  <c r="L410" i="1"/>
  <c r="C411" i="1"/>
  <c r="I411" i="1"/>
  <c r="J411" i="1"/>
  <c r="L411" i="1"/>
  <c r="C412" i="1"/>
  <c r="I412" i="1"/>
  <c r="J412" i="1"/>
  <c r="L412" i="1"/>
  <c r="C413" i="1"/>
  <c r="I413" i="1"/>
  <c r="J413" i="1"/>
  <c r="L413" i="1"/>
  <c r="C414" i="1"/>
  <c r="I414" i="1"/>
  <c r="J414" i="1"/>
  <c r="L414" i="1"/>
  <c r="C415" i="1"/>
  <c r="I415" i="1"/>
  <c r="J415" i="1"/>
  <c r="L415" i="1"/>
  <c r="C416" i="1"/>
  <c r="I416" i="1"/>
  <c r="J416" i="1"/>
  <c r="L416" i="1"/>
  <c r="C417" i="1"/>
  <c r="I417" i="1"/>
  <c r="J417" i="1"/>
  <c r="L417" i="1"/>
  <c r="C418" i="1"/>
  <c r="I418" i="1"/>
  <c r="J418" i="1"/>
  <c r="L418" i="1"/>
  <c r="C419" i="1"/>
  <c r="I419" i="1"/>
  <c r="J419" i="1"/>
  <c r="L419" i="1"/>
  <c r="C420" i="1"/>
  <c r="I420" i="1"/>
  <c r="J420" i="1"/>
  <c r="L420" i="1"/>
  <c r="C421" i="1"/>
  <c r="I421" i="1"/>
  <c r="J421" i="1"/>
  <c r="L421" i="1"/>
  <c r="C422" i="1"/>
  <c r="I422" i="1"/>
  <c r="J422" i="1"/>
  <c r="L422" i="1"/>
  <c r="C423" i="1"/>
  <c r="I423" i="1"/>
  <c r="J423" i="1"/>
  <c r="L423" i="1"/>
  <c r="C424" i="1"/>
  <c r="I424" i="1"/>
  <c r="J424" i="1"/>
  <c r="L424" i="1"/>
  <c r="C425" i="1"/>
  <c r="I425" i="1"/>
  <c r="J425" i="1"/>
  <c r="L425" i="1"/>
  <c r="C426" i="1"/>
  <c r="I426" i="1"/>
  <c r="J426" i="1"/>
  <c r="L426" i="1"/>
  <c r="C427" i="1"/>
  <c r="I427" i="1"/>
  <c r="J427" i="1"/>
  <c r="L427" i="1"/>
  <c r="C428" i="1"/>
  <c r="I428" i="1"/>
  <c r="J428" i="1"/>
  <c r="L428" i="1"/>
  <c r="C429" i="1"/>
  <c r="I429" i="1"/>
  <c r="J429" i="1"/>
  <c r="L429" i="1"/>
  <c r="C430" i="1"/>
  <c r="I430" i="1"/>
  <c r="J430" i="1"/>
  <c r="L430" i="1"/>
  <c r="C431" i="1"/>
  <c r="I431" i="1"/>
  <c r="J431" i="1"/>
  <c r="L431" i="1"/>
  <c r="C432" i="1"/>
  <c r="I432" i="1"/>
  <c r="J432" i="1"/>
  <c r="L432" i="1"/>
  <c r="C433" i="1"/>
  <c r="I433" i="1"/>
  <c r="J433" i="1"/>
  <c r="L433" i="1"/>
  <c r="C434" i="1"/>
  <c r="I434" i="1"/>
  <c r="J434" i="1"/>
  <c r="L434" i="1"/>
  <c r="C435" i="1"/>
  <c r="I435" i="1"/>
  <c r="J435" i="1"/>
  <c r="L435" i="1"/>
  <c r="C436" i="1"/>
  <c r="I436" i="1"/>
  <c r="J436" i="1"/>
  <c r="L436" i="1"/>
  <c r="C437" i="1"/>
  <c r="I437" i="1"/>
  <c r="J437" i="1"/>
  <c r="L437" i="1"/>
  <c r="C438" i="1"/>
  <c r="I438" i="1"/>
  <c r="J438" i="1"/>
  <c r="L438" i="1"/>
  <c r="C439" i="1"/>
  <c r="I439" i="1"/>
  <c r="J439" i="1"/>
  <c r="L439" i="1"/>
  <c r="C440" i="1"/>
  <c r="I440" i="1"/>
  <c r="J440" i="1"/>
  <c r="L440" i="1"/>
  <c r="C441" i="1"/>
  <c r="I441" i="1"/>
  <c r="J441" i="1"/>
  <c r="L441" i="1"/>
  <c r="C442" i="1"/>
  <c r="I442" i="1"/>
  <c r="J442" i="1"/>
  <c r="L442" i="1"/>
  <c r="C443" i="1"/>
  <c r="I443" i="1"/>
  <c r="J443" i="1"/>
  <c r="L443" i="1"/>
  <c r="C444" i="1"/>
  <c r="I444" i="1"/>
  <c r="J444" i="1"/>
  <c r="L444" i="1"/>
  <c r="C445" i="1"/>
  <c r="I445" i="1"/>
  <c r="J445" i="1"/>
  <c r="L445" i="1"/>
  <c r="C446" i="1"/>
  <c r="I446" i="1"/>
  <c r="J446" i="1"/>
  <c r="L446" i="1"/>
  <c r="C447" i="1"/>
  <c r="I447" i="1"/>
  <c r="J447" i="1"/>
  <c r="L447" i="1"/>
  <c r="C448" i="1"/>
  <c r="I448" i="1"/>
  <c r="J448" i="1"/>
  <c r="L448" i="1"/>
  <c r="C449" i="1"/>
  <c r="I449" i="1"/>
  <c r="J449" i="1"/>
  <c r="L449" i="1"/>
  <c r="C450" i="1"/>
  <c r="I450" i="1"/>
  <c r="J450" i="1"/>
  <c r="L450" i="1"/>
  <c r="C451" i="1"/>
  <c r="I451" i="1"/>
  <c r="J451" i="1"/>
  <c r="L451" i="1"/>
  <c r="C452" i="1"/>
  <c r="I452" i="1"/>
  <c r="J452" i="1"/>
  <c r="L452" i="1"/>
  <c r="C453" i="1"/>
  <c r="I453" i="1"/>
  <c r="J453" i="1"/>
  <c r="L453" i="1"/>
  <c r="C454" i="1"/>
  <c r="I454" i="1"/>
  <c r="J454" i="1"/>
  <c r="L454" i="1"/>
  <c r="C455" i="1"/>
  <c r="I455" i="1"/>
  <c r="J455" i="1"/>
  <c r="L455" i="1"/>
  <c r="C456" i="1"/>
  <c r="I456" i="1"/>
  <c r="J456" i="1"/>
  <c r="L456" i="1"/>
  <c r="C457" i="1"/>
  <c r="I457" i="1"/>
  <c r="J457" i="1"/>
  <c r="L457" i="1"/>
  <c r="C458" i="1"/>
  <c r="I458" i="1"/>
  <c r="J458" i="1"/>
  <c r="L458" i="1"/>
  <c r="C459" i="1"/>
  <c r="I459" i="1"/>
  <c r="J459" i="1"/>
  <c r="L459" i="1"/>
  <c r="C460" i="1"/>
  <c r="I460" i="1"/>
  <c r="J460" i="1"/>
  <c r="L460" i="1"/>
  <c r="C461" i="1"/>
  <c r="I461" i="1"/>
  <c r="J461" i="1"/>
  <c r="L461" i="1"/>
  <c r="C462" i="1"/>
  <c r="I462" i="1"/>
  <c r="J462" i="1"/>
  <c r="L462" i="1"/>
  <c r="C463" i="1"/>
  <c r="I463" i="1"/>
  <c r="J463" i="1"/>
  <c r="L463" i="1"/>
  <c r="C464" i="1"/>
  <c r="I464" i="1"/>
  <c r="J464" i="1"/>
  <c r="L464" i="1"/>
  <c r="C465" i="1"/>
  <c r="I465" i="1"/>
  <c r="J465" i="1"/>
  <c r="L465" i="1"/>
  <c r="C466" i="1"/>
  <c r="I466" i="1"/>
  <c r="J466" i="1"/>
  <c r="L466" i="1"/>
  <c r="C467" i="1"/>
  <c r="I467" i="1"/>
  <c r="J467" i="1"/>
  <c r="L467" i="1"/>
  <c r="C468" i="1"/>
  <c r="I468" i="1"/>
  <c r="J468" i="1"/>
  <c r="L468" i="1"/>
  <c r="C469" i="1"/>
  <c r="I469" i="1"/>
  <c r="J469" i="1"/>
  <c r="L469" i="1"/>
  <c r="C470" i="1"/>
  <c r="I470" i="1"/>
  <c r="J470" i="1"/>
  <c r="L470" i="1"/>
  <c r="C471" i="1"/>
  <c r="I471" i="1"/>
  <c r="J471" i="1"/>
  <c r="L471" i="1"/>
  <c r="C472" i="1"/>
  <c r="I472" i="1"/>
  <c r="J472" i="1"/>
  <c r="L472" i="1"/>
  <c r="C473" i="1"/>
  <c r="I473" i="1"/>
  <c r="J473" i="1"/>
  <c r="L473" i="1"/>
  <c r="C474" i="1"/>
  <c r="I474" i="1"/>
  <c r="J474" i="1"/>
  <c r="L474" i="1"/>
  <c r="C475" i="1"/>
  <c r="I475" i="1"/>
  <c r="J475" i="1"/>
  <c r="L475" i="1"/>
  <c r="C476" i="1"/>
  <c r="I476" i="1"/>
  <c r="J476" i="1"/>
  <c r="L476" i="1"/>
  <c r="C477" i="1"/>
  <c r="I477" i="1"/>
  <c r="J477" i="1"/>
  <c r="L477" i="1"/>
  <c r="C478" i="1"/>
  <c r="I478" i="1"/>
  <c r="J478" i="1"/>
  <c r="L478" i="1"/>
  <c r="C479" i="1"/>
  <c r="I479" i="1"/>
  <c r="J479" i="1"/>
  <c r="L479" i="1"/>
  <c r="C480" i="1"/>
  <c r="I480" i="1"/>
  <c r="J480" i="1"/>
  <c r="L480" i="1"/>
  <c r="C481" i="1"/>
  <c r="I481" i="1"/>
  <c r="J481" i="1"/>
  <c r="L481" i="1"/>
  <c r="C482" i="1"/>
  <c r="I482" i="1"/>
  <c r="J482" i="1"/>
  <c r="L482" i="1"/>
  <c r="C483" i="1"/>
  <c r="I483" i="1"/>
  <c r="J483" i="1"/>
  <c r="L483" i="1"/>
  <c r="C484" i="1"/>
  <c r="I484" i="1"/>
  <c r="J484" i="1"/>
  <c r="L484" i="1"/>
  <c r="C485" i="1"/>
  <c r="I485" i="1"/>
  <c r="J485" i="1"/>
  <c r="L485" i="1"/>
  <c r="C486" i="1"/>
  <c r="I486" i="1"/>
  <c r="J486" i="1"/>
  <c r="L486" i="1"/>
  <c r="C487" i="1"/>
  <c r="I487" i="1"/>
  <c r="J487" i="1"/>
  <c r="L487" i="1"/>
  <c r="C488" i="1"/>
  <c r="I488" i="1"/>
  <c r="J488" i="1"/>
  <c r="L488" i="1"/>
  <c r="C489" i="1"/>
  <c r="I489" i="1"/>
  <c r="J489" i="1"/>
  <c r="L489" i="1"/>
  <c r="C490" i="1"/>
  <c r="I490" i="1"/>
  <c r="J490" i="1"/>
  <c r="L490" i="1"/>
  <c r="C491" i="1"/>
  <c r="I491" i="1"/>
  <c r="J491" i="1"/>
  <c r="L491" i="1"/>
  <c r="C492" i="1"/>
  <c r="I492" i="1"/>
  <c r="J492" i="1"/>
  <c r="L492" i="1"/>
  <c r="C493" i="1"/>
  <c r="I493" i="1"/>
  <c r="J493" i="1"/>
  <c r="L493" i="1"/>
  <c r="C494" i="1"/>
  <c r="I494" i="1"/>
  <c r="J494" i="1"/>
  <c r="L494" i="1"/>
  <c r="C495" i="1"/>
  <c r="I495" i="1"/>
  <c r="J495" i="1"/>
  <c r="L495" i="1"/>
  <c r="C496" i="1"/>
  <c r="I496" i="1"/>
  <c r="J496" i="1"/>
  <c r="L496" i="1"/>
  <c r="C497" i="1"/>
  <c r="I497" i="1"/>
  <c r="J497" i="1"/>
  <c r="L497" i="1"/>
  <c r="C498" i="1"/>
  <c r="I498" i="1"/>
  <c r="J498" i="1"/>
  <c r="L498" i="1"/>
  <c r="C499" i="1"/>
  <c r="I499" i="1"/>
  <c r="J499" i="1"/>
  <c r="L499" i="1"/>
  <c r="C500" i="1"/>
  <c r="I500" i="1"/>
  <c r="J500" i="1"/>
  <c r="L500" i="1"/>
  <c r="C501" i="1"/>
  <c r="I501" i="1"/>
  <c r="J501" i="1"/>
  <c r="L501" i="1"/>
  <c r="C502" i="1"/>
  <c r="I502" i="1"/>
  <c r="J502" i="1"/>
  <c r="L502" i="1"/>
  <c r="C503" i="1"/>
  <c r="I503" i="1"/>
  <c r="J503" i="1"/>
  <c r="L503" i="1"/>
  <c r="C504" i="1"/>
  <c r="I504" i="1"/>
  <c r="J504" i="1"/>
  <c r="L504" i="1"/>
  <c r="C505" i="1"/>
  <c r="I505" i="1"/>
  <c r="J505" i="1"/>
  <c r="L505" i="1"/>
  <c r="C506" i="1"/>
  <c r="I506" i="1"/>
  <c r="J506" i="1"/>
  <c r="L506" i="1"/>
  <c r="C507" i="1"/>
  <c r="I507" i="1"/>
  <c r="J507" i="1"/>
  <c r="L507" i="1"/>
  <c r="C508" i="1"/>
  <c r="I508" i="1"/>
  <c r="J508" i="1"/>
  <c r="L508" i="1"/>
  <c r="C509" i="1"/>
  <c r="I509" i="1"/>
  <c r="J509" i="1"/>
  <c r="L509" i="1"/>
  <c r="C510" i="1"/>
  <c r="I510" i="1"/>
  <c r="J510" i="1"/>
  <c r="L510" i="1"/>
  <c r="C511" i="1"/>
  <c r="I511" i="1"/>
  <c r="J511" i="1"/>
  <c r="L511" i="1"/>
  <c r="C512" i="1"/>
  <c r="I512" i="1"/>
  <c r="J512" i="1"/>
  <c r="L512" i="1"/>
  <c r="C513" i="1"/>
  <c r="I513" i="1"/>
  <c r="J513" i="1"/>
  <c r="L513" i="1"/>
  <c r="C514" i="1"/>
  <c r="I514" i="1"/>
  <c r="J514" i="1"/>
  <c r="L514" i="1"/>
  <c r="C515" i="1"/>
  <c r="I515" i="1"/>
  <c r="J515" i="1"/>
  <c r="L515" i="1"/>
  <c r="C516" i="1"/>
  <c r="I516" i="1"/>
  <c r="J516" i="1"/>
  <c r="L516" i="1"/>
  <c r="C517" i="1"/>
  <c r="I517" i="1"/>
  <c r="J517" i="1"/>
  <c r="L517" i="1"/>
  <c r="C518" i="1"/>
  <c r="I518" i="1"/>
  <c r="J518" i="1"/>
  <c r="L518" i="1"/>
  <c r="C519" i="1"/>
  <c r="I519" i="1"/>
  <c r="J519" i="1"/>
  <c r="L519" i="1"/>
  <c r="C520" i="1"/>
  <c r="I520" i="1"/>
  <c r="J520" i="1"/>
  <c r="L520" i="1"/>
  <c r="C521" i="1"/>
  <c r="I521" i="1"/>
  <c r="J521" i="1"/>
  <c r="L521" i="1"/>
  <c r="C522" i="1"/>
  <c r="I522" i="1"/>
  <c r="J522" i="1"/>
  <c r="L522" i="1"/>
  <c r="C523" i="1"/>
  <c r="I523" i="1"/>
  <c r="J523" i="1"/>
  <c r="L523" i="1"/>
  <c r="C524" i="1"/>
  <c r="I524" i="1"/>
  <c r="J524" i="1"/>
  <c r="L524" i="1"/>
  <c r="C525" i="1"/>
  <c r="I525" i="1"/>
  <c r="J525" i="1"/>
  <c r="L525" i="1"/>
  <c r="C526" i="1"/>
  <c r="I526" i="1"/>
  <c r="J526" i="1"/>
  <c r="L526" i="1"/>
  <c r="C527" i="1"/>
  <c r="I527" i="1"/>
  <c r="J527" i="1"/>
  <c r="L527" i="1"/>
  <c r="C528" i="1"/>
  <c r="I528" i="1"/>
  <c r="J528" i="1"/>
  <c r="L528" i="1"/>
  <c r="C529" i="1"/>
  <c r="I529" i="1"/>
  <c r="J529" i="1"/>
  <c r="L529" i="1"/>
  <c r="C530" i="1"/>
  <c r="I530" i="1"/>
  <c r="J530" i="1"/>
  <c r="L530" i="1"/>
  <c r="C531" i="1"/>
  <c r="I531" i="1"/>
  <c r="J531" i="1"/>
  <c r="L531" i="1"/>
  <c r="C532" i="1"/>
  <c r="I532" i="1"/>
  <c r="J532" i="1"/>
  <c r="L532" i="1"/>
  <c r="C533" i="1"/>
  <c r="I533" i="1"/>
  <c r="J533" i="1"/>
  <c r="L533" i="1"/>
  <c r="C534" i="1"/>
  <c r="I534" i="1"/>
  <c r="J534" i="1"/>
  <c r="L534" i="1"/>
  <c r="C535" i="1"/>
  <c r="I535" i="1"/>
  <c r="J535" i="1"/>
  <c r="L535" i="1"/>
  <c r="C536" i="1"/>
  <c r="I536" i="1"/>
  <c r="J536" i="1"/>
  <c r="L536" i="1"/>
  <c r="C537" i="1"/>
  <c r="I537" i="1"/>
  <c r="J537" i="1"/>
  <c r="L537" i="1"/>
  <c r="C538" i="1"/>
  <c r="I538" i="1"/>
  <c r="J538" i="1"/>
  <c r="L538" i="1"/>
  <c r="C539" i="1"/>
  <c r="I539" i="1"/>
  <c r="J539" i="1"/>
  <c r="L539" i="1"/>
  <c r="C540" i="1"/>
  <c r="I540" i="1"/>
  <c r="J540" i="1"/>
  <c r="L540" i="1"/>
  <c r="C541" i="1"/>
  <c r="I541" i="1"/>
  <c r="J541" i="1"/>
  <c r="L541" i="1"/>
  <c r="C542" i="1"/>
  <c r="I542" i="1"/>
  <c r="J542" i="1"/>
  <c r="L542" i="1"/>
  <c r="C543" i="1"/>
  <c r="I543" i="1"/>
  <c r="J543" i="1"/>
  <c r="L543" i="1"/>
  <c r="C544" i="1"/>
  <c r="I544" i="1"/>
  <c r="J544" i="1"/>
  <c r="L544" i="1"/>
  <c r="C545" i="1"/>
  <c r="I545" i="1"/>
  <c r="J545" i="1"/>
  <c r="L545" i="1"/>
  <c r="C546" i="1"/>
  <c r="I546" i="1"/>
  <c r="J546" i="1"/>
  <c r="L546" i="1"/>
  <c r="C547" i="1"/>
  <c r="I547" i="1"/>
  <c r="J547" i="1"/>
  <c r="L547" i="1"/>
  <c r="C548" i="1"/>
  <c r="I548" i="1"/>
  <c r="J548" i="1"/>
  <c r="L548" i="1"/>
  <c r="C549" i="1"/>
  <c r="I549" i="1"/>
  <c r="J549" i="1"/>
  <c r="L549" i="1"/>
  <c r="C8" i="1"/>
  <c r="I8" i="1"/>
  <c r="J8" i="1"/>
  <c r="L8" i="1"/>
  <c r="C9" i="1"/>
  <c r="I9" i="1"/>
  <c r="J9" i="1"/>
  <c r="L9" i="1"/>
  <c r="C10" i="1"/>
  <c r="I10" i="1"/>
  <c r="J10" i="1"/>
  <c r="L10" i="1"/>
  <c r="C11" i="1"/>
  <c r="I11" i="1"/>
  <c r="J11" i="1"/>
  <c r="L11" i="1"/>
  <c r="C12" i="1"/>
  <c r="I12" i="1"/>
  <c r="J12" i="1"/>
  <c r="L12" i="1"/>
  <c r="C13" i="1"/>
  <c r="I13" i="1"/>
  <c r="J13" i="1"/>
  <c r="L13" i="1"/>
  <c r="C14" i="1"/>
  <c r="I14" i="1"/>
  <c r="J14" i="1"/>
  <c r="L14" i="1"/>
  <c r="C15" i="1"/>
  <c r="I15" i="1"/>
  <c r="J15" i="1"/>
  <c r="L15" i="1"/>
  <c r="C16" i="1"/>
  <c r="I16" i="1"/>
  <c r="J16" i="1"/>
  <c r="L16" i="1"/>
  <c r="C17" i="1"/>
  <c r="I17" i="1"/>
  <c r="J17" i="1"/>
  <c r="L17" i="1"/>
  <c r="C18" i="1"/>
  <c r="I18" i="1"/>
  <c r="J18" i="1"/>
  <c r="L18" i="1"/>
  <c r="C19" i="1"/>
  <c r="I19" i="1"/>
  <c r="J19" i="1"/>
  <c r="L19" i="1"/>
  <c r="C20" i="1"/>
  <c r="I20" i="1"/>
  <c r="J20" i="1"/>
  <c r="L20" i="1"/>
  <c r="C21" i="1"/>
  <c r="I21" i="1"/>
  <c r="J21" i="1"/>
  <c r="L21" i="1"/>
  <c r="C22" i="1"/>
  <c r="I22" i="1"/>
  <c r="J22" i="1"/>
  <c r="L22" i="1"/>
  <c r="C23" i="1"/>
  <c r="I23" i="1"/>
  <c r="J23" i="1"/>
  <c r="L23" i="1"/>
  <c r="C24" i="1"/>
  <c r="I24" i="1"/>
  <c r="J24" i="1"/>
  <c r="L24" i="1"/>
  <c r="C25" i="1"/>
  <c r="I25" i="1"/>
  <c r="J25" i="1"/>
  <c r="L25" i="1"/>
  <c r="C26" i="1"/>
  <c r="I26" i="1"/>
  <c r="J26" i="1"/>
  <c r="L26" i="1"/>
  <c r="C27" i="1"/>
  <c r="I27" i="1"/>
  <c r="J27" i="1"/>
  <c r="L27" i="1"/>
  <c r="C28" i="1"/>
  <c r="I28" i="1"/>
  <c r="J28" i="1"/>
  <c r="L28" i="1"/>
  <c r="C29" i="1"/>
  <c r="I29" i="1"/>
  <c r="J29" i="1"/>
  <c r="L29" i="1"/>
  <c r="C30" i="1"/>
  <c r="I30" i="1"/>
  <c r="J30" i="1"/>
  <c r="L30" i="1"/>
  <c r="C31" i="1"/>
  <c r="I31" i="1"/>
  <c r="J31" i="1"/>
  <c r="L31" i="1"/>
  <c r="C32" i="1"/>
  <c r="I32" i="1"/>
  <c r="J32" i="1"/>
  <c r="L32" i="1"/>
  <c r="C33" i="1"/>
  <c r="I33" i="1"/>
  <c r="J33" i="1"/>
  <c r="L33" i="1"/>
  <c r="C34" i="1"/>
  <c r="I34" i="1"/>
  <c r="J34" i="1"/>
  <c r="L34" i="1"/>
  <c r="C35" i="1"/>
  <c r="I35" i="1"/>
  <c r="J35" i="1"/>
  <c r="L35" i="1"/>
  <c r="C36" i="1"/>
  <c r="I36" i="1"/>
  <c r="J36" i="1"/>
  <c r="L36" i="1"/>
  <c r="C37" i="1"/>
  <c r="I37" i="1"/>
  <c r="J37" i="1"/>
  <c r="L37" i="1"/>
  <c r="C38" i="1"/>
  <c r="I38" i="1"/>
  <c r="J38" i="1"/>
  <c r="L38" i="1"/>
  <c r="C39" i="1"/>
  <c r="I39" i="1"/>
  <c r="J39" i="1"/>
  <c r="L39" i="1"/>
  <c r="C40" i="1"/>
  <c r="I40" i="1"/>
  <c r="J40" i="1"/>
  <c r="L40" i="1"/>
  <c r="C41" i="1"/>
  <c r="I41" i="1"/>
  <c r="J41" i="1"/>
  <c r="L41" i="1"/>
  <c r="C42" i="1"/>
  <c r="I42" i="1"/>
  <c r="J42" i="1"/>
  <c r="L42" i="1"/>
  <c r="C43" i="1"/>
  <c r="I43" i="1"/>
  <c r="J43" i="1"/>
  <c r="L43" i="1"/>
  <c r="C44" i="1"/>
  <c r="I44" i="1"/>
  <c r="J44" i="1"/>
  <c r="L44" i="1"/>
  <c r="C45" i="1"/>
  <c r="I45" i="1"/>
  <c r="J45" i="1"/>
  <c r="L45" i="1"/>
  <c r="C46" i="1"/>
  <c r="I46" i="1"/>
  <c r="J46" i="1"/>
  <c r="L46" i="1"/>
  <c r="C47" i="1"/>
  <c r="I47" i="1"/>
  <c r="J47" i="1"/>
  <c r="L47" i="1"/>
  <c r="C48" i="1"/>
  <c r="I48" i="1"/>
  <c r="J48" i="1"/>
  <c r="L48" i="1"/>
  <c r="C49" i="1"/>
  <c r="I49" i="1"/>
  <c r="J49" i="1"/>
  <c r="L49" i="1"/>
  <c r="C50" i="1"/>
  <c r="I50" i="1"/>
  <c r="J50" i="1"/>
  <c r="L50" i="1"/>
  <c r="C51" i="1"/>
  <c r="I51" i="1"/>
  <c r="J51" i="1"/>
  <c r="L51" i="1"/>
  <c r="C52" i="1"/>
  <c r="I52" i="1"/>
  <c r="J52" i="1"/>
  <c r="L52" i="1"/>
  <c r="C53" i="1"/>
  <c r="I53" i="1"/>
  <c r="J53" i="1"/>
  <c r="L53" i="1"/>
  <c r="C54" i="1"/>
  <c r="I54" i="1"/>
  <c r="J54" i="1"/>
  <c r="L54" i="1"/>
  <c r="C55" i="1"/>
  <c r="I55" i="1"/>
  <c r="J55" i="1"/>
  <c r="L55" i="1"/>
  <c r="C56" i="1"/>
  <c r="I56" i="1"/>
  <c r="J56" i="1"/>
  <c r="L56" i="1"/>
  <c r="C57" i="1"/>
  <c r="I57" i="1"/>
  <c r="J57" i="1"/>
  <c r="L57" i="1"/>
  <c r="C58" i="1"/>
  <c r="I58" i="1"/>
  <c r="J58" i="1"/>
  <c r="L58" i="1"/>
  <c r="C59" i="1"/>
  <c r="I59" i="1"/>
  <c r="J59" i="1"/>
  <c r="L59" i="1"/>
  <c r="C60" i="1"/>
  <c r="I60" i="1"/>
  <c r="J60" i="1"/>
  <c r="L60" i="1"/>
  <c r="C61" i="1"/>
  <c r="I61" i="1"/>
  <c r="J61" i="1"/>
  <c r="L61" i="1"/>
  <c r="C62" i="1"/>
  <c r="I62" i="1"/>
  <c r="J62" i="1"/>
  <c r="L62" i="1"/>
  <c r="C63" i="1"/>
  <c r="I63" i="1"/>
  <c r="J63" i="1"/>
  <c r="L63" i="1"/>
  <c r="C64" i="1"/>
  <c r="I64" i="1"/>
  <c r="J64" i="1"/>
  <c r="L64" i="1"/>
  <c r="C65" i="1"/>
  <c r="I65" i="1"/>
  <c r="J65" i="1"/>
  <c r="L65" i="1"/>
  <c r="C66" i="1"/>
  <c r="I66" i="1"/>
  <c r="J66" i="1"/>
  <c r="L66" i="1"/>
  <c r="C67" i="1"/>
  <c r="I67" i="1"/>
  <c r="J67" i="1"/>
  <c r="L67" i="1"/>
  <c r="C68" i="1"/>
  <c r="I68" i="1"/>
  <c r="J68" i="1"/>
  <c r="L68" i="1"/>
  <c r="C69" i="1"/>
  <c r="I69" i="1"/>
  <c r="J69" i="1"/>
  <c r="L69" i="1"/>
  <c r="C70" i="1"/>
  <c r="I70" i="1"/>
  <c r="J70" i="1"/>
  <c r="L70" i="1"/>
  <c r="C71" i="1"/>
  <c r="I71" i="1"/>
  <c r="J71" i="1"/>
  <c r="L71" i="1"/>
  <c r="C72" i="1"/>
  <c r="I72" i="1"/>
  <c r="J72" i="1"/>
  <c r="L72" i="1"/>
  <c r="C73" i="1"/>
  <c r="I73" i="1"/>
  <c r="J73" i="1"/>
  <c r="L73" i="1"/>
  <c r="C74" i="1"/>
  <c r="I74" i="1"/>
  <c r="J74" i="1"/>
  <c r="L74" i="1"/>
  <c r="C75" i="1"/>
  <c r="I75" i="1"/>
  <c r="J75" i="1"/>
  <c r="L75" i="1"/>
  <c r="C76" i="1"/>
  <c r="I76" i="1"/>
  <c r="J76" i="1"/>
  <c r="L76" i="1"/>
  <c r="C77" i="1"/>
  <c r="I77" i="1"/>
  <c r="J77" i="1"/>
  <c r="L77" i="1"/>
  <c r="C78" i="1"/>
  <c r="I78" i="1"/>
  <c r="J78" i="1"/>
  <c r="L78" i="1"/>
  <c r="C79" i="1"/>
  <c r="I79" i="1"/>
  <c r="J79" i="1"/>
  <c r="L79" i="1"/>
  <c r="C80" i="1"/>
  <c r="I80" i="1"/>
  <c r="J80" i="1"/>
  <c r="L80" i="1"/>
  <c r="C81" i="1"/>
  <c r="I81" i="1"/>
  <c r="J81" i="1"/>
  <c r="L81" i="1"/>
  <c r="C82" i="1"/>
  <c r="I82" i="1"/>
  <c r="J82" i="1"/>
  <c r="L82" i="1"/>
  <c r="C83" i="1"/>
  <c r="I83" i="1"/>
  <c r="J83" i="1"/>
  <c r="L83" i="1"/>
  <c r="C84" i="1"/>
  <c r="I84" i="1"/>
  <c r="J84" i="1"/>
  <c r="L84" i="1"/>
  <c r="C85" i="1"/>
  <c r="I85" i="1"/>
  <c r="J85" i="1"/>
  <c r="L85" i="1"/>
  <c r="C86" i="1"/>
  <c r="I86" i="1"/>
  <c r="J86" i="1"/>
  <c r="L86" i="1"/>
  <c r="C87" i="1"/>
  <c r="I87" i="1"/>
  <c r="J87" i="1"/>
  <c r="L87" i="1"/>
  <c r="C88" i="1"/>
  <c r="I88" i="1"/>
  <c r="J88" i="1"/>
  <c r="L88" i="1"/>
  <c r="C89" i="1"/>
  <c r="I89" i="1"/>
  <c r="J89" i="1"/>
  <c r="L89" i="1"/>
  <c r="C90" i="1"/>
  <c r="I90" i="1"/>
  <c r="J90" i="1"/>
  <c r="L90" i="1"/>
  <c r="C91" i="1"/>
  <c r="I91" i="1"/>
  <c r="J91" i="1"/>
  <c r="L91" i="1"/>
  <c r="C92" i="1"/>
  <c r="I92" i="1"/>
  <c r="J92" i="1"/>
  <c r="L92" i="1"/>
  <c r="C93" i="1"/>
  <c r="I93" i="1"/>
  <c r="J93" i="1"/>
  <c r="L93" i="1"/>
  <c r="C94" i="1"/>
  <c r="I94" i="1"/>
  <c r="J94" i="1"/>
  <c r="L94" i="1"/>
  <c r="C95" i="1"/>
  <c r="I95" i="1"/>
  <c r="J95" i="1"/>
  <c r="L95" i="1"/>
  <c r="C96" i="1"/>
  <c r="I96" i="1"/>
  <c r="J96" i="1"/>
  <c r="L96" i="1"/>
  <c r="C97" i="1"/>
  <c r="I97" i="1"/>
  <c r="J97" i="1"/>
  <c r="L97" i="1"/>
  <c r="C98" i="1"/>
  <c r="I98" i="1"/>
  <c r="J98" i="1"/>
  <c r="L98" i="1"/>
  <c r="C99" i="1"/>
  <c r="I99" i="1"/>
  <c r="J99" i="1"/>
  <c r="L99" i="1"/>
  <c r="C100" i="1"/>
  <c r="I100" i="1"/>
  <c r="J100" i="1"/>
  <c r="L100" i="1"/>
  <c r="C101" i="1"/>
  <c r="I101" i="1"/>
  <c r="J101" i="1"/>
  <c r="L101" i="1"/>
  <c r="C102" i="1"/>
  <c r="I102" i="1"/>
  <c r="J102" i="1"/>
  <c r="L102" i="1"/>
  <c r="C103" i="1"/>
  <c r="I103" i="1"/>
  <c r="J103" i="1"/>
  <c r="L103" i="1"/>
  <c r="C104" i="1"/>
  <c r="I104" i="1"/>
  <c r="J104" i="1"/>
  <c r="L104" i="1"/>
  <c r="C105" i="1"/>
  <c r="I105" i="1"/>
  <c r="J105" i="1"/>
  <c r="L105" i="1"/>
  <c r="C106" i="1"/>
  <c r="I106" i="1"/>
  <c r="J106" i="1"/>
  <c r="L106" i="1"/>
  <c r="C107" i="1"/>
  <c r="I107" i="1"/>
  <c r="J107" i="1"/>
  <c r="L107" i="1"/>
  <c r="C108" i="1"/>
  <c r="I108" i="1"/>
  <c r="J108" i="1"/>
  <c r="L108" i="1"/>
  <c r="C109" i="1"/>
  <c r="I109" i="1"/>
  <c r="J109" i="1"/>
  <c r="L109" i="1"/>
  <c r="C110" i="1"/>
  <c r="I110" i="1"/>
  <c r="J110" i="1"/>
  <c r="L110" i="1"/>
  <c r="C111" i="1"/>
  <c r="I111" i="1"/>
  <c r="J111" i="1"/>
  <c r="L111" i="1"/>
  <c r="C112" i="1"/>
  <c r="I112" i="1"/>
  <c r="J112" i="1"/>
  <c r="L112" i="1"/>
  <c r="C113" i="1"/>
  <c r="I113" i="1"/>
  <c r="J113" i="1"/>
  <c r="L113" i="1"/>
  <c r="C114" i="1"/>
  <c r="I114" i="1"/>
  <c r="J114" i="1"/>
  <c r="L114" i="1"/>
  <c r="C115" i="1"/>
  <c r="I115" i="1"/>
  <c r="J115" i="1"/>
  <c r="L115" i="1"/>
  <c r="C116" i="1"/>
  <c r="I116" i="1"/>
  <c r="J116" i="1"/>
  <c r="L116" i="1"/>
  <c r="C117" i="1"/>
  <c r="I117" i="1"/>
  <c r="J117" i="1"/>
  <c r="L117" i="1"/>
  <c r="C118" i="1"/>
  <c r="I118" i="1"/>
  <c r="J118" i="1"/>
  <c r="L118" i="1"/>
  <c r="C119" i="1"/>
  <c r="I119" i="1"/>
  <c r="J119" i="1"/>
  <c r="L119" i="1"/>
  <c r="C120" i="1"/>
  <c r="I120" i="1"/>
  <c r="J120" i="1"/>
  <c r="L120" i="1"/>
  <c r="C121" i="1"/>
  <c r="I121" i="1"/>
  <c r="J121" i="1"/>
  <c r="L121" i="1"/>
  <c r="C122" i="1"/>
  <c r="I122" i="1"/>
  <c r="J122" i="1"/>
  <c r="L122" i="1"/>
  <c r="C123" i="1"/>
  <c r="I123" i="1"/>
  <c r="J123" i="1"/>
  <c r="L123" i="1"/>
  <c r="C124" i="1"/>
  <c r="I124" i="1"/>
  <c r="J124" i="1"/>
  <c r="L124" i="1"/>
  <c r="C125" i="1"/>
  <c r="I125" i="1"/>
  <c r="J125" i="1"/>
  <c r="L125" i="1"/>
  <c r="C126" i="1"/>
  <c r="I126" i="1"/>
  <c r="J126" i="1"/>
  <c r="L126" i="1"/>
  <c r="C127" i="1"/>
  <c r="I127" i="1"/>
  <c r="J127" i="1"/>
  <c r="L127" i="1"/>
  <c r="C128" i="1"/>
  <c r="I128" i="1"/>
  <c r="J128" i="1"/>
  <c r="L128" i="1"/>
  <c r="C129" i="1"/>
  <c r="I129" i="1"/>
  <c r="J129" i="1"/>
  <c r="L129" i="1"/>
  <c r="C130" i="1"/>
  <c r="I130" i="1"/>
  <c r="J130" i="1"/>
  <c r="L130" i="1"/>
  <c r="C131" i="1"/>
  <c r="I131" i="1"/>
  <c r="J131" i="1"/>
  <c r="L131" i="1"/>
  <c r="C132" i="1"/>
  <c r="I132" i="1"/>
  <c r="J132" i="1"/>
  <c r="L132" i="1"/>
  <c r="C133" i="1"/>
  <c r="I133" i="1"/>
  <c r="J133" i="1"/>
  <c r="L133" i="1"/>
  <c r="C134" i="1"/>
  <c r="I134" i="1"/>
  <c r="J134" i="1"/>
  <c r="L134" i="1"/>
  <c r="C135" i="1"/>
  <c r="I135" i="1"/>
  <c r="J135" i="1"/>
  <c r="L135" i="1"/>
  <c r="C136" i="1"/>
  <c r="I136" i="1"/>
  <c r="J136" i="1"/>
  <c r="L136" i="1"/>
  <c r="C137" i="1"/>
  <c r="I137" i="1"/>
  <c r="J137" i="1"/>
  <c r="L137" i="1"/>
  <c r="C138" i="1"/>
  <c r="I138" i="1"/>
  <c r="J138" i="1"/>
  <c r="L138" i="1"/>
  <c r="C139" i="1"/>
  <c r="I139" i="1"/>
  <c r="J139" i="1"/>
  <c r="L139" i="1"/>
  <c r="C140" i="1"/>
  <c r="I140" i="1"/>
  <c r="J140" i="1"/>
  <c r="L140" i="1"/>
  <c r="C141" i="1"/>
  <c r="I141" i="1"/>
  <c r="J141" i="1"/>
  <c r="L141" i="1"/>
  <c r="C142" i="1"/>
  <c r="I142" i="1"/>
  <c r="J142" i="1"/>
  <c r="L142" i="1"/>
  <c r="C143" i="1"/>
  <c r="I143" i="1"/>
  <c r="J143" i="1"/>
  <c r="L143" i="1"/>
  <c r="C144" i="1"/>
  <c r="I144" i="1"/>
  <c r="J144" i="1"/>
  <c r="L144" i="1"/>
  <c r="C145" i="1"/>
  <c r="I145" i="1"/>
  <c r="J145" i="1"/>
  <c r="L145" i="1"/>
  <c r="C146" i="1"/>
  <c r="I146" i="1"/>
  <c r="J146" i="1"/>
  <c r="L146" i="1"/>
  <c r="C147" i="1"/>
  <c r="I147" i="1"/>
  <c r="J147" i="1"/>
  <c r="L147" i="1"/>
  <c r="C148" i="1"/>
  <c r="I148" i="1"/>
  <c r="J148" i="1"/>
  <c r="L148" i="1"/>
  <c r="C149" i="1"/>
  <c r="I149" i="1"/>
  <c r="J149" i="1"/>
  <c r="L149" i="1"/>
  <c r="C150" i="1"/>
  <c r="I150" i="1"/>
  <c r="J150" i="1"/>
  <c r="L150" i="1"/>
  <c r="C151" i="1"/>
  <c r="I151" i="1"/>
  <c r="J151" i="1"/>
  <c r="L151" i="1"/>
  <c r="C152" i="1"/>
  <c r="I152" i="1"/>
  <c r="J152" i="1"/>
  <c r="L152" i="1"/>
  <c r="C153" i="1"/>
  <c r="I153" i="1"/>
  <c r="J153" i="1"/>
  <c r="L153" i="1"/>
  <c r="C154" i="1"/>
  <c r="I154" i="1"/>
  <c r="J154" i="1"/>
  <c r="L154" i="1"/>
  <c r="C155" i="1"/>
  <c r="I155" i="1"/>
  <c r="J155" i="1"/>
  <c r="L155" i="1"/>
  <c r="C156" i="1"/>
  <c r="I156" i="1"/>
  <c r="J156" i="1"/>
  <c r="L156" i="1"/>
  <c r="C157" i="1"/>
  <c r="I157" i="1"/>
  <c r="J157" i="1"/>
  <c r="L157" i="1"/>
  <c r="C158" i="1"/>
  <c r="I158" i="1"/>
  <c r="J158" i="1"/>
  <c r="L158" i="1"/>
  <c r="C159" i="1"/>
  <c r="I159" i="1"/>
  <c r="J159" i="1"/>
  <c r="L159" i="1"/>
  <c r="C160" i="1"/>
  <c r="I160" i="1"/>
  <c r="J160" i="1"/>
  <c r="L160" i="1"/>
  <c r="C161" i="1"/>
  <c r="I161" i="1"/>
  <c r="J161" i="1"/>
  <c r="L161" i="1"/>
  <c r="C162" i="1"/>
  <c r="I162" i="1"/>
  <c r="J162" i="1"/>
  <c r="L162" i="1"/>
  <c r="C163" i="1"/>
  <c r="I163" i="1"/>
  <c r="J163" i="1"/>
  <c r="L163" i="1"/>
  <c r="C164" i="1"/>
  <c r="I164" i="1"/>
  <c r="J164" i="1"/>
  <c r="L164" i="1"/>
  <c r="C165" i="1"/>
  <c r="I165" i="1"/>
  <c r="J165" i="1"/>
  <c r="L165" i="1"/>
  <c r="C166" i="1"/>
  <c r="I166" i="1"/>
  <c r="J166" i="1"/>
  <c r="L166" i="1"/>
  <c r="C167" i="1"/>
  <c r="I167" i="1"/>
  <c r="J167" i="1"/>
  <c r="L167" i="1"/>
  <c r="C168" i="1"/>
  <c r="I168" i="1"/>
  <c r="J168" i="1"/>
  <c r="L168" i="1"/>
  <c r="C169" i="1"/>
  <c r="I169" i="1"/>
  <c r="J169" i="1"/>
  <c r="L169" i="1"/>
  <c r="C170" i="1"/>
  <c r="I170" i="1"/>
  <c r="J170" i="1"/>
  <c r="L170" i="1"/>
  <c r="C171" i="1"/>
  <c r="I171" i="1"/>
  <c r="J171" i="1"/>
  <c r="L171" i="1"/>
  <c r="C172" i="1"/>
  <c r="I172" i="1"/>
  <c r="J172" i="1"/>
  <c r="L172" i="1"/>
  <c r="C173" i="1"/>
  <c r="I173" i="1"/>
  <c r="J173" i="1"/>
  <c r="L173" i="1"/>
  <c r="C174" i="1"/>
  <c r="I174" i="1"/>
  <c r="J174" i="1"/>
  <c r="L174" i="1"/>
  <c r="C175" i="1"/>
  <c r="I175" i="1"/>
  <c r="J175" i="1"/>
  <c r="L175" i="1"/>
  <c r="C176" i="1"/>
  <c r="I176" i="1"/>
  <c r="J176" i="1"/>
  <c r="L176" i="1"/>
  <c r="C177" i="1"/>
  <c r="I177" i="1"/>
  <c r="J177" i="1"/>
  <c r="L177" i="1"/>
  <c r="C178" i="1"/>
  <c r="I178" i="1"/>
  <c r="J178" i="1"/>
  <c r="L178" i="1"/>
  <c r="C179" i="1"/>
  <c r="I179" i="1"/>
  <c r="J179" i="1"/>
  <c r="L179" i="1"/>
  <c r="C180" i="1"/>
  <c r="I180" i="1"/>
  <c r="J180" i="1"/>
  <c r="L180" i="1"/>
  <c r="C181" i="1"/>
  <c r="I181" i="1"/>
  <c r="J181" i="1"/>
  <c r="L181" i="1"/>
  <c r="C182" i="1"/>
  <c r="I182" i="1"/>
  <c r="J182" i="1"/>
  <c r="L182" i="1"/>
  <c r="C183" i="1"/>
  <c r="I183" i="1"/>
  <c r="J183" i="1"/>
  <c r="L183" i="1"/>
  <c r="C184" i="1"/>
  <c r="I184" i="1"/>
  <c r="J184" i="1"/>
  <c r="L184" i="1"/>
  <c r="C185" i="1"/>
  <c r="I185" i="1"/>
  <c r="J185" i="1"/>
  <c r="L185" i="1"/>
  <c r="C186" i="1"/>
  <c r="I186" i="1"/>
  <c r="J186" i="1"/>
  <c r="L186" i="1"/>
  <c r="C187" i="1"/>
  <c r="I187" i="1"/>
  <c r="J187" i="1"/>
  <c r="L187" i="1"/>
  <c r="C188" i="1"/>
  <c r="I188" i="1"/>
  <c r="J188" i="1"/>
  <c r="L188" i="1"/>
  <c r="C189" i="1"/>
  <c r="I189" i="1"/>
  <c r="J189" i="1"/>
  <c r="L189" i="1"/>
  <c r="C190" i="1"/>
  <c r="I190" i="1"/>
  <c r="J190" i="1"/>
  <c r="L190" i="1"/>
  <c r="C191" i="1"/>
  <c r="I191" i="1"/>
  <c r="J191" i="1"/>
  <c r="L191" i="1"/>
  <c r="C192" i="1"/>
  <c r="I192" i="1"/>
  <c r="J192" i="1"/>
  <c r="L192" i="1"/>
  <c r="C193" i="1"/>
  <c r="I193" i="1"/>
  <c r="J193" i="1"/>
  <c r="L193" i="1"/>
  <c r="C194" i="1"/>
  <c r="I194" i="1"/>
  <c r="J194" i="1"/>
  <c r="L194" i="1"/>
  <c r="C195" i="1"/>
  <c r="I195" i="1"/>
  <c r="J195" i="1"/>
  <c r="L195" i="1"/>
  <c r="C196" i="1"/>
  <c r="I196" i="1"/>
  <c r="J196" i="1"/>
  <c r="L196" i="1"/>
  <c r="C197" i="1"/>
  <c r="I197" i="1"/>
  <c r="J197" i="1"/>
  <c r="L197" i="1"/>
  <c r="C198" i="1"/>
  <c r="I198" i="1"/>
  <c r="J198" i="1"/>
  <c r="L198" i="1"/>
  <c r="C199" i="1"/>
  <c r="I199" i="1"/>
  <c r="J199" i="1"/>
  <c r="L199" i="1"/>
  <c r="C200" i="1"/>
  <c r="I200" i="1"/>
  <c r="J200" i="1"/>
  <c r="L200" i="1"/>
  <c r="C201" i="1"/>
  <c r="I201" i="1"/>
  <c r="J201" i="1"/>
  <c r="L201" i="1"/>
  <c r="C202" i="1"/>
  <c r="I202" i="1"/>
  <c r="J202" i="1"/>
  <c r="L202" i="1"/>
  <c r="C203" i="1"/>
  <c r="I203" i="1"/>
  <c r="J203" i="1"/>
  <c r="L203" i="1"/>
  <c r="C204" i="1"/>
  <c r="I204" i="1"/>
  <c r="J204" i="1"/>
  <c r="L204" i="1"/>
  <c r="C205" i="1"/>
  <c r="I205" i="1"/>
  <c r="J205" i="1"/>
  <c r="L205" i="1"/>
  <c r="C206" i="1"/>
  <c r="I206" i="1"/>
  <c r="J206" i="1"/>
  <c r="L206" i="1"/>
  <c r="C207" i="1"/>
  <c r="I207" i="1"/>
  <c r="J207" i="1"/>
  <c r="L207" i="1"/>
  <c r="C208" i="1"/>
  <c r="I208" i="1"/>
  <c r="J208" i="1"/>
  <c r="L208" i="1"/>
  <c r="C209" i="1"/>
  <c r="I209" i="1"/>
  <c r="J209" i="1"/>
  <c r="L209" i="1"/>
  <c r="C210" i="1"/>
  <c r="I210" i="1"/>
  <c r="J210" i="1"/>
  <c r="L210" i="1"/>
  <c r="C211" i="1"/>
  <c r="I211" i="1"/>
  <c r="J211" i="1"/>
  <c r="L211" i="1"/>
  <c r="C212" i="1"/>
  <c r="I212" i="1"/>
  <c r="J212" i="1"/>
  <c r="L212" i="1"/>
  <c r="C213" i="1"/>
  <c r="I213" i="1"/>
  <c r="J213" i="1"/>
  <c r="L213" i="1"/>
  <c r="C214" i="1"/>
  <c r="I214" i="1"/>
  <c r="J214" i="1"/>
  <c r="L214" i="1"/>
  <c r="C215" i="1"/>
  <c r="I215" i="1"/>
  <c r="J215" i="1"/>
  <c r="L215" i="1"/>
  <c r="C216" i="1"/>
  <c r="I216" i="1"/>
  <c r="J216" i="1"/>
  <c r="L216" i="1"/>
  <c r="C217" i="1"/>
  <c r="I217" i="1"/>
  <c r="J217" i="1"/>
  <c r="L217" i="1"/>
  <c r="C218" i="1"/>
  <c r="I218" i="1"/>
  <c r="J218" i="1"/>
  <c r="L218" i="1"/>
  <c r="C219" i="1"/>
  <c r="I219" i="1"/>
  <c r="J219" i="1"/>
  <c r="L219" i="1"/>
  <c r="C220" i="1"/>
  <c r="I220" i="1"/>
  <c r="J220" i="1"/>
  <c r="L220" i="1"/>
  <c r="C221" i="1"/>
  <c r="I221" i="1"/>
  <c r="J221" i="1"/>
  <c r="L221" i="1"/>
  <c r="C222" i="1"/>
  <c r="I222" i="1"/>
  <c r="J222" i="1"/>
  <c r="L222" i="1"/>
  <c r="C223" i="1"/>
  <c r="I223" i="1"/>
  <c r="J223" i="1"/>
  <c r="L223" i="1"/>
  <c r="C224" i="1"/>
  <c r="I224" i="1"/>
  <c r="J224" i="1"/>
  <c r="L224" i="1"/>
  <c r="C225" i="1"/>
  <c r="I225" i="1"/>
  <c r="J225" i="1"/>
  <c r="L225" i="1"/>
  <c r="C226" i="1"/>
  <c r="I226" i="1"/>
  <c r="J226" i="1"/>
  <c r="L226" i="1"/>
  <c r="C227" i="1"/>
  <c r="I227" i="1"/>
  <c r="J227" i="1"/>
  <c r="L227" i="1"/>
  <c r="C228" i="1"/>
  <c r="I228" i="1"/>
  <c r="J228" i="1"/>
  <c r="L228" i="1"/>
  <c r="C229" i="1"/>
  <c r="I229" i="1"/>
  <c r="J229" i="1"/>
  <c r="L229" i="1"/>
  <c r="C230" i="1"/>
  <c r="I230" i="1"/>
  <c r="J230" i="1"/>
  <c r="L230" i="1"/>
  <c r="C231" i="1"/>
  <c r="I231" i="1"/>
  <c r="J231" i="1"/>
  <c r="L231" i="1"/>
  <c r="C232" i="1"/>
  <c r="I232" i="1"/>
  <c r="J232" i="1"/>
  <c r="L232" i="1"/>
  <c r="C233" i="1"/>
  <c r="I233" i="1"/>
  <c r="J233" i="1"/>
  <c r="L233" i="1"/>
  <c r="C234" i="1"/>
  <c r="I234" i="1"/>
  <c r="J234" i="1"/>
  <c r="L234" i="1"/>
  <c r="C235" i="1"/>
  <c r="I235" i="1"/>
  <c r="J235" i="1"/>
  <c r="L235" i="1"/>
  <c r="C236" i="1"/>
  <c r="I236" i="1"/>
  <c r="J236" i="1"/>
  <c r="L236" i="1"/>
  <c r="C237" i="1"/>
  <c r="I237" i="1"/>
  <c r="J237" i="1"/>
  <c r="L237" i="1"/>
  <c r="C238" i="1"/>
  <c r="I238" i="1"/>
  <c r="J238" i="1"/>
  <c r="L238" i="1"/>
  <c r="C239" i="1"/>
  <c r="I239" i="1"/>
  <c r="J239" i="1"/>
  <c r="L239" i="1"/>
  <c r="C240" i="1"/>
  <c r="I240" i="1"/>
  <c r="J240" i="1"/>
  <c r="L240" i="1"/>
  <c r="C241" i="1"/>
  <c r="I241" i="1"/>
  <c r="J241" i="1"/>
  <c r="L241" i="1"/>
  <c r="C242" i="1"/>
  <c r="I242" i="1"/>
  <c r="J242" i="1"/>
  <c r="L242" i="1"/>
  <c r="C243" i="1"/>
  <c r="I243" i="1"/>
  <c r="J243" i="1"/>
  <c r="L243" i="1"/>
  <c r="C244" i="1"/>
  <c r="I244" i="1"/>
  <c r="J244" i="1"/>
  <c r="L244" i="1"/>
  <c r="C245" i="1"/>
  <c r="I245" i="1"/>
  <c r="J245" i="1"/>
  <c r="L245" i="1"/>
  <c r="C246" i="1"/>
  <c r="I246" i="1"/>
  <c r="J246" i="1"/>
  <c r="L246" i="1"/>
  <c r="C247" i="1"/>
  <c r="I247" i="1"/>
  <c r="J247" i="1"/>
  <c r="L247" i="1"/>
  <c r="C248" i="1"/>
  <c r="I248" i="1"/>
  <c r="J248" i="1"/>
  <c r="L248" i="1"/>
  <c r="C249" i="1"/>
  <c r="I249" i="1"/>
  <c r="J249" i="1"/>
  <c r="L249" i="1"/>
  <c r="C250" i="1"/>
  <c r="I250" i="1"/>
  <c r="J250" i="1"/>
  <c r="L250" i="1"/>
  <c r="C251" i="1"/>
  <c r="I251" i="1"/>
  <c r="J251" i="1"/>
  <c r="L251" i="1"/>
  <c r="C252" i="1"/>
  <c r="I252" i="1"/>
  <c r="J252" i="1"/>
  <c r="L252" i="1"/>
  <c r="C253" i="1"/>
  <c r="I253" i="1"/>
  <c r="J253" i="1"/>
  <c r="L253" i="1"/>
  <c r="C254" i="1"/>
  <c r="I254" i="1"/>
  <c r="J254" i="1"/>
  <c r="L254" i="1"/>
  <c r="C255" i="1"/>
  <c r="I255" i="1"/>
  <c r="J255" i="1"/>
  <c r="L255" i="1"/>
  <c r="C256" i="1"/>
  <c r="I256" i="1"/>
  <c r="J256" i="1"/>
  <c r="L256" i="1"/>
  <c r="C257" i="1"/>
  <c r="I257" i="1"/>
  <c r="J257" i="1"/>
  <c r="L257" i="1"/>
  <c r="C258" i="1"/>
  <c r="I258" i="1"/>
  <c r="J258" i="1"/>
  <c r="L258" i="1"/>
  <c r="C259" i="1"/>
  <c r="I259" i="1"/>
  <c r="J259" i="1"/>
  <c r="L259" i="1"/>
  <c r="C260" i="1"/>
  <c r="I260" i="1"/>
  <c r="J260" i="1"/>
  <c r="L260" i="1"/>
  <c r="C261" i="1"/>
  <c r="I261" i="1"/>
  <c r="J261" i="1"/>
  <c r="L261" i="1"/>
  <c r="C262" i="1"/>
  <c r="I262" i="1"/>
  <c r="J262" i="1"/>
  <c r="L262" i="1"/>
  <c r="C263" i="1"/>
  <c r="I263" i="1"/>
  <c r="J263" i="1"/>
  <c r="L263" i="1"/>
  <c r="C264" i="1"/>
  <c r="I264" i="1"/>
  <c r="J264" i="1"/>
  <c r="L264" i="1"/>
  <c r="C265" i="1"/>
  <c r="I265" i="1"/>
  <c r="J265" i="1"/>
  <c r="L265" i="1"/>
  <c r="C266" i="1"/>
  <c r="I266" i="1"/>
  <c r="J266" i="1"/>
  <c r="L266" i="1"/>
  <c r="C267" i="1"/>
  <c r="I267" i="1"/>
  <c r="J267" i="1"/>
  <c r="L267" i="1"/>
  <c r="C268" i="1"/>
  <c r="I268" i="1"/>
  <c r="J268" i="1"/>
  <c r="L268" i="1"/>
  <c r="C269" i="1"/>
  <c r="I269" i="1"/>
  <c r="J269" i="1"/>
  <c r="L269" i="1"/>
  <c r="C270" i="1"/>
  <c r="I270" i="1"/>
  <c r="J270" i="1"/>
  <c r="L270" i="1"/>
  <c r="C271" i="1"/>
  <c r="I271" i="1"/>
  <c r="J271" i="1"/>
  <c r="L271" i="1"/>
  <c r="C272" i="1"/>
  <c r="I272" i="1"/>
  <c r="J272" i="1"/>
  <c r="L272" i="1"/>
  <c r="C273" i="1"/>
  <c r="I273" i="1"/>
  <c r="J273" i="1"/>
  <c r="L273" i="1"/>
  <c r="C274" i="1"/>
  <c r="I274" i="1"/>
  <c r="J274" i="1"/>
  <c r="L274" i="1"/>
  <c r="C275" i="1"/>
  <c r="I275" i="1"/>
  <c r="J275" i="1"/>
  <c r="L275" i="1"/>
  <c r="C276" i="1"/>
  <c r="I276" i="1"/>
  <c r="J276" i="1"/>
  <c r="L276" i="1"/>
  <c r="C277" i="1"/>
  <c r="I277" i="1"/>
  <c r="J277" i="1"/>
  <c r="L277" i="1"/>
  <c r="C278" i="1"/>
  <c r="I278" i="1"/>
  <c r="J278" i="1"/>
  <c r="L278" i="1"/>
  <c r="C279" i="1"/>
  <c r="I279" i="1"/>
  <c r="J279" i="1"/>
  <c r="L279" i="1"/>
  <c r="C280" i="1"/>
  <c r="I280" i="1"/>
  <c r="J280" i="1"/>
  <c r="L280" i="1"/>
  <c r="C281" i="1"/>
  <c r="I281" i="1"/>
  <c r="J281" i="1"/>
  <c r="L281" i="1"/>
  <c r="C282" i="1"/>
  <c r="I282" i="1"/>
  <c r="J282" i="1"/>
  <c r="L282" i="1"/>
  <c r="C283" i="1"/>
  <c r="I283" i="1"/>
  <c r="J283" i="1"/>
  <c r="L283" i="1"/>
  <c r="C284" i="1"/>
  <c r="I284" i="1"/>
  <c r="J284" i="1"/>
  <c r="L284" i="1"/>
  <c r="C285" i="1"/>
  <c r="I285" i="1"/>
  <c r="J285" i="1"/>
  <c r="L285" i="1"/>
  <c r="C286" i="1"/>
  <c r="I286" i="1"/>
  <c r="J286" i="1"/>
  <c r="L286" i="1"/>
  <c r="C287" i="1"/>
  <c r="I287" i="1"/>
  <c r="J287" i="1"/>
  <c r="L287" i="1"/>
  <c r="C288" i="1"/>
  <c r="I288" i="1"/>
  <c r="J288" i="1"/>
  <c r="L288" i="1"/>
  <c r="C289" i="1"/>
  <c r="I289" i="1"/>
  <c r="J289" i="1"/>
  <c r="L289" i="1"/>
  <c r="C290" i="1"/>
  <c r="I290" i="1"/>
  <c r="J290" i="1"/>
  <c r="L290" i="1"/>
  <c r="C291" i="1"/>
  <c r="I291" i="1"/>
  <c r="J291" i="1"/>
  <c r="L291" i="1"/>
  <c r="C292" i="1"/>
  <c r="I292" i="1"/>
  <c r="J292" i="1"/>
  <c r="L292" i="1"/>
  <c r="C293" i="1"/>
  <c r="I293" i="1"/>
  <c r="J293" i="1"/>
  <c r="L293" i="1"/>
  <c r="C294" i="1"/>
  <c r="I294" i="1"/>
  <c r="J294" i="1"/>
  <c r="L294" i="1"/>
  <c r="C295" i="1"/>
  <c r="I295" i="1"/>
  <c r="J295" i="1"/>
  <c r="L295" i="1"/>
  <c r="C296" i="1"/>
  <c r="I296" i="1"/>
  <c r="J296" i="1"/>
  <c r="L296" i="1"/>
  <c r="C297" i="1"/>
  <c r="I297" i="1"/>
  <c r="J297" i="1"/>
  <c r="L297" i="1"/>
  <c r="C298" i="1"/>
  <c r="I298" i="1"/>
  <c r="J298" i="1"/>
  <c r="L298" i="1"/>
  <c r="C299" i="1"/>
  <c r="I299" i="1"/>
  <c r="J299" i="1"/>
  <c r="L299" i="1"/>
  <c r="C300" i="1"/>
  <c r="I300" i="1"/>
  <c r="J300" i="1"/>
  <c r="L300" i="1"/>
  <c r="C301" i="1"/>
  <c r="I301" i="1"/>
  <c r="J301" i="1"/>
  <c r="L301" i="1"/>
  <c r="C302" i="1"/>
  <c r="I302" i="1"/>
  <c r="J302" i="1"/>
  <c r="L302" i="1"/>
  <c r="C303" i="1"/>
  <c r="I303" i="1"/>
  <c r="J303" i="1"/>
  <c r="L303" i="1"/>
  <c r="C304" i="1"/>
  <c r="I304" i="1"/>
  <c r="J304" i="1"/>
  <c r="L304" i="1"/>
  <c r="C305" i="1"/>
  <c r="I305" i="1"/>
  <c r="J305" i="1"/>
  <c r="L305" i="1"/>
  <c r="C306" i="1"/>
  <c r="I306" i="1"/>
  <c r="J306" i="1"/>
  <c r="L306" i="1"/>
  <c r="C307" i="1"/>
  <c r="I307" i="1"/>
  <c r="J307" i="1"/>
  <c r="L307" i="1"/>
  <c r="C308" i="1"/>
  <c r="I308" i="1"/>
  <c r="J308" i="1"/>
  <c r="L308" i="1"/>
  <c r="C309" i="1"/>
  <c r="I309" i="1"/>
  <c r="J309" i="1"/>
  <c r="L309" i="1"/>
  <c r="C310" i="1"/>
  <c r="I310" i="1"/>
  <c r="J310" i="1"/>
  <c r="L310" i="1"/>
  <c r="C311" i="1"/>
  <c r="I311" i="1"/>
  <c r="J311" i="1"/>
  <c r="L311" i="1"/>
  <c r="C312" i="1"/>
  <c r="I312" i="1"/>
  <c r="J312" i="1"/>
  <c r="L312" i="1"/>
  <c r="C313" i="1"/>
  <c r="I313" i="1"/>
  <c r="J313" i="1"/>
  <c r="L313" i="1"/>
  <c r="C314" i="1"/>
  <c r="I314" i="1"/>
  <c r="J314" i="1"/>
  <c r="L314" i="1"/>
  <c r="C315" i="1"/>
  <c r="I315" i="1"/>
  <c r="J315" i="1"/>
  <c r="L315" i="1"/>
  <c r="C316" i="1"/>
  <c r="I316" i="1"/>
  <c r="J316" i="1"/>
  <c r="L316" i="1"/>
  <c r="C317" i="1"/>
  <c r="I317" i="1"/>
  <c r="J317" i="1"/>
  <c r="L317" i="1"/>
  <c r="C318" i="1"/>
  <c r="I318" i="1"/>
  <c r="J318" i="1"/>
  <c r="L318" i="1"/>
  <c r="C319" i="1"/>
  <c r="I319" i="1"/>
  <c r="J319" i="1"/>
  <c r="L319" i="1"/>
  <c r="C320" i="1"/>
  <c r="I320" i="1"/>
  <c r="J320" i="1"/>
  <c r="L320" i="1"/>
  <c r="C321" i="1"/>
  <c r="I321" i="1"/>
  <c r="J321" i="1"/>
  <c r="L321" i="1"/>
  <c r="C322" i="1"/>
  <c r="I322" i="1"/>
  <c r="J322" i="1"/>
  <c r="L322" i="1"/>
  <c r="C323" i="1"/>
  <c r="I323" i="1"/>
  <c r="J323" i="1"/>
  <c r="L323" i="1"/>
  <c r="C324" i="1"/>
  <c r="I324" i="1"/>
  <c r="J324" i="1"/>
  <c r="L324" i="1"/>
  <c r="C325" i="1"/>
  <c r="I325" i="1"/>
  <c r="J325" i="1"/>
  <c r="L325" i="1"/>
  <c r="C326" i="1"/>
  <c r="I326" i="1"/>
  <c r="J326" i="1"/>
  <c r="L326" i="1"/>
  <c r="C327" i="1"/>
  <c r="I327" i="1"/>
  <c r="J327" i="1"/>
  <c r="L327" i="1"/>
  <c r="C328" i="1"/>
  <c r="I328" i="1"/>
  <c r="J328" i="1"/>
  <c r="L328" i="1"/>
  <c r="C329" i="1"/>
  <c r="I329" i="1"/>
  <c r="J329" i="1"/>
  <c r="L329" i="1"/>
  <c r="C330" i="1"/>
  <c r="I330" i="1"/>
  <c r="J330" i="1"/>
  <c r="L330" i="1"/>
  <c r="C331" i="1"/>
  <c r="I331" i="1"/>
  <c r="J331" i="1"/>
  <c r="L331" i="1"/>
  <c r="C332" i="1"/>
  <c r="I332" i="1"/>
  <c r="J332" i="1"/>
  <c r="L332" i="1"/>
  <c r="C333" i="1"/>
  <c r="I333" i="1"/>
  <c r="J333" i="1"/>
  <c r="L333" i="1"/>
  <c r="C334" i="1"/>
  <c r="I334" i="1"/>
  <c r="J334" i="1"/>
  <c r="L334" i="1"/>
  <c r="C335" i="1"/>
  <c r="I335" i="1"/>
  <c r="J335" i="1"/>
  <c r="L335" i="1"/>
  <c r="C336" i="1"/>
  <c r="I336" i="1"/>
  <c r="J336" i="1"/>
  <c r="L336" i="1"/>
  <c r="C337" i="1"/>
  <c r="I337" i="1"/>
  <c r="J337" i="1"/>
  <c r="L337" i="1"/>
  <c r="C338" i="1"/>
  <c r="I338" i="1"/>
  <c r="J338" i="1"/>
  <c r="L338" i="1"/>
  <c r="C339" i="1"/>
  <c r="I339" i="1"/>
  <c r="J339" i="1"/>
  <c r="L339" i="1"/>
  <c r="C340" i="1"/>
  <c r="I340" i="1"/>
  <c r="J340" i="1"/>
  <c r="L340" i="1"/>
  <c r="C341" i="1"/>
  <c r="I341" i="1"/>
  <c r="J341" i="1"/>
  <c r="L341" i="1"/>
  <c r="C342" i="1"/>
  <c r="I342" i="1"/>
  <c r="J342" i="1"/>
  <c r="L342" i="1"/>
  <c r="C343" i="1"/>
  <c r="I343" i="1"/>
  <c r="J343" i="1"/>
  <c r="L343" i="1"/>
  <c r="C344" i="1"/>
  <c r="I344" i="1"/>
  <c r="J344" i="1"/>
  <c r="L344" i="1"/>
  <c r="C345" i="1"/>
  <c r="I345" i="1"/>
  <c r="J345" i="1"/>
  <c r="L345" i="1"/>
  <c r="C346" i="1"/>
  <c r="I346" i="1"/>
  <c r="J346" i="1"/>
  <c r="L346" i="1"/>
  <c r="C347" i="1"/>
  <c r="I347" i="1"/>
  <c r="J347" i="1"/>
  <c r="L347" i="1"/>
  <c r="C348" i="1"/>
  <c r="I348" i="1"/>
  <c r="J348" i="1"/>
  <c r="L348" i="1"/>
  <c r="C349" i="1"/>
  <c r="I349" i="1"/>
  <c r="J349" i="1"/>
  <c r="L349" i="1"/>
  <c r="C350" i="1"/>
  <c r="I350" i="1"/>
  <c r="J350" i="1"/>
  <c r="L350" i="1"/>
  <c r="C351" i="1"/>
  <c r="I351" i="1"/>
  <c r="J351" i="1"/>
  <c r="L351" i="1"/>
  <c r="C352" i="1"/>
  <c r="I352" i="1"/>
  <c r="J352" i="1"/>
  <c r="L352" i="1"/>
  <c r="C353" i="1"/>
  <c r="I353" i="1"/>
  <c r="J353" i="1"/>
  <c r="L353" i="1"/>
  <c r="C354" i="1"/>
  <c r="I354" i="1"/>
  <c r="J354" i="1"/>
  <c r="L354" i="1"/>
  <c r="C355" i="1"/>
  <c r="I355" i="1"/>
  <c r="J355" i="1"/>
  <c r="L355" i="1"/>
  <c r="C356" i="1"/>
  <c r="I356" i="1"/>
  <c r="J356" i="1"/>
  <c r="L356" i="1"/>
  <c r="C357" i="1"/>
  <c r="I357" i="1"/>
  <c r="J357" i="1"/>
  <c r="L357" i="1"/>
  <c r="C3" i="1"/>
  <c r="C4" i="1"/>
  <c r="C5" i="1"/>
  <c r="C6" i="1"/>
  <c r="C7" i="1"/>
  <c r="C2" i="1"/>
  <c r="I5" i="1"/>
  <c r="J5" i="1"/>
  <c r="L5" i="1"/>
  <c r="I6" i="1"/>
  <c r="J6" i="1"/>
  <c r="L6" i="1"/>
  <c r="I7" i="1"/>
  <c r="J7" i="1"/>
  <c r="L7" i="1"/>
  <c r="I3" i="1"/>
  <c r="J3" i="1"/>
  <c r="L3" i="1"/>
  <c r="I4" i="1"/>
  <c r="J4" i="1"/>
  <c r="L4" i="1"/>
  <c r="L2" i="1"/>
  <c r="J2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<sst xmlns="http://schemas.openxmlformats.org/spreadsheetml/2006/main" count="16744" uniqueCount="2297">
  <si>
    <t>DataStatus</t>
  </si>
  <si>
    <t>DateEntered</t>
  </si>
  <si>
    <t>EnteredBy</t>
  </si>
  <si>
    <t>DateProofed</t>
  </si>
  <si>
    <t>ProofedBy</t>
  </si>
  <si>
    <t>DateCompleted</t>
  </si>
  <si>
    <t>CompletedBy</t>
  </si>
  <si>
    <t>Comments</t>
  </si>
  <si>
    <t>AdminNotes</t>
  </si>
  <si>
    <t>NULL</t>
  </si>
  <si>
    <t>Instructions for use:</t>
  </si>
  <si>
    <t>1. Determine the Estuary and Stations for which the data needs to be added. Confirm the stations are present in the FixedLocations Table.</t>
  </si>
  <si>
    <t>FixedLocationID</t>
  </si>
  <si>
    <t>Estuary</t>
  </si>
  <si>
    <t>SectionName</t>
  </si>
  <si>
    <t>StationName</t>
  </si>
  <si>
    <t>StationNumber</t>
  </si>
  <si>
    <t>LatitudeDec</t>
  </si>
  <si>
    <t>LongitudeDec</t>
  </si>
  <si>
    <t>Recruitment</t>
  </si>
  <si>
    <t>Survey</t>
  </si>
  <si>
    <t>Sediment</t>
  </si>
  <si>
    <t>Collections</t>
  </si>
  <si>
    <t>ShellBudget</t>
  </si>
  <si>
    <t>Dataloggers</t>
  </si>
  <si>
    <t>Cage</t>
  </si>
  <si>
    <t>Wave</t>
  </si>
  <si>
    <t>StartDate</t>
  </si>
  <si>
    <t>EndDate</t>
  </si>
  <si>
    <t>StationNameNumber</t>
  </si>
  <si>
    <t>EstuaryLongName</t>
  </si>
  <si>
    <t>AB</t>
  </si>
  <si>
    <t>E</t>
  </si>
  <si>
    <t>RESTORE Cat Point</t>
  </si>
  <si>
    <t>N</t>
  </si>
  <si>
    <t>Apalachicola Bay</t>
  </si>
  <si>
    <t>RESTORE Monkey's Elbow</t>
  </si>
  <si>
    <t>RESTORE Peanut Ridge</t>
  </si>
  <si>
    <t>RESTORE East Bulkhead</t>
  </si>
  <si>
    <t>RESTORE Easthole</t>
  </si>
  <si>
    <t>RESTORE Cat Point Spur</t>
  </si>
  <si>
    <t>RESTORE North Platform</t>
  </si>
  <si>
    <t>C021</t>
  </si>
  <si>
    <t>CR</t>
  </si>
  <si>
    <t>W</t>
  </si>
  <si>
    <t>CR W 26362_82030 30</t>
  </si>
  <si>
    <t>Y</t>
  </si>
  <si>
    <t>CR-W-26362_82030-30</t>
  </si>
  <si>
    <t>Caloosahatchee River</t>
  </si>
  <si>
    <t>C022</t>
  </si>
  <si>
    <t>CR W 26332_82046 31</t>
  </si>
  <si>
    <t>CR-W-26332_82046-31</t>
  </si>
  <si>
    <t>C023</t>
  </si>
  <si>
    <t>CR W 26340_82044 32</t>
  </si>
  <si>
    <t>CR-W-26340_82044-32</t>
  </si>
  <si>
    <t>C024</t>
  </si>
  <si>
    <t>CR W 26339_82039 33</t>
  </si>
  <si>
    <t>CR-W-26339_82039-33</t>
  </si>
  <si>
    <t>T025</t>
  </si>
  <si>
    <t>TB</t>
  </si>
  <si>
    <t>B</t>
  </si>
  <si>
    <t>TB B 27481_82458 33</t>
  </si>
  <si>
    <t>TB-B-27481_82458-33</t>
  </si>
  <si>
    <t>Tampa Bay</t>
  </si>
  <si>
    <t>T026</t>
  </si>
  <si>
    <t>TB B 27482_82461 34</t>
  </si>
  <si>
    <t>TB-B-27482_82461-34</t>
  </si>
  <si>
    <t>SS</t>
  </si>
  <si>
    <t>SS-1</t>
  </si>
  <si>
    <t>SS-N-1</t>
  </si>
  <si>
    <t>Suwannee Sound</t>
  </si>
  <si>
    <t>SS-2</t>
  </si>
  <si>
    <t>SS-N-2</t>
  </si>
  <si>
    <t>SS-3</t>
  </si>
  <si>
    <t>SS-N-3</t>
  </si>
  <si>
    <t>SS-4</t>
  </si>
  <si>
    <t>SS-N-4</t>
  </si>
  <si>
    <t>C</t>
  </si>
  <si>
    <t>SS-5</t>
  </si>
  <si>
    <t>SS-C-5</t>
  </si>
  <si>
    <t>SS-6</t>
  </si>
  <si>
    <t>SS-C-6</t>
  </si>
  <si>
    <t>SS-7</t>
  </si>
  <si>
    <t>SS-C-7</t>
  </si>
  <si>
    <t>SS-8</t>
  </si>
  <si>
    <t>SS-C-8</t>
  </si>
  <si>
    <t>S</t>
  </si>
  <si>
    <t>SS-9</t>
  </si>
  <si>
    <t>SS-S-9</t>
  </si>
  <si>
    <t>SS-10</t>
  </si>
  <si>
    <t>SS-S-10</t>
  </si>
  <si>
    <t>SS-11</t>
  </si>
  <si>
    <t>SS-S-11</t>
  </si>
  <si>
    <t>SS-12</t>
  </si>
  <si>
    <t>SS-S-12</t>
  </si>
  <si>
    <t>S107</t>
  </si>
  <si>
    <t>SS Shell Budget 729 (2022)</t>
  </si>
  <si>
    <t>WC</t>
  </si>
  <si>
    <t>WC-1</t>
  </si>
  <si>
    <t>WC-1-1</t>
  </si>
  <si>
    <t>Withlacoochee/Crystal River</t>
  </si>
  <si>
    <t>WC-2</t>
  </si>
  <si>
    <t>WC-2-2</t>
  </si>
  <si>
    <t>WC-3</t>
  </si>
  <si>
    <t>WC-3-3</t>
  </si>
  <si>
    <t>WC-4</t>
  </si>
  <si>
    <t>WC-4-4</t>
  </si>
  <si>
    <t>WC-5</t>
  </si>
  <si>
    <t>WC-5-5</t>
  </si>
  <si>
    <t>WC-6</t>
  </si>
  <si>
    <t>WC-6-6</t>
  </si>
  <si>
    <t>C037</t>
  </si>
  <si>
    <t>P</t>
  </si>
  <si>
    <t>CR P 26408_82124 42</t>
  </si>
  <si>
    <t>CR-P-26408_82124-42</t>
  </si>
  <si>
    <t>C038</t>
  </si>
  <si>
    <t>CR P 26411_82126 43</t>
  </si>
  <si>
    <t>CR-P-26411_82126-43</t>
  </si>
  <si>
    <t>C039</t>
  </si>
  <si>
    <t>CR P 26412_82127 44</t>
  </si>
  <si>
    <t>CR-P-26412_82127-44</t>
  </si>
  <si>
    <t>C040</t>
  </si>
  <si>
    <t>CR P 26410_82131 45</t>
  </si>
  <si>
    <t>CR-P-26410_82131-45</t>
  </si>
  <si>
    <t>C041</t>
  </si>
  <si>
    <t>CR P 26408_82125 46</t>
  </si>
  <si>
    <t>CR-P-26408_82125-46</t>
  </si>
  <si>
    <t>DI6</t>
  </si>
  <si>
    <t>DI 6-6</t>
  </si>
  <si>
    <t>TC1</t>
  </si>
  <si>
    <t>TC 1-1</t>
  </si>
  <si>
    <t>TC2</t>
  </si>
  <si>
    <t>TC 2-2</t>
  </si>
  <si>
    <t>TC3</t>
  </si>
  <si>
    <t>TC 3-3</t>
  </si>
  <si>
    <t>TC4</t>
  </si>
  <si>
    <t>TC 4-4</t>
  </si>
  <si>
    <t>TC5</t>
  </si>
  <si>
    <t>TC 5-5</t>
  </si>
  <si>
    <t>TC6</t>
  </si>
  <si>
    <t>TC 6-6</t>
  </si>
  <si>
    <t>I001</t>
  </si>
  <si>
    <t>WC Baywide 90</t>
  </si>
  <si>
    <t>WC Baywide 90-90</t>
  </si>
  <si>
    <t>I002</t>
  </si>
  <si>
    <t>WC Baywide 109</t>
  </si>
  <si>
    <t>WC Baywide 109-109</t>
  </si>
  <si>
    <t>I003</t>
  </si>
  <si>
    <t>WC Baywide 46</t>
  </si>
  <si>
    <t>WC Baywide 46-46</t>
  </si>
  <si>
    <t>I004</t>
  </si>
  <si>
    <t>WC Baywide 14</t>
  </si>
  <si>
    <t>WC Baywide 14-14</t>
  </si>
  <si>
    <t>I005</t>
  </si>
  <si>
    <t>WC Baywide 21</t>
  </si>
  <si>
    <t>WC Baywide 21-21</t>
  </si>
  <si>
    <t>I006</t>
  </si>
  <si>
    <t>WC Baywide 15</t>
  </si>
  <si>
    <t>WC Baywide 15-15</t>
  </si>
  <si>
    <t>I007</t>
  </si>
  <si>
    <t>WC Baywide 26</t>
  </si>
  <si>
    <t>WC Baywide 26-26</t>
  </si>
  <si>
    <t>I008</t>
  </si>
  <si>
    <t>WC Baywide 408</t>
  </si>
  <si>
    <t>WC Baywide 408-408</t>
  </si>
  <si>
    <t>I009</t>
  </si>
  <si>
    <t>WC Baywide 30</t>
  </si>
  <si>
    <t>WC Baywide 30-30</t>
  </si>
  <si>
    <t>I010</t>
  </si>
  <si>
    <t>WC Baywide 31</t>
  </si>
  <si>
    <t>WC Baywide 31-31</t>
  </si>
  <si>
    <t>I011</t>
  </si>
  <si>
    <t>WC Baywide 407</t>
  </si>
  <si>
    <t>WC Baywide 407-407</t>
  </si>
  <si>
    <t>I012</t>
  </si>
  <si>
    <t>WC Baywide 300</t>
  </si>
  <si>
    <t>WC Baywide 300-300</t>
  </si>
  <si>
    <t>I013</t>
  </si>
  <si>
    <t>WC Baywide 321</t>
  </si>
  <si>
    <t>WC Baywide 321-321</t>
  </si>
  <si>
    <t>I014</t>
  </si>
  <si>
    <t>WC Baywide 334</t>
  </si>
  <si>
    <t>WC Baywide 334-334</t>
  </si>
  <si>
    <t>I015</t>
  </si>
  <si>
    <t>WC Baywide 340</t>
  </si>
  <si>
    <t>WC Baywide 340-340</t>
  </si>
  <si>
    <t>I016</t>
  </si>
  <si>
    <t>WC Baywide 365</t>
  </si>
  <si>
    <t>WC Baywide 365-365</t>
  </si>
  <si>
    <t>I017</t>
  </si>
  <si>
    <t>WC Baywide 267</t>
  </si>
  <si>
    <t>WC Baywide 267-267</t>
  </si>
  <si>
    <t>I018</t>
  </si>
  <si>
    <t>WC Baywide 95</t>
  </si>
  <si>
    <t>WC Baywide 95-95</t>
  </si>
  <si>
    <t>I019</t>
  </si>
  <si>
    <t>WC Baywide 98</t>
  </si>
  <si>
    <t>WC Baywide 98-98</t>
  </si>
  <si>
    <t>I020</t>
  </si>
  <si>
    <t>WC Baywide 100</t>
  </si>
  <si>
    <t>WC Baywide 100-100</t>
  </si>
  <si>
    <t>I021</t>
  </si>
  <si>
    <t>WC Baywide 121</t>
  </si>
  <si>
    <t>WC Baywide 121-121</t>
  </si>
  <si>
    <t>I022</t>
  </si>
  <si>
    <t>WC Baywide 126</t>
  </si>
  <si>
    <t>WC Baywide 126-126</t>
  </si>
  <si>
    <t>I023</t>
  </si>
  <si>
    <t>WC Baywide 16</t>
  </si>
  <si>
    <t>WC Baywide 16-16</t>
  </si>
  <si>
    <t>I024</t>
  </si>
  <si>
    <t>WC Baywide 78</t>
  </si>
  <si>
    <t>WC Baywide 78-78</t>
  </si>
  <si>
    <t>I025</t>
  </si>
  <si>
    <t>WC Baywide 96</t>
  </si>
  <si>
    <t>WC Baywide 96-96</t>
  </si>
  <si>
    <t>I026</t>
  </si>
  <si>
    <t>WC Baywide 50</t>
  </si>
  <si>
    <t>WC Baywide 50-50</t>
  </si>
  <si>
    <t>I027</t>
  </si>
  <si>
    <t>WC Baywide 44</t>
  </si>
  <si>
    <t>WC Baywide 44-44</t>
  </si>
  <si>
    <t>I028</t>
  </si>
  <si>
    <t>WC Baywide 158</t>
  </si>
  <si>
    <t>WC Baywide 158-158</t>
  </si>
  <si>
    <t>I029</t>
  </si>
  <si>
    <t>WC Baywide 226</t>
  </si>
  <si>
    <t>WC Baywide 226-226</t>
  </si>
  <si>
    <t>I030</t>
  </si>
  <si>
    <t>WC Baywide 86</t>
  </si>
  <si>
    <t>WC Baywide 86-86</t>
  </si>
  <si>
    <t>I031</t>
  </si>
  <si>
    <t>WC Baywide 207</t>
  </si>
  <si>
    <t>WC Baywide 207-207</t>
  </si>
  <si>
    <t>I032</t>
  </si>
  <si>
    <t>WC Baywide 180</t>
  </si>
  <si>
    <t>WC Baywide 180-180</t>
  </si>
  <si>
    <t>I033</t>
  </si>
  <si>
    <t>WC Baywide 115</t>
  </si>
  <si>
    <t>WC Baywide 115-115</t>
  </si>
  <si>
    <t>I034</t>
  </si>
  <si>
    <t>WC Baywide 116</t>
  </si>
  <si>
    <t>WC Baywide 116-116</t>
  </si>
  <si>
    <t>I035</t>
  </si>
  <si>
    <t>WC Baywide 194</t>
  </si>
  <si>
    <t>WC Baywide 194-194</t>
  </si>
  <si>
    <t>I036</t>
  </si>
  <si>
    <t>WC Baywide 232</t>
  </si>
  <si>
    <t>WC Baywide 232-232</t>
  </si>
  <si>
    <t>I037</t>
  </si>
  <si>
    <t>WC Baywide 258</t>
  </si>
  <si>
    <t>WC Baywide 258-258</t>
  </si>
  <si>
    <t>I038</t>
  </si>
  <si>
    <t>WC Baywide 155</t>
  </si>
  <si>
    <t>WC Baywide 155-155</t>
  </si>
  <si>
    <t>I039</t>
  </si>
  <si>
    <t>WC Baywide 162</t>
  </si>
  <si>
    <t>WC Baywide 162-162</t>
  </si>
  <si>
    <t>I040</t>
  </si>
  <si>
    <t>WC Baywide 373</t>
  </si>
  <si>
    <t>WC Baywide 373-373</t>
  </si>
  <si>
    <t>I041</t>
  </si>
  <si>
    <t>WC Baywide 184</t>
  </si>
  <si>
    <t>WC Baywide 184-184</t>
  </si>
  <si>
    <t>I042</t>
  </si>
  <si>
    <t>WC Baywide 122</t>
  </si>
  <si>
    <t>WC Baywide 122-122</t>
  </si>
  <si>
    <t>I043</t>
  </si>
  <si>
    <t>WC Baywide 129</t>
  </si>
  <si>
    <t>WC Baywide 129-129</t>
  </si>
  <si>
    <t>I044</t>
  </si>
  <si>
    <t>WC Baywide 137</t>
  </si>
  <si>
    <t>WC Baywide 137-137</t>
  </si>
  <si>
    <t>I045</t>
  </si>
  <si>
    <t>WC Baywide 147</t>
  </si>
  <si>
    <t>WC Baywide 147-147</t>
  </si>
  <si>
    <t>I046</t>
  </si>
  <si>
    <t>WC Baywide 36</t>
  </si>
  <si>
    <t>WC Baywide 36-36</t>
  </si>
  <si>
    <t>I047</t>
  </si>
  <si>
    <t>WC Baywide 39</t>
  </si>
  <si>
    <t>WC Baywide 39-39</t>
  </si>
  <si>
    <t>I048</t>
  </si>
  <si>
    <t>WC Baywide 105</t>
  </si>
  <si>
    <t>WC Baywide 105-105</t>
  </si>
  <si>
    <t>I049</t>
  </si>
  <si>
    <t>WC Baywide 79</t>
  </si>
  <si>
    <t>WC Baywide 79-79</t>
  </si>
  <si>
    <t>I050</t>
  </si>
  <si>
    <t>WC Baywide 135</t>
  </si>
  <si>
    <t>WC Baywide 135-135</t>
  </si>
  <si>
    <t>I051</t>
  </si>
  <si>
    <t>WC Baywide 150</t>
  </si>
  <si>
    <t>WC Baywide 150-150</t>
  </si>
  <si>
    <t>I052</t>
  </si>
  <si>
    <t>WC Baywide 11</t>
  </si>
  <si>
    <t>WC Baywide 11-11</t>
  </si>
  <si>
    <t>I053</t>
  </si>
  <si>
    <t>WC Baywide 157</t>
  </si>
  <si>
    <t>WC Baywide 157-157</t>
  </si>
  <si>
    <t>I054</t>
  </si>
  <si>
    <t>WC Baywide 151</t>
  </si>
  <si>
    <t>WC Baywide 151-151</t>
  </si>
  <si>
    <t>I055</t>
  </si>
  <si>
    <t>WC Baywide 169</t>
  </si>
  <si>
    <t>WC Baywide 169-169</t>
  </si>
  <si>
    <t>I056</t>
  </si>
  <si>
    <t>WC Baywide 47</t>
  </si>
  <si>
    <t>WC Baywide 47-47</t>
  </si>
  <si>
    <t>I057</t>
  </si>
  <si>
    <t>WC Baywide 140</t>
  </si>
  <si>
    <t>WC Baywide 140-140</t>
  </si>
  <si>
    <t>I058</t>
  </si>
  <si>
    <t>WC Baywide 13</t>
  </si>
  <si>
    <t>WC Baywide 13-13</t>
  </si>
  <si>
    <t>I059</t>
  </si>
  <si>
    <t>I060</t>
  </si>
  <si>
    <t>WC Baywide 58</t>
  </si>
  <si>
    <t>WC Baywide 58-58</t>
  </si>
  <si>
    <t>I061</t>
  </si>
  <si>
    <t>I062</t>
  </si>
  <si>
    <t>WC Baywide 101</t>
  </si>
  <si>
    <t>WC Baywide 101-101</t>
  </si>
  <si>
    <t>I063</t>
  </si>
  <si>
    <t>WC Baywide 124</t>
  </si>
  <si>
    <t>WC Baywide 124-124</t>
  </si>
  <si>
    <t>I064</t>
  </si>
  <si>
    <t>I065</t>
  </si>
  <si>
    <t>WC Baywide 28</t>
  </si>
  <si>
    <t>WC Baywide 28-28</t>
  </si>
  <si>
    <t>I066</t>
  </si>
  <si>
    <t>WC Baywide 4</t>
  </si>
  <si>
    <t>WC Baywide 4-4</t>
  </si>
  <si>
    <t>I067</t>
  </si>
  <si>
    <t>WC Baywide 10</t>
  </si>
  <si>
    <t>WC Baywide 10-10</t>
  </si>
  <si>
    <t>I068</t>
  </si>
  <si>
    <t>WC Baywide 19</t>
  </si>
  <si>
    <t>WC Baywide 19-19</t>
  </si>
  <si>
    <t>I069</t>
  </si>
  <si>
    <t>WC Baywide 148</t>
  </si>
  <si>
    <t>WC Baywide 148-148</t>
  </si>
  <si>
    <t>I070</t>
  </si>
  <si>
    <t>WC Baywide 172 ALT</t>
  </si>
  <si>
    <t>WC Baywide 172 ALT-172</t>
  </si>
  <si>
    <t>I071</t>
  </si>
  <si>
    <t>WC Baywide 153</t>
  </si>
  <si>
    <t>WC Baywide 153-153</t>
  </si>
  <si>
    <t>I072</t>
  </si>
  <si>
    <t>WC Baywide 37</t>
  </si>
  <si>
    <t>WC Baywide 37-37</t>
  </si>
  <si>
    <t>I073</t>
  </si>
  <si>
    <t>WC Baywide 42</t>
  </si>
  <si>
    <t>WC Baywide 42-42</t>
  </si>
  <si>
    <t>I074</t>
  </si>
  <si>
    <t>WC Baywide 37 ALT</t>
  </si>
  <si>
    <t>WC Baywide 37 ALT-37</t>
  </si>
  <si>
    <t>I075</t>
  </si>
  <si>
    <t>WC Baywide 172</t>
  </si>
  <si>
    <t>WC Baywide 172-172</t>
  </si>
  <si>
    <t>I076</t>
  </si>
  <si>
    <t>WC Baywide 40</t>
  </si>
  <si>
    <t>WC Baywide 40-40</t>
  </si>
  <si>
    <t>I077</t>
  </si>
  <si>
    <t>WC Baywide 130</t>
  </si>
  <si>
    <t>WC Baywide 130-130</t>
  </si>
  <si>
    <t>S127</t>
  </si>
  <si>
    <t>SS Subtidal Baywide 7</t>
  </si>
  <si>
    <t>SS Subtidal Baywide 7-7</t>
  </si>
  <si>
    <t>S128</t>
  </si>
  <si>
    <t>SS Subtidal Baywide 402</t>
  </si>
  <si>
    <t>SS Subtidal Baywide 402-402</t>
  </si>
  <si>
    <t>S129</t>
  </si>
  <si>
    <t>SS Subtidal Baywide 4</t>
  </si>
  <si>
    <t>SS Subtidal Baywide 4-4</t>
  </si>
  <si>
    <t>S130</t>
  </si>
  <si>
    <t>SS Subtidal Baywide 21</t>
  </si>
  <si>
    <t>SS Subtidal Baywide 21-21</t>
  </si>
  <si>
    <t>S131</t>
  </si>
  <si>
    <t>SS Subtidal Baywide 302</t>
  </si>
  <si>
    <t>SS Subtidal Baywide 302-302</t>
  </si>
  <si>
    <t>S132</t>
  </si>
  <si>
    <t>SS Subtidal Baywide 3</t>
  </si>
  <si>
    <t>SS Subtidal Baywide 3-3</t>
  </si>
  <si>
    <t>S133</t>
  </si>
  <si>
    <t>SS Subtidal Baywide 502</t>
  </si>
  <si>
    <t>SS Subtidal Baywide 502-502</t>
  </si>
  <si>
    <t>S134</t>
  </si>
  <si>
    <t>SS Subtidal Baywide 5</t>
  </si>
  <si>
    <t>SS Subtidal Baywide 5-5</t>
  </si>
  <si>
    <t>S135</t>
  </si>
  <si>
    <t>SS Subtidal Baywide 16</t>
  </si>
  <si>
    <t>SS Subtidal Baywide 16-16</t>
  </si>
  <si>
    <t>S136</t>
  </si>
  <si>
    <t>SS Subtidal Baywide 12</t>
  </si>
  <si>
    <t>SS Subtidal Baywide 12-12</t>
  </si>
  <si>
    <t>S137</t>
  </si>
  <si>
    <t>SS Subtidal Baywide 19</t>
  </si>
  <si>
    <t>SS Subtidal Baywide 19-19</t>
  </si>
  <si>
    <t>S138</t>
  </si>
  <si>
    <t>SS Subtidal Baywide 2</t>
  </si>
  <si>
    <t>SS Subtidal Baywide 2-2</t>
  </si>
  <si>
    <t>S139</t>
  </si>
  <si>
    <t>SS Subtidal Baywide 202</t>
  </si>
  <si>
    <t>SS Subtidal Baywide 202-202</t>
  </si>
  <si>
    <t>S140</t>
  </si>
  <si>
    <t>SS Subtidal Baywide 28</t>
  </si>
  <si>
    <t>SS Subtidal Baywide 28-28</t>
  </si>
  <si>
    <t>S141</t>
  </si>
  <si>
    <t>SS Subtidal Baywide 18</t>
  </si>
  <si>
    <t>SS Subtidal Baywide 18-18</t>
  </si>
  <si>
    <t>S142</t>
  </si>
  <si>
    <t>SS Subtidal Baywide 13</t>
  </si>
  <si>
    <t>SS Subtidal Baywide 13-13</t>
  </si>
  <si>
    <t>S143</t>
  </si>
  <si>
    <t>SS Subtidal Baywide 17</t>
  </si>
  <si>
    <t>SS Subtidal Baywide 17-17</t>
  </si>
  <si>
    <t>S144</t>
  </si>
  <si>
    <t>SS Subtidal Baywide 20</t>
  </si>
  <si>
    <t>SS Subtidal Baywide 20-20</t>
  </si>
  <si>
    <t>S145</t>
  </si>
  <si>
    <t>SS Subtidal Baywide 26</t>
  </si>
  <si>
    <t>SS Subtidal Baywide 26-26</t>
  </si>
  <si>
    <t>S146</t>
  </si>
  <si>
    <t>SS Subtidal Baywide 1</t>
  </si>
  <si>
    <t>SS Subtidal Baywide 1-1</t>
  </si>
  <si>
    <t>S147</t>
  </si>
  <si>
    <t>SS Subtidal Baywide 23</t>
  </si>
  <si>
    <t>SS Subtidal Baywide 23-23</t>
  </si>
  <si>
    <t>S148</t>
  </si>
  <si>
    <t>SS Subtidal Baywide 6</t>
  </si>
  <si>
    <t>SS Subtidal Baywide 6-6</t>
  </si>
  <si>
    <t>S149</t>
  </si>
  <si>
    <t>SS Subtidal Baywide 102</t>
  </si>
  <si>
    <t>SS Subtidal Baywide 102-102</t>
  </si>
  <si>
    <t>S150</t>
  </si>
  <si>
    <t>SS Subtidal Baywide 8</t>
  </si>
  <si>
    <t>SS Subtidal Baywide 8-8</t>
  </si>
  <si>
    <t>S151</t>
  </si>
  <si>
    <t>SS Subtidal Baywide 25</t>
  </si>
  <si>
    <t>SS Subtidal Baywide 25-25</t>
  </si>
  <si>
    <t>S152</t>
  </si>
  <si>
    <t>SS Subtidal Baywide 29</t>
  </si>
  <si>
    <t>SS Subtidal Baywide 29-29</t>
  </si>
  <si>
    <t>S153</t>
  </si>
  <si>
    <t>SS Subtidal Baywide 31</t>
  </si>
  <si>
    <t>SS Subtidal Baywide 31-31</t>
  </si>
  <si>
    <t>S154</t>
  </si>
  <si>
    <t>SS Subtidal Baywide 30</t>
  </si>
  <si>
    <t>SS Subtidal Baywide 30-30</t>
  </si>
  <si>
    <t>S155</t>
  </si>
  <si>
    <t>SS Subtidal Baywide 27</t>
  </si>
  <si>
    <t>SS Subtidal Baywide 27-27</t>
  </si>
  <si>
    <t>S156</t>
  </si>
  <si>
    <t>SS Subtidal Baywide 10</t>
  </si>
  <si>
    <t>SS Subtidal Baywide 10-10</t>
  </si>
  <si>
    <t>S157</t>
  </si>
  <si>
    <t>SS Subtidal Baywide 11</t>
  </si>
  <si>
    <t>SS Subtidal Baywide 11-11</t>
  </si>
  <si>
    <t>S158</t>
  </si>
  <si>
    <t>SS Subtidal Baywide 22</t>
  </si>
  <si>
    <t>SS Subtidal Baywide 22-22</t>
  </si>
  <si>
    <t>S159</t>
  </si>
  <si>
    <t>SS Subtidal Baywide 14</t>
  </si>
  <si>
    <t>SS Subtidal Baywide 14-14</t>
  </si>
  <si>
    <t>T033</t>
  </si>
  <si>
    <t>M</t>
  </si>
  <si>
    <t>TB M 27412_82313 41</t>
  </si>
  <si>
    <t>TB-M-27412_82313-41</t>
  </si>
  <si>
    <t>C044</t>
  </si>
  <si>
    <t>CR W 26304_82038 49</t>
  </si>
  <si>
    <t>CR-W-26304_82038-49</t>
  </si>
  <si>
    <t>C045</t>
  </si>
  <si>
    <t>CR W 26304_82035 50</t>
  </si>
  <si>
    <t>CR-W-26304_82035-50</t>
  </si>
  <si>
    <t>C046</t>
  </si>
  <si>
    <t>CR W 26303_82036 51</t>
  </si>
  <si>
    <t>CR-W-26303_82036-51</t>
  </si>
  <si>
    <t>C047</t>
  </si>
  <si>
    <t>CR W 26303_82035 52</t>
  </si>
  <si>
    <t>CR-W-26303_82035-52</t>
  </si>
  <si>
    <t>C048</t>
  </si>
  <si>
    <t>CR W 26292_82032 53</t>
  </si>
  <si>
    <t>CR-W-26292_82032-53</t>
  </si>
  <si>
    <t>C049</t>
  </si>
  <si>
    <t>CR W 26297_82004 54</t>
  </si>
  <si>
    <t>CR-W-26297_82004-54</t>
  </si>
  <si>
    <t>C050</t>
  </si>
  <si>
    <t>CR W 26296_82005 55</t>
  </si>
  <si>
    <t>CR-W-26296_82005-55</t>
  </si>
  <si>
    <t>C051</t>
  </si>
  <si>
    <t>CR W 26296_82002 56</t>
  </si>
  <si>
    <t>CR-W-26296_82002-56</t>
  </si>
  <si>
    <t>C052</t>
  </si>
  <si>
    <t>CR W 26297_82002 57</t>
  </si>
  <si>
    <t>CR-W-26297_82002-57</t>
  </si>
  <si>
    <t>C053</t>
  </si>
  <si>
    <t>CR W 26304_82005 58</t>
  </si>
  <si>
    <t>CR-W-26304_82005-58</t>
  </si>
  <si>
    <t>T051</t>
  </si>
  <si>
    <t>R</t>
  </si>
  <si>
    <t>TB R 27316_82282 59</t>
  </si>
  <si>
    <t>TB-R-27316_82282-59</t>
  </si>
  <si>
    <t>T027</t>
  </si>
  <si>
    <t>L</t>
  </si>
  <si>
    <t>TB L 27382_82433 35</t>
  </si>
  <si>
    <t>TB-L-27382_82433-35</t>
  </si>
  <si>
    <t>T028</t>
  </si>
  <si>
    <t>TB L 27377_82434 36</t>
  </si>
  <si>
    <t>TB-L-27377_82434-36</t>
  </si>
  <si>
    <t>T029</t>
  </si>
  <si>
    <t>TB L 27373_82438 37</t>
  </si>
  <si>
    <t>TB-L-27373_82438-37</t>
  </si>
  <si>
    <t>T030</t>
  </si>
  <si>
    <t>TB L 27374_82438 38</t>
  </si>
  <si>
    <t>TB-L-27374_82438-38</t>
  </si>
  <si>
    <t>T031</t>
  </si>
  <si>
    <t>TB L 27371_82440 39</t>
  </si>
  <si>
    <t>TB-L-27371_82440-39</t>
  </si>
  <si>
    <t>T032</t>
  </si>
  <si>
    <t>TB L 27386_82428 40</t>
  </si>
  <si>
    <t>TB-L-27386_82428-40</t>
  </si>
  <si>
    <t>T035</t>
  </si>
  <si>
    <t>TB M 27427_82301 43</t>
  </si>
  <si>
    <t>TB-M-27427_82301-43</t>
  </si>
  <si>
    <t>T037</t>
  </si>
  <si>
    <t>TB M 27426_82299 45</t>
  </si>
  <si>
    <t>TB-M-27426_82299-45</t>
  </si>
  <si>
    <t>T038</t>
  </si>
  <si>
    <t>TB M 27426_82300 46</t>
  </si>
  <si>
    <t>TB-M-27426_82300-46</t>
  </si>
  <si>
    <t>T039</t>
  </si>
  <si>
    <t>TB M 27426_82300 47</t>
  </si>
  <si>
    <t>TB-M-27426_82300-47</t>
  </si>
  <si>
    <t>T040</t>
  </si>
  <si>
    <t>TB M 27425_82300 48</t>
  </si>
  <si>
    <t>TB-M-27425_82300-48</t>
  </si>
  <si>
    <t>T041</t>
  </si>
  <si>
    <t>TB M 27425_82301 49</t>
  </si>
  <si>
    <t>TB-M-27425_82301-49</t>
  </si>
  <si>
    <t>T042</t>
  </si>
  <si>
    <t>TB M 27424_82300 50</t>
  </si>
  <si>
    <t>TB-M-27424_82300-50</t>
  </si>
  <si>
    <t>T043</t>
  </si>
  <si>
    <t>TB M 27424_82300 51</t>
  </si>
  <si>
    <t>TB-M-27424_82300-51</t>
  </si>
  <si>
    <t>T044</t>
  </si>
  <si>
    <t>TB M 27420_82301 52</t>
  </si>
  <si>
    <t>TB-M-27420_82301-52</t>
  </si>
  <si>
    <t>T045</t>
  </si>
  <si>
    <t>TB M 27423_82301 53</t>
  </si>
  <si>
    <t>TB-M-27423_82301-53</t>
  </si>
  <si>
    <t>T046</t>
  </si>
  <si>
    <t>TB M 27424_82304 54</t>
  </si>
  <si>
    <t>TB-M-27424_82304-54</t>
  </si>
  <si>
    <t>T047</t>
  </si>
  <si>
    <t>TB M 27425_82303 55</t>
  </si>
  <si>
    <t>TB-M-27425_82303-55</t>
  </si>
  <si>
    <t>T048</t>
  </si>
  <si>
    <t>TB M 27426_82298 56</t>
  </si>
  <si>
    <t>TB-M-27426_82298-56</t>
  </si>
  <si>
    <t>T049</t>
  </si>
  <si>
    <t>TB M 27426_82298 57</t>
  </si>
  <si>
    <t>TB-M-27426_82298-57</t>
  </si>
  <si>
    <t>T050</t>
  </si>
  <si>
    <t>TB M 27427_82296 58</t>
  </si>
  <si>
    <t>TB-M-27427_82296-58</t>
  </si>
  <si>
    <t>NFWF Hotel Bar</t>
  </si>
  <si>
    <t>NFWF Hotel Bar-1</t>
  </si>
  <si>
    <t>NFWF Hotel Bar-2</t>
  </si>
  <si>
    <t>NFWF Hotel Bar-3</t>
  </si>
  <si>
    <t>NFWF Hotel Bar-4</t>
  </si>
  <si>
    <t>NFWF Hotel Bar-5</t>
  </si>
  <si>
    <t>Halfmoon</t>
  </si>
  <si>
    <t>Halfmoon-6</t>
  </si>
  <si>
    <t>Sediment Halfmoon</t>
  </si>
  <si>
    <t>Sediment Halfmoon-6</t>
  </si>
  <si>
    <t>SBM Halfmoon</t>
  </si>
  <si>
    <t>SBM Halfmoon-6</t>
  </si>
  <si>
    <t>Lighthouse</t>
  </si>
  <si>
    <t>Lighthouse-7</t>
  </si>
  <si>
    <t>SBM Lighthouse</t>
  </si>
  <si>
    <t>SBM Lighthouse-7</t>
  </si>
  <si>
    <t>Normans</t>
  </si>
  <si>
    <t>Normans-8</t>
  </si>
  <si>
    <t>SBM Normans</t>
  </si>
  <si>
    <t>SBM Normans-8</t>
  </si>
  <si>
    <t>Hotel</t>
  </si>
  <si>
    <t>Hotel-9</t>
  </si>
  <si>
    <t>Sediment-Hotel</t>
  </si>
  <si>
    <t>Sediment-Hotel-9</t>
  </si>
  <si>
    <t>Datalogger-Hotel</t>
  </si>
  <si>
    <t>Datalogger-Hotel-9</t>
  </si>
  <si>
    <t>SBM Hotel</t>
  </si>
  <si>
    <t>SBM Hotel-East</t>
  </si>
  <si>
    <t>SBM Hotel-West</t>
  </si>
  <si>
    <t>East Lumps</t>
  </si>
  <si>
    <t>East Lumps-10</t>
  </si>
  <si>
    <t>SBM East Lumps</t>
  </si>
  <si>
    <t>SBM East Lumps-10</t>
  </si>
  <si>
    <t>AB Baywide 1375</t>
  </si>
  <si>
    <t>AB Baywide 1375-1375</t>
  </si>
  <si>
    <t>AB Baywide 1384</t>
  </si>
  <si>
    <t>AB Baywide 1384-1384</t>
  </si>
  <si>
    <t>AB Baywide 1388</t>
  </si>
  <si>
    <t>AB Baywide 1388-1388</t>
  </si>
  <si>
    <t>AB Baywide 1389</t>
  </si>
  <si>
    <t>AB Baywide 1389-1389</t>
  </si>
  <si>
    <t>AB Baywide 1403</t>
  </si>
  <si>
    <t>AB Baywide 1403-1403</t>
  </si>
  <si>
    <t>AB Baywide 1424</t>
  </si>
  <si>
    <t>AB Baywide 1424-1424</t>
  </si>
  <si>
    <t>AB Baywide 1430</t>
  </si>
  <si>
    <t>AB Baywide 1430-1430</t>
  </si>
  <si>
    <t>AB Baywide 1439</t>
  </si>
  <si>
    <t>AB Baywide 1439-1439</t>
  </si>
  <si>
    <t>AB Baywide 1440</t>
  </si>
  <si>
    <t>AB Baywide 1440-1440</t>
  </si>
  <si>
    <t>AB Baywide 1447</t>
  </si>
  <si>
    <t>AB Baywide 1447-1447</t>
  </si>
  <si>
    <t>AB Baywide 1549</t>
  </si>
  <si>
    <t>AB Baywide 1549-1549</t>
  </si>
  <si>
    <t>AB Baywide 1557</t>
  </si>
  <si>
    <t>AB Baywide 1557-1557</t>
  </si>
  <si>
    <t>AB Baywide 1570</t>
  </si>
  <si>
    <t>AB Baywide 1570-1570</t>
  </si>
  <si>
    <t>AB Baywide 1573</t>
  </si>
  <si>
    <t>AB Baywide 1573-1573</t>
  </si>
  <si>
    <t>AB Baywide 1602</t>
  </si>
  <si>
    <t>AB Baywide 1602-1602</t>
  </si>
  <si>
    <t>AB Baywide 1618</t>
  </si>
  <si>
    <t>AB Baywide 1618-1618</t>
  </si>
  <si>
    <t>AB Baywide 1620</t>
  </si>
  <si>
    <t>AB Baywide 1620-1620</t>
  </si>
  <si>
    <t>AB Baywide 1621</t>
  </si>
  <si>
    <t>AB Baywide 1621-1621</t>
  </si>
  <si>
    <t>AB Baywide 1640</t>
  </si>
  <si>
    <t>AB Baywide 1640-1640</t>
  </si>
  <si>
    <t>AB Baywide 1660</t>
  </si>
  <si>
    <t>AB Baywide 1660-1660</t>
  </si>
  <si>
    <t>AB Baywide 1687</t>
  </si>
  <si>
    <t>AB Baywide 1687-1687</t>
  </si>
  <si>
    <t>AB Baywide 1717</t>
  </si>
  <si>
    <t>AB Baywide 1717-1717</t>
  </si>
  <si>
    <t>AB Baywide 1725</t>
  </si>
  <si>
    <t>AB Baywide 1725-1725</t>
  </si>
  <si>
    <t>AB Baywide 1743</t>
  </si>
  <si>
    <t>AB Baywide 1743-1743</t>
  </si>
  <si>
    <t>AB Baywide 1761</t>
  </si>
  <si>
    <t>AB Baywide 1761-1761</t>
  </si>
  <si>
    <t>AB Baywide 1762</t>
  </si>
  <si>
    <t>AB Baywide 1762-1762</t>
  </si>
  <si>
    <t>AB Baywide 1767</t>
  </si>
  <si>
    <t>AB Baywide 1767-1767</t>
  </si>
  <si>
    <t>AB Baywide 1768</t>
  </si>
  <si>
    <t>AB Baywide 1768-1768</t>
  </si>
  <si>
    <t>AB Baywide 1769</t>
  </si>
  <si>
    <t>AB Baywide 1769-1769</t>
  </si>
  <si>
    <t>AB Baywide 1784</t>
  </si>
  <si>
    <t>AB Baywide 1784-1784</t>
  </si>
  <si>
    <t>AB Baywide 1828</t>
  </si>
  <si>
    <t>AB Baywide 1828-1828</t>
  </si>
  <si>
    <t>AB Baywide 1846</t>
  </si>
  <si>
    <t>AB Baywide 1846-1846</t>
  </si>
  <si>
    <t>AB Baywide 1868</t>
  </si>
  <si>
    <t>AB Baywide 1868-1868</t>
  </si>
  <si>
    <t>AB Baywide 1877</t>
  </si>
  <si>
    <t>AB Baywide 1877-1877</t>
  </si>
  <si>
    <t>AB Baywide 1892</t>
  </si>
  <si>
    <t>AB Baywide 1892-1892</t>
  </si>
  <si>
    <t>AB Baywide 1894</t>
  </si>
  <si>
    <t>AB Baywide 1894-1894</t>
  </si>
  <si>
    <t>AB Baywide 1931</t>
  </si>
  <si>
    <t>AB Baywide 1931-1931</t>
  </si>
  <si>
    <t>AB Baywide 1947</t>
  </si>
  <si>
    <t>AB Baywide 1947-1947</t>
  </si>
  <si>
    <t>AB Baywide 1949</t>
  </si>
  <si>
    <t>AB Baywide 1949-1949</t>
  </si>
  <si>
    <t>AB Baywide 1952</t>
  </si>
  <si>
    <t>AB Baywide 1952-1952</t>
  </si>
  <si>
    <t>AB Baywide 1967</t>
  </si>
  <si>
    <t>AB Baywide 1967-1967</t>
  </si>
  <si>
    <t>AB Baywide 1990</t>
  </si>
  <si>
    <t>AB Baywide 1990-1990</t>
  </si>
  <si>
    <t>AB Baywide 2012</t>
  </si>
  <si>
    <t>AB Baywide 2012-2012</t>
  </si>
  <si>
    <t>AB Baywide 2018</t>
  </si>
  <si>
    <t>AB Baywide 2018-2018</t>
  </si>
  <si>
    <t>AB Baywide 2025</t>
  </si>
  <si>
    <t>AB Baywide 2025-2025</t>
  </si>
  <si>
    <t>AB Baywide 2028</t>
  </si>
  <si>
    <t>AB Baywide 2028-2028</t>
  </si>
  <si>
    <t>AB Baywide 2052</t>
  </si>
  <si>
    <t>AB Baywide 2052-2052</t>
  </si>
  <si>
    <t>AB Baywide 2066</t>
  </si>
  <si>
    <t>AB Baywide 2066-2066</t>
  </si>
  <si>
    <t>AB Baywide 2079</t>
  </si>
  <si>
    <t>AB Baywide 2079-2079</t>
  </si>
  <si>
    <t>AB Baywide 2104</t>
  </si>
  <si>
    <t>AB Baywide 2104-2104</t>
  </si>
  <si>
    <t>AB Baywide 2110</t>
  </si>
  <si>
    <t>AB Baywide 2110-2110</t>
  </si>
  <si>
    <t>AB Baywide 2115</t>
  </si>
  <si>
    <t>AB Baywide 2115-2115</t>
  </si>
  <si>
    <t>AB Baywide 2131</t>
  </si>
  <si>
    <t>AB Baywide 2131-2131</t>
  </si>
  <si>
    <t>AB Baywide 2145</t>
  </si>
  <si>
    <t>AB Baywide 2145-2145</t>
  </si>
  <si>
    <t>AB Baywide 20241</t>
  </si>
  <si>
    <t>AB Baywide 20241-20241</t>
  </si>
  <si>
    <t>AB Baywide 20242</t>
  </si>
  <si>
    <t>AB Baywide 20242-20242</t>
  </si>
  <si>
    <t>NFWF Bulkhead</t>
  </si>
  <si>
    <t>NFWF Bulkhead-1</t>
  </si>
  <si>
    <t>NFWF Bulkhead-2</t>
  </si>
  <si>
    <t>NFWF Bulkhead-3</t>
  </si>
  <si>
    <t>NFWF Bulkhead-4</t>
  </si>
  <si>
    <t>NFWF Bulkhead-5</t>
  </si>
  <si>
    <t>Cat Point</t>
  </si>
  <si>
    <t>Cat Point-11</t>
  </si>
  <si>
    <t>SBM Cat Point</t>
  </si>
  <si>
    <t>SBM Cat Point-11</t>
  </si>
  <si>
    <t>Easthole</t>
  </si>
  <si>
    <t>Easthole-12</t>
  </si>
  <si>
    <t>Sediment-Easthole #7</t>
  </si>
  <si>
    <t>Sediment-Easthole #7-12</t>
  </si>
  <si>
    <t>Platform</t>
  </si>
  <si>
    <t>Platform-13</t>
  </si>
  <si>
    <t>Sediment-Platform</t>
  </si>
  <si>
    <t>Sediment-Platform-13</t>
  </si>
  <si>
    <t>Porters</t>
  </si>
  <si>
    <t>Porters-14</t>
  </si>
  <si>
    <t>Green Pt Bar</t>
  </si>
  <si>
    <t>Green Pt Bar-15</t>
  </si>
  <si>
    <t>Bulkhead</t>
  </si>
  <si>
    <t>Bulkhead-15</t>
  </si>
  <si>
    <t>SBM Bulkhead</t>
  </si>
  <si>
    <t>SBM Bulkhead-North</t>
  </si>
  <si>
    <t>SBM Bulkhead-South</t>
  </si>
  <si>
    <t>Easthole #69</t>
  </si>
  <si>
    <t>Easthole #69-16</t>
  </si>
  <si>
    <t>AB Baywide 2179</t>
  </si>
  <si>
    <t>AB Baywide 2179-2179</t>
  </si>
  <si>
    <t>AB Baywide 2199</t>
  </si>
  <si>
    <t>AB Baywide 2199-2199</t>
  </si>
  <si>
    <t>AB Baywide 2307</t>
  </si>
  <si>
    <t>AB Baywide 2307-2307</t>
  </si>
  <si>
    <t>AB Baywide 2320</t>
  </si>
  <si>
    <t>AB Baywide 2320-2320</t>
  </si>
  <si>
    <t>AB Baywide 2366</t>
  </si>
  <si>
    <t>AB Baywide 2366-2366</t>
  </si>
  <si>
    <t>AB Baywide 2390</t>
  </si>
  <si>
    <t>AB Baywide 2390-2390</t>
  </si>
  <si>
    <t>AB Baywide 2416</t>
  </si>
  <si>
    <t>AB Baywide 2416-2416</t>
  </si>
  <si>
    <t>AB Baywide 2432</t>
  </si>
  <si>
    <t>AB Baywide 2432-2432</t>
  </si>
  <si>
    <t>AB Baywide 2479</t>
  </si>
  <si>
    <t>AB Baywide 2479-2479</t>
  </si>
  <si>
    <t>AB Baywide 2576</t>
  </si>
  <si>
    <t>AB Baywide 2576-2576</t>
  </si>
  <si>
    <t>AB Baywide 2630</t>
  </si>
  <si>
    <t>AB Baywide 2630-2630</t>
  </si>
  <si>
    <t>AB Baywide 2660</t>
  </si>
  <si>
    <t>AB Baywide 2660-2660</t>
  </si>
  <si>
    <t>AB Baywide 2670</t>
  </si>
  <si>
    <t>AB Baywide 2670-2670</t>
  </si>
  <si>
    <t>AB Baywide 2703</t>
  </si>
  <si>
    <t>AB Baywide 2703-2703</t>
  </si>
  <si>
    <t>AB Baywide 2723</t>
  </si>
  <si>
    <t>AB Baywide 2723-2723</t>
  </si>
  <si>
    <t>AB Baywide 2729</t>
  </si>
  <si>
    <t>AB Baywide 2729-2729</t>
  </si>
  <si>
    <t>AB Baywide 2789</t>
  </si>
  <si>
    <t>AB Baywide 2789-2789</t>
  </si>
  <si>
    <t>AB Baywide 2793</t>
  </si>
  <si>
    <t>AB Baywide 2793-2793</t>
  </si>
  <si>
    <t>AB Baywide 2798</t>
  </si>
  <si>
    <t>AB Baywide 2798-2798</t>
  </si>
  <si>
    <t>AB Baywide 2842</t>
  </si>
  <si>
    <t>AB Baywide 2842-2842</t>
  </si>
  <si>
    <t>AB Baywide 2861</t>
  </si>
  <si>
    <t>AB Baywide 2861-2861</t>
  </si>
  <si>
    <t>AB Baywide 2888</t>
  </si>
  <si>
    <t>AB Baywide 2888-2888</t>
  </si>
  <si>
    <t>AB Baywide 2894</t>
  </si>
  <si>
    <t>AB Baywide 2894-2894</t>
  </si>
  <si>
    <t>AB Baywide 2902</t>
  </si>
  <si>
    <t>AB Baywide 2902-2902</t>
  </si>
  <si>
    <t>AB Baywide 2910</t>
  </si>
  <si>
    <t>AB Baywide 2910-2910</t>
  </si>
  <si>
    <t>AB Baywide 2911</t>
  </si>
  <si>
    <t>AB Baywide 2911-2911</t>
  </si>
  <si>
    <t>AB Baywide 2926</t>
  </si>
  <si>
    <t>AB Baywide 2926-2926</t>
  </si>
  <si>
    <t>AB Baywide 2938</t>
  </si>
  <si>
    <t>AB Baywide 2938-2938</t>
  </si>
  <si>
    <t>AB Baywide 2957</t>
  </si>
  <si>
    <t>AB Baywide 2957-2957</t>
  </si>
  <si>
    <t>AB Baywide 2960</t>
  </si>
  <si>
    <t>AB Baywide 2960-2960</t>
  </si>
  <si>
    <t>AB Baywide 3004</t>
  </si>
  <si>
    <t>AB Baywide 3004-3004</t>
  </si>
  <si>
    <t>AB Baywide 3010</t>
  </si>
  <si>
    <t>AB Baywide 3010-3010</t>
  </si>
  <si>
    <t>AB Baywide 3071</t>
  </si>
  <si>
    <t>AB Baywide 3071-3071</t>
  </si>
  <si>
    <t>AB Baywide 3088</t>
  </si>
  <si>
    <t>AB Baywide 3088-3088</t>
  </si>
  <si>
    <t>AB Baywide 3106</t>
  </si>
  <si>
    <t>AB Baywide 3106-3106</t>
  </si>
  <si>
    <t>AB Baywide 3217</t>
  </si>
  <si>
    <t>AB Baywide 3217-3217</t>
  </si>
  <si>
    <t>AB Baywide 3243</t>
  </si>
  <si>
    <t>AB Baywide 3243-3243</t>
  </si>
  <si>
    <t>AB Baywide 3264</t>
  </si>
  <si>
    <t>AB Baywide 3264-3264</t>
  </si>
  <si>
    <t>AB Baywide 3275</t>
  </si>
  <si>
    <t>AB Baywide 3275-3275</t>
  </si>
  <si>
    <t>AB Baywide 3287</t>
  </si>
  <si>
    <t>AB Baywide 3287-3287</t>
  </si>
  <si>
    <t>AB Baywide 3288</t>
  </si>
  <si>
    <t>AB Baywide 3288-3288</t>
  </si>
  <si>
    <t>AB Baywide 3296</t>
  </si>
  <si>
    <t>AB Baywide 3296-3296</t>
  </si>
  <si>
    <t>AB Baywide 3302</t>
  </si>
  <si>
    <t>AB Baywide 3302-3302</t>
  </si>
  <si>
    <t>AB Baywide 3320</t>
  </si>
  <si>
    <t>AB Baywide 3320-3320</t>
  </si>
  <si>
    <t>AB Baywide 3324</t>
  </si>
  <si>
    <t>AB Baywide 3324-3324</t>
  </si>
  <si>
    <t>AB Baywide 3350</t>
  </si>
  <si>
    <t>AB Baywide 3350-3350</t>
  </si>
  <si>
    <t>AB Baywide 3354</t>
  </si>
  <si>
    <t>AB Baywide 3354-3354</t>
  </si>
  <si>
    <t>Paradise Flats</t>
  </si>
  <si>
    <t>Paradise Flats-1</t>
  </si>
  <si>
    <t>NFWF Dry Bar</t>
  </si>
  <si>
    <t>NFWF Dry Bar-1</t>
  </si>
  <si>
    <t>Sediment-Paradise Flats</t>
  </si>
  <si>
    <t>Sediment-Paradise Flats-1</t>
  </si>
  <si>
    <t>Cabbage Top</t>
  </si>
  <si>
    <t>Cabbage Top-2</t>
  </si>
  <si>
    <t>NFWF Dry Bar-2</t>
  </si>
  <si>
    <t>Dry Bar North</t>
  </si>
  <si>
    <t>Dry Bar North-3</t>
  </si>
  <si>
    <t>NFWF Dry Bar-3</t>
  </si>
  <si>
    <t>Green Point</t>
  </si>
  <si>
    <t>Green Point-4</t>
  </si>
  <si>
    <t>NFWF Dry Bar-4</t>
  </si>
  <si>
    <t>Sediment-Green Pt</t>
  </si>
  <si>
    <t>Sediment-Green Pt-4</t>
  </si>
  <si>
    <t>Dry Bar South</t>
  </si>
  <si>
    <t>Dry Bar South-5</t>
  </si>
  <si>
    <t>NFWF Dry Bar-5</t>
  </si>
  <si>
    <t>Eleven Mile</t>
  </si>
  <si>
    <t>Eleven Mile-5</t>
  </si>
  <si>
    <t>AB Baywide 60</t>
  </si>
  <si>
    <t>AB Baywide 60-60</t>
  </si>
  <si>
    <t>AB Baywide 73</t>
  </si>
  <si>
    <t>AB Baywide 73-73</t>
  </si>
  <si>
    <t>AB Baywide 98</t>
  </si>
  <si>
    <t>AB Baywide 98-98</t>
  </si>
  <si>
    <t>AB Baywide 109</t>
  </si>
  <si>
    <t>AB Baywide 109-109</t>
  </si>
  <si>
    <t>AB Baywide 155</t>
  </si>
  <si>
    <t>AB Baywide 155-155</t>
  </si>
  <si>
    <t>AB Baywide 215</t>
  </si>
  <si>
    <t>AB Baywide 215-215</t>
  </si>
  <si>
    <t>AB Baywide 263</t>
  </si>
  <si>
    <t>AB Baywide 263-263</t>
  </si>
  <si>
    <t>AB Baywide 268</t>
  </si>
  <si>
    <t>AB Baywide 268-268</t>
  </si>
  <si>
    <t>AB Baywide 284</t>
  </si>
  <si>
    <t>AB Baywide 284-284</t>
  </si>
  <si>
    <t>AB Baywide 288</t>
  </si>
  <si>
    <t>AB Baywide 288-288</t>
  </si>
  <si>
    <t>AB Baywide 310</t>
  </si>
  <si>
    <t>AB Baywide 310-310</t>
  </si>
  <si>
    <t>AB Baywide 324</t>
  </si>
  <si>
    <t>AB Baywide 324-324</t>
  </si>
  <si>
    <t>AB Baywide 332</t>
  </si>
  <si>
    <t>AB Baywide 332-332</t>
  </si>
  <si>
    <t>AB Baywide 333</t>
  </si>
  <si>
    <t>AB Baywide 333-333</t>
  </si>
  <si>
    <t>AB Baywide 359</t>
  </si>
  <si>
    <t>AB Baywide 359-359</t>
  </si>
  <si>
    <t>AB Baywide 375</t>
  </si>
  <si>
    <t>AB Baywide 375-375</t>
  </si>
  <si>
    <t>AB Baywide 409</t>
  </si>
  <si>
    <t>AB Baywide 409-409</t>
  </si>
  <si>
    <t>AB Baywide 497</t>
  </si>
  <si>
    <t>AB Baywide 497-497</t>
  </si>
  <si>
    <t>AB Baywide 508</t>
  </si>
  <si>
    <t>AB Baywide 508-508</t>
  </si>
  <si>
    <t>AB Baywide 510</t>
  </si>
  <si>
    <t>AB Baywide 510-510</t>
  </si>
  <si>
    <t>AB Baywide 520</t>
  </si>
  <si>
    <t>AB Baywide 520-520</t>
  </si>
  <si>
    <t>AB Baywide 547</t>
  </si>
  <si>
    <t>AB Baywide 547-547</t>
  </si>
  <si>
    <t>AB Baywide 553</t>
  </si>
  <si>
    <t>AB Baywide 553-553</t>
  </si>
  <si>
    <t>AB Baywide 554</t>
  </si>
  <si>
    <t>AB Baywide 554-554</t>
  </si>
  <si>
    <t>AB Baywide 556</t>
  </si>
  <si>
    <t>AB Baywide 556-556</t>
  </si>
  <si>
    <t>AB Baywide 562</t>
  </si>
  <si>
    <t>AB Baywide 562-562</t>
  </si>
  <si>
    <t>AB Baywide 567</t>
  </si>
  <si>
    <t>AB Baywide 567-567</t>
  </si>
  <si>
    <t>AB Baywide 604</t>
  </si>
  <si>
    <t>AB Baywide 604-604</t>
  </si>
  <si>
    <t>AB Baywide 710</t>
  </si>
  <si>
    <t>AB Baywide 710-710</t>
  </si>
  <si>
    <t>AB Baywide 716</t>
  </si>
  <si>
    <t>AB Baywide 716-716</t>
  </si>
  <si>
    <t>AB Baywide 726</t>
  </si>
  <si>
    <t>AB Baywide 726-726</t>
  </si>
  <si>
    <t>AB Baywide 727</t>
  </si>
  <si>
    <t>AB Baywide 727-727</t>
  </si>
  <si>
    <t>AB Baywide 762</t>
  </si>
  <si>
    <t>AB Baywide 762-762</t>
  </si>
  <si>
    <t>AB Baywide 763</t>
  </si>
  <si>
    <t>AB Baywide 763-763</t>
  </si>
  <si>
    <t>AB Baywide 788</t>
  </si>
  <si>
    <t>AB Baywide 788-788</t>
  </si>
  <si>
    <t>AB Baywide 817</t>
  </si>
  <si>
    <t>AB Baywide 817-817</t>
  </si>
  <si>
    <t>AB Baywide 886</t>
  </si>
  <si>
    <t>AB Baywide 886-886</t>
  </si>
  <si>
    <t>AB Baywide 905</t>
  </si>
  <si>
    <t>AB Baywide 905-905</t>
  </si>
  <si>
    <t>AB Baywide 934</t>
  </si>
  <si>
    <t>AB Baywide 934-934</t>
  </si>
  <si>
    <t>AB Baywide 964</t>
  </si>
  <si>
    <t>AB Baywide 964-964</t>
  </si>
  <si>
    <t>AB Baywide 973</t>
  </si>
  <si>
    <t>AB Baywide 973-973</t>
  </si>
  <si>
    <t>AB Baywide 999</t>
  </si>
  <si>
    <t>AB Baywide 999-999</t>
  </si>
  <si>
    <t>AB Baywide 1050</t>
  </si>
  <si>
    <t>AB Baywide 1050-1050</t>
  </si>
  <si>
    <t>AB Baywide 1052</t>
  </si>
  <si>
    <t>AB Baywide 1052-1052</t>
  </si>
  <si>
    <t>AB Baywide 1084</t>
  </si>
  <si>
    <t>AB Baywide 1084-1084</t>
  </si>
  <si>
    <t>AB Baywide 1112</t>
  </si>
  <si>
    <t>AB Baywide 1112-1112</t>
  </si>
  <si>
    <t>AB Baywide 1126</t>
  </si>
  <si>
    <t>AB Baywide 1126-1126</t>
  </si>
  <si>
    <t>AB Baywide 1127</t>
  </si>
  <si>
    <t>AB Baywide 1127-1127</t>
  </si>
  <si>
    <t>AB Baywide 1131</t>
  </si>
  <si>
    <t>AB Baywide 1131-1131</t>
  </si>
  <si>
    <t>AB Baywide 1134</t>
  </si>
  <si>
    <t>AB Baywide 1134-1134</t>
  </si>
  <si>
    <t>AB Baywide 1203</t>
  </si>
  <si>
    <t>AB Baywide 1203-1203</t>
  </si>
  <si>
    <t>AB Baywide 1214</t>
  </si>
  <si>
    <t>AB Baywide 1214-1214</t>
  </si>
  <si>
    <t>AB Baywide 1225</t>
  </si>
  <si>
    <t>AB Baywide 1225-1225</t>
  </si>
  <si>
    <t>AB Baywide 1242</t>
  </si>
  <si>
    <t>AB Baywide 1242-1242</t>
  </si>
  <si>
    <t>AB Baywide 1302</t>
  </si>
  <si>
    <t>AB Baywide 1302-1302</t>
  </si>
  <si>
    <t>AB Baywide 1305</t>
  </si>
  <si>
    <t>AB Baywide 1305-1305</t>
  </si>
  <si>
    <t>AB Baywide 1319</t>
  </si>
  <si>
    <t>AB Baywide 1319-1319</t>
  </si>
  <si>
    <t>AB Baywide 1338</t>
  </si>
  <si>
    <t>AB Baywide 1338-1338</t>
  </si>
  <si>
    <t>BB</t>
  </si>
  <si>
    <t>BB CERP Deering</t>
  </si>
  <si>
    <t>BB CERP Deering-1</t>
  </si>
  <si>
    <t>Biscayne Bay</t>
  </si>
  <si>
    <t>BB CERP Black Point</t>
  </si>
  <si>
    <t>BB CERP Black Point-2</t>
  </si>
  <si>
    <t>BB CERP  South</t>
  </si>
  <si>
    <t>BB CERP  South-3</t>
  </si>
  <si>
    <t>PPT</t>
  </si>
  <si>
    <t>PPT-1</t>
  </si>
  <si>
    <t>IC</t>
  </si>
  <si>
    <t>IC-2</t>
  </si>
  <si>
    <t>BI</t>
  </si>
  <si>
    <t>BI-3</t>
  </si>
  <si>
    <t>KK</t>
  </si>
  <si>
    <t>KK-4</t>
  </si>
  <si>
    <t>LW</t>
  </si>
  <si>
    <t>LW-L-1</t>
  </si>
  <si>
    <t>LW-L-1-1</t>
  </si>
  <si>
    <t>Lake Worth</t>
  </si>
  <si>
    <t>LW-L-2</t>
  </si>
  <si>
    <t>LW-L-2-2</t>
  </si>
  <si>
    <t>LW-L-3</t>
  </si>
  <si>
    <t>LW-L-3-3</t>
  </si>
  <si>
    <t>LW-R-1</t>
  </si>
  <si>
    <t>LW-R-1-1</t>
  </si>
  <si>
    <t>LW-R-2</t>
  </si>
  <si>
    <t>LW-R-2-2</t>
  </si>
  <si>
    <t>LW-R-3</t>
  </si>
  <si>
    <t>LW-R-3-3</t>
  </si>
  <si>
    <t>LX</t>
  </si>
  <si>
    <t>LX-N-1</t>
  </si>
  <si>
    <t>LX-N-1-1</t>
  </si>
  <si>
    <t>Loxahatchee</t>
  </si>
  <si>
    <t>LX-N-2</t>
  </si>
  <si>
    <t>LX-N-2-2</t>
  </si>
  <si>
    <t>LX-N-3</t>
  </si>
  <si>
    <t>LX-N-3-3</t>
  </si>
  <si>
    <t>ARRA-LX-R-1</t>
  </si>
  <si>
    <t>ARRA-LX-R-1-1</t>
  </si>
  <si>
    <t>LX-S-1</t>
  </si>
  <si>
    <t>LX-S-1-1</t>
  </si>
  <si>
    <t>LX-S-2</t>
  </si>
  <si>
    <t>LX-S-2-2</t>
  </si>
  <si>
    <t>LX-S-3</t>
  </si>
  <si>
    <t>LX-S-3-3</t>
  </si>
  <si>
    <t>ML</t>
  </si>
  <si>
    <t>T</t>
  </si>
  <si>
    <t>ML turtle mound</t>
  </si>
  <si>
    <t>ML turtle mound-1</t>
  </si>
  <si>
    <t>Mosquito Lagoon</t>
  </si>
  <si>
    <t>ML turtle mound-2</t>
  </si>
  <si>
    <t>ML turtle mound-3</t>
  </si>
  <si>
    <t>SL</t>
  </si>
  <si>
    <t>SL-C-1</t>
  </si>
  <si>
    <t>SL-C-1-1</t>
  </si>
  <si>
    <t>St. Lucie</t>
  </si>
  <si>
    <t>SL-C-2</t>
  </si>
  <si>
    <t>SL-C-2-2</t>
  </si>
  <si>
    <t>SL-C-3</t>
  </si>
  <si>
    <t>SL-C-3-3</t>
  </si>
  <si>
    <t>ARRA-SL-L-1</t>
  </si>
  <si>
    <t>ARRA-SL-L-1-1</t>
  </si>
  <si>
    <t>ARRA-SL-L-2</t>
  </si>
  <si>
    <t>ARRA-SL-L-2-2</t>
  </si>
  <si>
    <t>SL-M-1</t>
  </si>
  <si>
    <t>SL-M-1-1</t>
  </si>
  <si>
    <t>SL-N-1</t>
  </si>
  <si>
    <t>SL-N-1-1</t>
  </si>
  <si>
    <t>SL-N-2</t>
  </si>
  <si>
    <t>SL-N-2-2</t>
  </si>
  <si>
    <t>SL-N-3</t>
  </si>
  <si>
    <t>SL-N-3-3</t>
  </si>
  <si>
    <t>ARRA-SL-R-1</t>
  </si>
  <si>
    <t>ARRA-SL-R-1-1</t>
  </si>
  <si>
    <t>ARRA-SL-R-2</t>
  </si>
  <si>
    <t>ARRA-SL-R-2-2</t>
  </si>
  <si>
    <t>ARRA-SL-R-3</t>
  </si>
  <si>
    <t>ARRA-SL-R-3-3</t>
  </si>
  <si>
    <t>ARRA-SL-R-4</t>
  </si>
  <si>
    <t>ARRA-SL-R-4-4</t>
  </si>
  <si>
    <t>SL-S-1</t>
  </si>
  <si>
    <t>SL-S-1-1</t>
  </si>
  <si>
    <t>SL-S-2</t>
  </si>
  <si>
    <t>SL-S-2-2</t>
  </si>
  <si>
    <t>SL-S-3</t>
  </si>
  <si>
    <t>SL-S-3-3</t>
  </si>
  <si>
    <t>SR</t>
  </si>
  <si>
    <t>Middle</t>
  </si>
  <si>
    <t>Middle-1</t>
  </si>
  <si>
    <t>Sebastian River</t>
  </si>
  <si>
    <t>Middle-2</t>
  </si>
  <si>
    <t>Middle-3</t>
  </si>
  <si>
    <t>TB Boca Ciega Clam Bayou</t>
  </si>
  <si>
    <t>TB Boca Ciega Clam Bayou-4</t>
  </si>
  <si>
    <t>TB Pinellas Point</t>
  </si>
  <si>
    <t>TB Pinellas Point-1</t>
  </si>
  <si>
    <t>TB Pinellas Point-2</t>
  </si>
  <si>
    <t>TB Skyway</t>
  </si>
  <si>
    <t>TB Skyway-2</t>
  </si>
  <si>
    <t>TB Pinellas Point-3</t>
  </si>
  <si>
    <t>TB Ft. Desoto</t>
  </si>
  <si>
    <t>TB Ft. Desoto-3</t>
  </si>
  <si>
    <t>FCMP LE-D-Seawall</t>
  </si>
  <si>
    <t>FCMP LE-D-Mangrove</t>
  </si>
  <si>
    <t>FCMP LE-D-Reef</t>
  </si>
  <si>
    <t>FCMP LE-D-Rest</t>
  </si>
  <si>
    <t>FCMP LE-S-Seawall</t>
  </si>
  <si>
    <t>FCMP LE-S-Mangrove</t>
  </si>
  <si>
    <t>FCMP LE-S-Reef</t>
  </si>
  <si>
    <t>FCMP LE-S-Rest</t>
  </si>
  <si>
    <t>TB Weedon</t>
  </si>
  <si>
    <t>TB Weedon-5</t>
  </si>
  <si>
    <t>FCMP ME-D-Seawall</t>
  </si>
  <si>
    <t>FCMP ME-D-Mangrove</t>
  </si>
  <si>
    <t>FCMP ME-D-Reef</t>
  </si>
  <si>
    <t>FCMP ME-D-Rest</t>
  </si>
  <si>
    <t>FCMP ME-S-Seawall</t>
  </si>
  <si>
    <t>FCMP ME-S-Mangrove</t>
  </si>
  <si>
    <t>FCMP ME-S-Reef</t>
  </si>
  <si>
    <t>FCMP ME-S-Rest</t>
  </si>
  <si>
    <t>U</t>
  </si>
  <si>
    <t>FCMP UE-D-Seawall</t>
  </si>
  <si>
    <t>FCMP UE-D-Mangrove</t>
  </si>
  <si>
    <t>FCMP UE-D-Reef</t>
  </si>
  <si>
    <t>FCMP UE-D-Rest</t>
  </si>
  <si>
    <t>FCMP UE-S-Seawall</t>
  </si>
  <si>
    <t>FCMP UE-S-Mangrove</t>
  </si>
  <si>
    <t>FCMP UE-S-Reef</t>
  </si>
  <si>
    <t>FCMP UE-S-Rest</t>
  </si>
  <si>
    <t>SBM Lighthouse-Restoration</t>
  </si>
  <si>
    <t>SBM EastLumps-Restoration</t>
  </si>
  <si>
    <t>SBM Cat Point-Restoration</t>
  </si>
  <si>
    <t>LW-R-4</t>
  </si>
  <si>
    <t>LW-R-4-4</t>
  </si>
  <si>
    <t>PE</t>
  </si>
  <si>
    <t>Mirage Bar</t>
  </si>
  <si>
    <t>Mirage Bar-1</t>
  </si>
  <si>
    <t>Pensacola Bay</t>
  </si>
  <si>
    <t>Trout Bayou #1</t>
  </si>
  <si>
    <t>Trout Bayou #1-2</t>
  </si>
  <si>
    <t>Dogleg Bar</t>
  </si>
  <si>
    <t>Dogleg Bar-3</t>
  </si>
  <si>
    <t>Garcon Bar</t>
  </si>
  <si>
    <t>Garcon Bar-4</t>
  </si>
  <si>
    <t>Boathouse Lumps</t>
  </si>
  <si>
    <t>Boathouse Lumps-5</t>
  </si>
  <si>
    <t>White Point</t>
  </si>
  <si>
    <t>White Point-6</t>
  </si>
  <si>
    <t>Escribano Point Bar</t>
  </si>
  <si>
    <t>Escribano Point Bar-7</t>
  </si>
  <si>
    <t>Halfmoon Bar</t>
  </si>
  <si>
    <t>Halfmoon Bar-8</t>
  </si>
  <si>
    <t>East River North</t>
  </si>
  <si>
    <t>East River North-9</t>
  </si>
  <si>
    <t>East River Beds</t>
  </si>
  <si>
    <t>East River Beds-10</t>
  </si>
  <si>
    <t>S101</t>
  </si>
  <si>
    <t>SS Shell Budget 344 (2022)</t>
  </si>
  <si>
    <t>S102</t>
  </si>
  <si>
    <t>SS Shell Budget 77 (2022)</t>
  </si>
  <si>
    <t>S103</t>
  </si>
  <si>
    <t>SS Shell Budget 401 (2022)</t>
  </si>
  <si>
    <t>S104</t>
  </si>
  <si>
    <t>SS Shell Budget 241 (2022)</t>
  </si>
  <si>
    <t>S105</t>
  </si>
  <si>
    <t>SS Shell Budget 827 (2022)</t>
  </si>
  <si>
    <t>S106</t>
  </si>
  <si>
    <t>SS Shell Budget 747 (2022)</t>
  </si>
  <si>
    <t>SA</t>
  </si>
  <si>
    <t>SA Baywide 59</t>
  </si>
  <si>
    <t>St. Andrew Bay</t>
  </si>
  <si>
    <t>SA Baywide 80</t>
  </si>
  <si>
    <t>SA Baywide 125</t>
  </si>
  <si>
    <t>SA Baywide 127</t>
  </si>
  <si>
    <t>SA Baywide 154</t>
  </si>
  <si>
    <t>SA Baywide 205</t>
  </si>
  <si>
    <t>SA Baywide 207</t>
  </si>
  <si>
    <t>SA Baywide 209</t>
  </si>
  <si>
    <t>SA Baywide 249</t>
  </si>
  <si>
    <t>SA Baywide 291</t>
  </si>
  <si>
    <t>SA Baywide 330</t>
  </si>
  <si>
    <t>SA Baywide 380</t>
  </si>
  <si>
    <t>SA Baywide 516</t>
  </si>
  <si>
    <t>SA Baywide 562</t>
  </si>
  <si>
    <t>SA Baywide 651</t>
  </si>
  <si>
    <t>SA Baywide 707</t>
  </si>
  <si>
    <t>SA Baywide 745</t>
  </si>
  <si>
    <t>SA Baywide 789</t>
  </si>
  <si>
    <t>SA Baywide 791</t>
  </si>
  <si>
    <t>SA Baywide 932</t>
  </si>
  <si>
    <t>SA Baywide 1160</t>
  </si>
  <si>
    <t>SA Baywide 1442</t>
  </si>
  <si>
    <t>SA Baywide 1483</t>
  </si>
  <si>
    <t>SA Baywide 1701</t>
  </si>
  <si>
    <t>SA Baywide 3915</t>
  </si>
  <si>
    <t>SA Baywide 4274</t>
  </si>
  <si>
    <t>SA Baywide 4687</t>
  </si>
  <si>
    <t>SA Baywide 5000</t>
  </si>
  <si>
    <t>SA Baywide 5383</t>
  </si>
  <si>
    <t>SA Baywide 5682</t>
  </si>
  <si>
    <t>SA Baywide 5802</t>
  </si>
  <si>
    <t>SA Baywide 5959</t>
  </si>
  <si>
    <t>SA Baywide 6069</t>
  </si>
  <si>
    <t>SA Baywide 6187</t>
  </si>
  <si>
    <t>SA Baywide 6191</t>
  </si>
  <si>
    <t>SA Baywide 6505</t>
  </si>
  <si>
    <t>SA Baywide 4492</t>
  </si>
  <si>
    <t>SA Baywide 5308</t>
  </si>
  <si>
    <t>SA Baywide 5339</t>
  </si>
  <si>
    <t>SA Baywide 5454</t>
  </si>
  <si>
    <t>SA Baywide 5735</t>
  </si>
  <si>
    <t>SA Baywide 6020</t>
  </si>
  <si>
    <t>SA Baywide 6139</t>
  </si>
  <si>
    <t>SA Baywide 6352</t>
  </si>
  <si>
    <t>SA Baywide 6637</t>
  </si>
  <si>
    <t>Ward Creek Reef</t>
  </si>
  <si>
    <t>Ward Creek Reef-1</t>
  </si>
  <si>
    <t>Crooked Creek</t>
  </si>
  <si>
    <t>Crooked Creek-2</t>
  </si>
  <si>
    <t>South Channel Ridge</t>
  </si>
  <si>
    <t>South Channel Ridge-3</t>
  </si>
  <si>
    <t>West Bay Point</t>
  </si>
  <si>
    <t>West Bay Point-4</t>
  </si>
  <si>
    <t>Mud Bayou</t>
  </si>
  <si>
    <t>Mud Bayou-5</t>
  </si>
  <si>
    <t>Newman Bayou</t>
  </si>
  <si>
    <t>Newman Bayou-6</t>
  </si>
  <si>
    <t>Grassy Point</t>
  </si>
  <si>
    <t>Grassy Point-7</t>
  </si>
  <si>
    <t>Goose Point</t>
  </si>
  <si>
    <t>Goose Point-8</t>
  </si>
  <si>
    <t>Little Oyster Bar</t>
  </si>
  <si>
    <t>Little Oyster Bar-9</t>
  </si>
  <si>
    <t>Strange Bayou</t>
  </si>
  <si>
    <t>Strange Bayou-10</t>
  </si>
  <si>
    <t>Baker Point</t>
  </si>
  <si>
    <t>Baker Point-11</t>
  </si>
  <si>
    <t>S108</t>
  </si>
  <si>
    <t>SS Shell Budget 734 (2022)</t>
  </si>
  <si>
    <t>S109</t>
  </si>
  <si>
    <t>SS Shell Budget 788 (2022)</t>
  </si>
  <si>
    <t>S110</t>
  </si>
  <si>
    <t>SS Shell Budget 596 (2022)</t>
  </si>
  <si>
    <t>S111</t>
  </si>
  <si>
    <t>SS Shell Budget 637 (2022)</t>
  </si>
  <si>
    <t>S113</t>
  </si>
  <si>
    <t>SS Shell Budget 484 (2022)</t>
  </si>
  <si>
    <t>S114</t>
  </si>
  <si>
    <t>SS Shell Budget 514 (2022)</t>
  </si>
  <si>
    <t>S001</t>
  </si>
  <si>
    <t>SS Baywide 2043</t>
  </si>
  <si>
    <t>S002</t>
  </si>
  <si>
    <t>SS Baywide 1740</t>
  </si>
  <si>
    <t>S003</t>
  </si>
  <si>
    <t>SS Baywide 1822</t>
  </si>
  <si>
    <t>S004</t>
  </si>
  <si>
    <t>SS Baywide 1958</t>
  </si>
  <si>
    <t>S006</t>
  </si>
  <si>
    <t>SS Baywide 1974</t>
  </si>
  <si>
    <t>S005</t>
  </si>
  <si>
    <t>SS Baywide 2013</t>
  </si>
  <si>
    <t>S008</t>
  </si>
  <si>
    <t>SS Baywide 2014</t>
  </si>
  <si>
    <t>S009</t>
  </si>
  <si>
    <t>SS Baywide 2255</t>
  </si>
  <si>
    <t>S014</t>
  </si>
  <si>
    <t>SS Baywide 2086</t>
  </si>
  <si>
    <t>S013</t>
  </si>
  <si>
    <t>SS Baywide 2116</t>
  </si>
  <si>
    <t>S010</t>
  </si>
  <si>
    <t>SS Baywide 2263</t>
  </si>
  <si>
    <t>S011</t>
  </si>
  <si>
    <t>SS Baywide 2419</t>
  </si>
  <si>
    <t>S012</t>
  </si>
  <si>
    <t>SS Baywide 2421</t>
  </si>
  <si>
    <t>S016</t>
  </si>
  <si>
    <t>SS Baywide 1808</t>
  </si>
  <si>
    <t>S015</t>
  </si>
  <si>
    <t>SS Baywide 1815</t>
  </si>
  <si>
    <t>S019</t>
  </si>
  <si>
    <t>SS Baywide 1911</t>
  </si>
  <si>
    <t>S020</t>
  </si>
  <si>
    <t>SS Baywide 1913</t>
  </si>
  <si>
    <t>S017</t>
  </si>
  <si>
    <t>SS Baywide 1925</t>
  </si>
  <si>
    <t>S021</t>
  </si>
  <si>
    <t>SS Baywide 1942</t>
  </si>
  <si>
    <t>S018</t>
  </si>
  <si>
    <t>SS Baywide 1949</t>
  </si>
  <si>
    <t>S022</t>
  </si>
  <si>
    <t>SS Baywide 2060</t>
  </si>
  <si>
    <t>S023</t>
  </si>
  <si>
    <t>SS Baywide 2270</t>
  </si>
  <si>
    <t>S024</t>
  </si>
  <si>
    <t>SS Baywide 2140</t>
  </si>
  <si>
    <t>S026</t>
  </si>
  <si>
    <t>SS Baywide 2173</t>
  </si>
  <si>
    <t>S025</t>
  </si>
  <si>
    <t>SS Baywide 2290</t>
  </si>
  <si>
    <t>S027</t>
  </si>
  <si>
    <t>SS Baywide 2513</t>
  </si>
  <si>
    <t>SL-N-4</t>
  </si>
  <si>
    <t>SL-N-4-4</t>
  </si>
  <si>
    <t>L001</t>
  </si>
  <si>
    <t>SL S 27099_80153 1</t>
  </si>
  <si>
    <t>SL-S-27099_80153-1</t>
  </si>
  <si>
    <t>S028</t>
  </si>
  <si>
    <t>SS Baywide 1126</t>
  </si>
  <si>
    <t>TB North Skyway</t>
  </si>
  <si>
    <t>TB North Skyway 6</t>
  </si>
  <si>
    <t>TB Manatee River</t>
  </si>
  <si>
    <t>TB Manatee River 7</t>
  </si>
  <si>
    <t>TB Braden River</t>
  </si>
  <si>
    <t>TB Braden River 8</t>
  </si>
  <si>
    <t>S029</t>
  </si>
  <si>
    <t>SS Baywide 1767</t>
  </si>
  <si>
    <t>S030</t>
  </si>
  <si>
    <t>SS Baywide 1096</t>
  </si>
  <si>
    <t>S032</t>
  </si>
  <si>
    <t>SS Baywide 1181</t>
  </si>
  <si>
    <t>S034</t>
  </si>
  <si>
    <t>SS Baywide 1217</t>
  </si>
  <si>
    <t>S033</t>
  </si>
  <si>
    <t>SS Baywide 1798</t>
  </si>
  <si>
    <t>S031</t>
  </si>
  <si>
    <t>SS Baywide 1831</t>
  </si>
  <si>
    <t>S036</t>
  </si>
  <si>
    <t>SS Baywide 1692</t>
  </si>
  <si>
    <t>S037</t>
  </si>
  <si>
    <t>SS Baywide 1804</t>
  </si>
  <si>
    <t>S035</t>
  </si>
  <si>
    <t>SS Baywide 1890</t>
  </si>
  <si>
    <t>S007</t>
  </si>
  <si>
    <t>SS Baywide 1993</t>
  </si>
  <si>
    <t>S040</t>
  </si>
  <si>
    <t>SS Baywide 16</t>
  </si>
  <si>
    <t>S041</t>
  </si>
  <si>
    <t>SS Baywide 233</t>
  </si>
  <si>
    <t>S042</t>
  </si>
  <si>
    <t>SS Baywide 246</t>
  </si>
  <si>
    <t>S039</t>
  </si>
  <si>
    <t>SS Baywide 508</t>
  </si>
  <si>
    <t>S043</t>
  </si>
  <si>
    <t>SS Baywide 1840</t>
  </si>
  <si>
    <t>S046</t>
  </si>
  <si>
    <t>SS Baywide 39</t>
  </si>
  <si>
    <t>S048</t>
  </si>
  <si>
    <t>SS Baywide 172</t>
  </si>
  <si>
    <t>S047</t>
  </si>
  <si>
    <t>SS Baywide 272</t>
  </si>
  <si>
    <t>S112</t>
  </si>
  <si>
    <t>SS Shell Budget 154 (2022)</t>
  </si>
  <si>
    <t>S045</t>
  </si>
  <si>
    <t>SS Baywide 338</t>
  </si>
  <si>
    <t>S044</t>
  </si>
  <si>
    <t>SS Baywide 682</t>
  </si>
  <si>
    <t>S049</t>
  </si>
  <si>
    <t>SS Baywide 2461</t>
  </si>
  <si>
    <t>S051</t>
  </si>
  <si>
    <t>SS Baywide 815</t>
  </si>
  <si>
    <t>S055</t>
  </si>
  <si>
    <t>SS Baywide 833</t>
  </si>
  <si>
    <t>S054</t>
  </si>
  <si>
    <t>SS Baywide 1534</t>
  </si>
  <si>
    <t>S053</t>
  </si>
  <si>
    <t>SS Baywide 1933</t>
  </si>
  <si>
    <t>S052</t>
  </si>
  <si>
    <t>SS Baywide 1939</t>
  </si>
  <si>
    <t>S058</t>
  </si>
  <si>
    <t>SS Baywide 2245</t>
  </si>
  <si>
    <t>S057</t>
  </si>
  <si>
    <t>SS Baywide 2559</t>
  </si>
  <si>
    <t>S056</t>
  </si>
  <si>
    <t>SS Baywide 2591</t>
  </si>
  <si>
    <t>S059</t>
  </si>
  <si>
    <t>SS Baywide 86</t>
  </si>
  <si>
    <t>S061</t>
  </si>
  <si>
    <t>SS Baywide 679</t>
  </si>
  <si>
    <t>S060</t>
  </si>
  <si>
    <t>SS Baywide 689</t>
  </si>
  <si>
    <t>S064</t>
  </si>
  <si>
    <t>SS Baywide 122</t>
  </si>
  <si>
    <t>S065</t>
  </si>
  <si>
    <t>SS Baywide 127</t>
  </si>
  <si>
    <t>S066</t>
  </si>
  <si>
    <t>SS Baywide 160</t>
  </si>
  <si>
    <t>S063</t>
  </si>
  <si>
    <t>SS Baywide 362</t>
  </si>
  <si>
    <t>S062</t>
  </si>
  <si>
    <t>SS Baywide 3333</t>
  </si>
  <si>
    <t>S071</t>
  </si>
  <si>
    <t>SS Baywide 1983</t>
  </si>
  <si>
    <t>S072</t>
  </si>
  <si>
    <t>SS Baywide 1990</t>
  </si>
  <si>
    <t>S070</t>
  </si>
  <si>
    <t>SS Baywide 2006</t>
  </si>
  <si>
    <t>S069</t>
  </si>
  <si>
    <t>SS Baywide 2017</t>
  </si>
  <si>
    <t>S068</t>
  </si>
  <si>
    <t>SS Baywide 2195</t>
  </si>
  <si>
    <t>S067</t>
  </si>
  <si>
    <t>SS Baywide 2310</t>
  </si>
  <si>
    <t>S079</t>
  </si>
  <si>
    <t>SS Baywide 52</t>
  </si>
  <si>
    <t>S078</t>
  </si>
  <si>
    <t>SS Baywide 59</t>
  </si>
  <si>
    <t>S077</t>
  </si>
  <si>
    <t>SS Baywide 114</t>
  </si>
  <si>
    <t>S080</t>
  </si>
  <si>
    <t>SS Baywide 118</t>
  </si>
  <si>
    <t>S076</t>
  </si>
  <si>
    <t>SS Baywide 190</t>
  </si>
  <si>
    <t>S074</t>
  </si>
  <si>
    <t>SS Baywide 399</t>
  </si>
  <si>
    <t>S073</t>
  </si>
  <si>
    <t>SS Baywide 438</t>
  </si>
  <si>
    <t>S075</t>
  </si>
  <si>
    <t>SS Baywide 474</t>
  </si>
  <si>
    <t>S081</t>
  </si>
  <si>
    <t>SS Baywide 68</t>
  </si>
  <si>
    <t>S082</t>
  </si>
  <si>
    <t>SS Baywide 408</t>
  </si>
  <si>
    <t>S085</t>
  </si>
  <si>
    <t>SS Baywide 703</t>
  </si>
  <si>
    <t>S083</t>
  </si>
  <si>
    <t>SS Baywide 708</t>
  </si>
  <si>
    <t>S086</t>
  </si>
  <si>
    <t>SS Baywide 720</t>
  </si>
  <si>
    <t>S084</t>
  </si>
  <si>
    <t>SS Baywide 750</t>
  </si>
  <si>
    <t>S087</t>
  </si>
  <si>
    <t>SS Baywide 2137</t>
  </si>
  <si>
    <t>S088</t>
  </si>
  <si>
    <t>SS Baywide 2155</t>
  </si>
  <si>
    <t>S090</t>
  </si>
  <si>
    <t>SS Baywide 2357</t>
  </si>
  <si>
    <t>S089</t>
  </si>
  <si>
    <t>SS Baywide 2499</t>
  </si>
  <si>
    <t>S050</t>
  </si>
  <si>
    <t>SS Baywide 2057</t>
  </si>
  <si>
    <t>S093</t>
  </si>
  <si>
    <t>SS Baywide 2258</t>
  </si>
  <si>
    <t>S092</t>
  </si>
  <si>
    <t>SS Baywide 2301</t>
  </si>
  <si>
    <t>S096</t>
  </si>
  <si>
    <t>SS Baywide 2378</t>
  </si>
  <si>
    <t>S095</t>
  </si>
  <si>
    <t>SS Baywide 2601</t>
  </si>
  <si>
    <t>S094</t>
  </si>
  <si>
    <t>SS Baywide 2602</t>
  </si>
  <si>
    <t>S099</t>
  </si>
  <si>
    <t>SS Baywide 25</t>
  </si>
  <si>
    <t>S100</t>
  </si>
  <si>
    <t>SS Baywide 229</t>
  </si>
  <si>
    <t>S098</t>
  </si>
  <si>
    <t>SS Baywide 1162</t>
  </si>
  <si>
    <t>S097</t>
  </si>
  <si>
    <t>SS Baywide 1306</t>
  </si>
  <si>
    <t>S091</t>
  </si>
  <si>
    <t>SS Baywide 2059</t>
  </si>
  <si>
    <t>BR1</t>
  </si>
  <si>
    <t>BR 1-1</t>
  </si>
  <si>
    <t>BR2</t>
  </si>
  <si>
    <t>BR 2-2</t>
  </si>
  <si>
    <t>BR3</t>
  </si>
  <si>
    <t>BR 3-3</t>
  </si>
  <si>
    <t>BR4</t>
  </si>
  <si>
    <t>BR 4-4</t>
  </si>
  <si>
    <t>BR5</t>
  </si>
  <si>
    <t>BR 5-5</t>
  </si>
  <si>
    <t>BR6</t>
  </si>
  <si>
    <t>BR 6-6</t>
  </si>
  <si>
    <t>EP1</t>
  </si>
  <si>
    <t>EP 1-1</t>
  </si>
  <si>
    <t>EP2</t>
  </si>
  <si>
    <t>EP 2-2</t>
  </si>
  <si>
    <t>EP3</t>
  </si>
  <si>
    <t>EP 3-3</t>
  </si>
  <si>
    <t>EP4</t>
  </si>
  <si>
    <t>EP 4-4</t>
  </si>
  <si>
    <t>EP5</t>
  </si>
  <si>
    <t>EP 5-5</t>
  </si>
  <si>
    <t>EP6</t>
  </si>
  <si>
    <t>EP 6-6</t>
  </si>
  <si>
    <t>DI1</t>
  </si>
  <si>
    <t>DI 1-1</t>
  </si>
  <si>
    <t>DI2</t>
  </si>
  <si>
    <t>DI 2-2</t>
  </si>
  <si>
    <t>DI3</t>
  </si>
  <si>
    <t>DI 3-3</t>
  </si>
  <si>
    <t>DI4</t>
  </si>
  <si>
    <t>DI 4-4</t>
  </si>
  <si>
    <t>SBM Cat Point-Shallow</t>
  </si>
  <si>
    <t>L002</t>
  </si>
  <si>
    <t>SL S 27101_80156 2</t>
  </si>
  <si>
    <t>SL-S-27101_80156-2</t>
  </si>
  <si>
    <t>L003</t>
  </si>
  <si>
    <t>SL S 27095_80151 3</t>
  </si>
  <si>
    <t>SL-S-27095_80151-3</t>
  </si>
  <si>
    <t>L004</t>
  </si>
  <si>
    <t>SL S 27097_80154 4</t>
  </si>
  <si>
    <t>SL-S-27097_80154-4</t>
  </si>
  <si>
    <t>L005</t>
  </si>
  <si>
    <t>SL S 27103_80154 5</t>
  </si>
  <si>
    <t>SL-S-27103_80154-5</t>
  </si>
  <si>
    <t>L006</t>
  </si>
  <si>
    <t>SL S 27110_80160 6</t>
  </si>
  <si>
    <t>SL-S-27110_80160-6</t>
  </si>
  <si>
    <t>L007</t>
  </si>
  <si>
    <t>SL S 27116_80161 7</t>
  </si>
  <si>
    <t>SL-S-27116_80161-7</t>
  </si>
  <si>
    <t>L008</t>
  </si>
  <si>
    <t>SL S 27119_80160 8</t>
  </si>
  <si>
    <t>SL-S-27119_80160-8</t>
  </si>
  <si>
    <t>L009</t>
  </si>
  <si>
    <t>SL S 27119_80160 9</t>
  </si>
  <si>
    <t>SL-S-27119_80160-9</t>
  </si>
  <si>
    <t>L010</t>
  </si>
  <si>
    <t>SL N 27123_80163 10</t>
  </si>
  <si>
    <t>SL-N-27123_80163-10</t>
  </si>
  <si>
    <t>L011</t>
  </si>
  <si>
    <t>SL N 27123_80166 11</t>
  </si>
  <si>
    <t>SL-N-27123_80166-11</t>
  </si>
  <si>
    <t>L012</t>
  </si>
  <si>
    <t>SL N 27125_80170 12</t>
  </si>
  <si>
    <t>SL-N-27125_80170-12</t>
  </si>
  <si>
    <t>L013</t>
  </si>
  <si>
    <t>SL N 27138_80180 13</t>
  </si>
  <si>
    <t>SL-N-27138_80180-13</t>
  </si>
  <si>
    <t>L014</t>
  </si>
  <si>
    <t>SL N 27141_80189 14</t>
  </si>
  <si>
    <t>SL-N-27141_80189-14</t>
  </si>
  <si>
    <t>L015</t>
  </si>
  <si>
    <t>SL N 27142_80189 15</t>
  </si>
  <si>
    <t>SL-N-27142_80189-15</t>
  </si>
  <si>
    <t>L016</t>
  </si>
  <si>
    <t>SL N 27143_80192 16</t>
  </si>
  <si>
    <t>SL-N-27143_80192-16</t>
  </si>
  <si>
    <t>L017</t>
  </si>
  <si>
    <t>SL N 27144_80189 17</t>
  </si>
  <si>
    <t>SL-N-27144_80189-17</t>
  </si>
  <si>
    <t>L018</t>
  </si>
  <si>
    <t>SL N 27141_80174 18</t>
  </si>
  <si>
    <t>SL-N-27141_80174-18</t>
  </si>
  <si>
    <t>L019</t>
  </si>
  <si>
    <t>SL N 27134_80167 19</t>
  </si>
  <si>
    <t>SL-N-27134_80167-19</t>
  </si>
  <si>
    <t>L020</t>
  </si>
  <si>
    <t>SL N 27128_80164 20</t>
  </si>
  <si>
    <t>SL-N-27128_80164-20</t>
  </si>
  <si>
    <t>L021</t>
  </si>
  <si>
    <t>SL C 27102_80121 21</t>
  </si>
  <si>
    <t>SL-C-27102_80121-21</t>
  </si>
  <si>
    <t>L022</t>
  </si>
  <si>
    <t>SL C 27110_80123 22</t>
  </si>
  <si>
    <t>SL-C-27110_80123-22</t>
  </si>
  <si>
    <t>L023</t>
  </si>
  <si>
    <t>SL C 27114_80125 23</t>
  </si>
  <si>
    <t>SL-C-27114_80125-23</t>
  </si>
  <si>
    <t>L024</t>
  </si>
  <si>
    <t>SL C 27122_80136 24</t>
  </si>
  <si>
    <t>SL-C-27122_80136-24</t>
  </si>
  <si>
    <t>L025</t>
  </si>
  <si>
    <t>SL C 27120_80141 25</t>
  </si>
  <si>
    <t>SL-C-27120_80141-25</t>
  </si>
  <si>
    <t>L026</t>
  </si>
  <si>
    <t>SL C 27120_80146 26</t>
  </si>
  <si>
    <t>SL-C-27120_80146-26</t>
  </si>
  <si>
    <t>L027</t>
  </si>
  <si>
    <t>SL C 27119_80148 27</t>
  </si>
  <si>
    <t>SL-C-27119_80148-27</t>
  </si>
  <si>
    <t>L028</t>
  </si>
  <si>
    <t>SL C 27119_80148 28</t>
  </si>
  <si>
    <t>SL-C-27119_80148-28</t>
  </si>
  <si>
    <t>L029</t>
  </si>
  <si>
    <t>SL C 27125_80153 29</t>
  </si>
  <si>
    <t>SL-C-27125_80153-29</t>
  </si>
  <si>
    <t>L030</t>
  </si>
  <si>
    <t>SL C 27125_80155 30</t>
  </si>
  <si>
    <t>SL-C-27125_80155-30</t>
  </si>
  <si>
    <t>L031</t>
  </si>
  <si>
    <t>SL C 27126_80155 31</t>
  </si>
  <si>
    <t>SL-C-27126_80155-31</t>
  </si>
  <si>
    <t>L032</t>
  </si>
  <si>
    <t>SL C 27128_80152 32</t>
  </si>
  <si>
    <t>SL-C-27128_80152-32</t>
  </si>
  <si>
    <t>L033</t>
  </si>
  <si>
    <t>SL C 27128_80139 33</t>
  </si>
  <si>
    <t>SL-C-27128_80139-33</t>
  </si>
  <si>
    <t>L034</t>
  </si>
  <si>
    <t>SL C 27129_80139 34</t>
  </si>
  <si>
    <t>SL-C-27129_80139-34</t>
  </si>
  <si>
    <t>L035</t>
  </si>
  <si>
    <t>SL C 27131_80135 35</t>
  </si>
  <si>
    <t>SL-C-27131_80135-35</t>
  </si>
  <si>
    <t>T001</t>
  </si>
  <si>
    <t>H</t>
  </si>
  <si>
    <t>TB H 27512_82226 9</t>
  </si>
  <si>
    <t>TB-H-27512_82226-9</t>
  </si>
  <si>
    <t>DI5</t>
  </si>
  <si>
    <t>DI 5-5</t>
  </si>
  <si>
    <t>T002</t>
  </si>
  <si>
    <t>TB H 27513_82227 10</t>
  </si>
  <si>
    <t>TB-H-27513_82227-10</t>
  </si>
  <si>
    <t>T003</t>
  </si>
  <si>
    <t>TB H 27513_82226 11</t>
  </si>
  <si>
    <t>TB-H-27513_82226-11</t>
  </si>
  <si>
    <t>T004</t>
  </si>
  <si>
    <t>TB H 27516_82228 12</t>
  </si>
  <si>
    <t>TB-H-27516_82228-12</t>
  </si>
  <si>
    <t>T005</t>
  </si>
  <si>
    <t>TB H 27516_82229 13</t>
  </si>
  <si>
    <t>TB-H-27516_82229-13</t>
  </si>
  <si>
    <t>T006</t>
  </si>
  <si>
    <t>TB H 27515_82230 14</t>
  </si>
  <si>
    <t>TB-H-27515_82230-14</t>
  </si>
  <si>
    <t>T007</t>
  </si>
  <si>
    <t>O</t>
  </si>
  <si>
    <t>TB O 27595_82396 15</t>
  </si>
  <si>
    <t>TB-O-27595_82396-15</t>
  </si>
  <si>
    <t>T008</t>
  </si>
  <si>
    <t>TB O 27593_82396 16</t>
  </si>
  <si>
    <t>TB-O-27593_82396-16</t>
  </si>
  <si>
    <t>T009</t>
  </si>
  <si>
    <t>TB O 27595_82398 17</t>
  </si>
  <si>
    <t>TB-O-27595_82398-17</t>
  </si>
  <si>
    <t>T010</t>
  </si>
  <si>
    <t>TB O 27596_82398 18</t>
  </si>
  <si>
    <t>TB-O-27596_82398-18</t>
  </si>
  <si>
    <t>C001</t>
  </si>
  <si>
    <t>CR E 26321_81597 5</t>
  </si>
  <si>
    <t>CR-E-26321_81597-5</t>
  </si>
  <si>
    <t>C002</t>
  </si>
  <si>
    <t>CR C 26491_82035 6</t>
  </si>
  <si>
    <t>CR-C-26491_82035-6</t>
  </si>
  <si>
    <t>C003</t>
  </si>
  <si>
    <t>CR C 26491_82034 7</t>
  </si>
  <si>
    <t>CR-C-26491_82034-7</t>
  </si>
  <si>
    <t>C004</t>
  </si>
  <si>
    <t>CR C 26490_82034 8</t>
  </si>
  <si>
    <t>CR-C-26490_82034-8</t>
  </si>
  <si>
    <t>C005</t>
  </si>
  <si>
    <t>CR C 26482_82033 9</t>
  </si>
  <si>
    <t>CR-C-26482_82033-9</t>
  </si>
  <si>
    <t>C006</t>
  </si>
  <si>
    <t>CR C 26482_82032 10</t>
  </si>
  <si>
    <t>CR-C-26482_82032-10</t>
  </si>
  <si>
    <t>C007</t>
  </si>
  <si>
    <t>CR C 26515_82034 11</t>
  </si>
  <si>
    <t>CR-C-26515_82034-11</t>
  </si>
  <si>
    <t>C008</t>
  </si>
  <si>
    <t>CR C 26527_82036 12</t>
  </si>
  <si>
    <t>CR-C-26527_82036-12</t>
  </si>
  <si>
    <t>C009</t>
  </si>
  <si>
    <t>CR B 26496_82160 13</t>
  </si>
  <si>
    <t>CR-B-26496_82160-13</t>
  </si>
  <si>
    <t>C010</t>
  </si>
  <si>
    <t>CR B 26496_82158 14</t>
  </si>
  <si>
    <t>CR-B-26496_82158-14</t>
  </si>
  <si>
    <t>C011</t>
  </si>
  <si>
    <t>CR B 26489_82152 15</t>
  </si>
  <si>
    <t>CR-B-26489_82152-15</t>
  </si>
  <si>
    <t>C012</t>
  </si>
  <si>
    <t>CR B 26492_82148 16</t>
  </si>
  <si>
    <t>CR-B-26492_82148-16</t>
  </si>
  <si>
    <t>C013</t>
  </si>
  <si>
    <t>CR B 26472_82126 17</t>
  </si>
  <si>
    <t>CR-B-26472_82126-17</t>
  </si>
  <si>
    <t>C014</t>
  </si>
  <si>
    <t>CR B 26472_82127 18</t>
  </si>
  <si>
    <t>CR-B-26472_82127-18</t>
  </si>
  <si>
    <t>C015</t>
  </si>
  <si>
    <t>CR B 26473_82126 19</t>
  </si>
  <si>
    <t>CR-B-26473_82126-19</t>
  </si>
  <si>
    <t>C016</t>
  </si>
  <si>
    <t>CR B 26471_82125 20</t>
  </si>
  <si>
    <t>CR-B-26471_82125-20</t>
  </si>
  <si>
    <t>C017</t>
  </si>
  <si>
    <t>CR B 26471_82121 21</t>
  </si>
  <si>
    <t>CR-B-26471_82121-21</t>
  </si>
  <si>
    <t>C018</t>
  </si>
  <si>
    <t>CR B 26470_82116 22</t>
  </si>
  <si>
    <t>CR-B-26470_82116-22</t>
  </si>
  <si>
    <t>C019</t>
  </si>
  <si>
    <t>CR B 26470_82115 23</t>
  </si>
  <si>
    <t>CR-B-26470_82115-23</t>
  </si>
  <si>
    <t>C020</t>
  </si>
  <si>
    <t>CR B 26470_82113 24</t>
  </si>
  <si>
    <t>CR-B-26470_82113-24</t>
  </si>
  <si>
    <t>T011</t>
  </si>
  <si>
    <t>TB R 27297_82314 19</t>
  </si>
  <si>
    <t>TB-R-27297_82314-19</t>
  </si>
  <si>
    <t>T012</t>
  </si>
  <si>
    <t>TB R 27296_82314 20</t>
  </si>
  <si>
    <t>TB-R-27296_82314-20</t>
  </si>
  <si>
    <t>T013</t>
  </si>
  <si>
    <t>TB R 27295_82312 21</t>
  </si>
  <si>
    <t>TB-R-27295_82312-21</t>
  </si>
  <si>
    <t>T014</t>
  </si>
  <si>
    <t>TB R 27294_82309 22</t>
  </si>
  <si>
    <t>TB-R-27294_82309-22</t>
  </si>
  <si>
    <t>T015</t>
  </si>
  <si>
    <t>TB R 27294_82309 23</t>
  </si>
  <si>
    <t>TB-R-27294_82309-23</t>
  </si>
  <si>
    <t>T016</t>
  </si>
  <si>
    <t>TB R 27293_82312 24</t>
  </si>
  <si>
    <t>TB-R-27293_82312-24</t>
  </si>
  <si>
    <t>T017</t>
  </si>
  <si>
    <t>TB R 27290_82310 25</t>
  </si>
  <si>
    <t>TB-R-27290_82310-25</t>
  </si>
  <si>
    <t>T018</t>
  </si>
  <si>
    <t>TB R 27392_82408 26</t>
  </si>
  <si>
    <t>TB-R-27392_82408-26</t>
  </si>
  <si>
    <t>T019</t>
  </si>
  <si>
    <t>TB L 27387_82427 27</t>
  </si>
  <si>
    <t>TB-L-27387_82427-27</t>
  </si>
  <si>
    <t>T020</t>
  </si>
  <si>
    <t>TB B 27489_82459 28</t>
  </si>
  <si>
    <t>TB-B-27489_82459-28</t>
  </si>
  <si>
    <t>T021</t>
  </si>
  <si>
    <t>TB B 27490_82459 29</t>
  </si>
  <si>
    <t>TB-B-27490_82459-29</t>
  </si>
  <si>
    <t>T022</t>
  </si>
  <si>
    <t>TB B 27488_82458 30</t>
  </si>
  <si>
    <t>TB-B-27488_82458-30</t>
  </si>
  <si>
    <t>T023</t>
  </si>
  <si>
    <t>TB B 27477_82455 31</t>
  </si>
  <si>
    <t>TB-B-27477_82455-31</t>
  </si>
  <si>
    <t>T024</t>
  </si>
  <si>
    <t>TB B 27480_82457 32</t>
  </si>
  <si>
    <t>TB-B-27480_82457-32</t>
  </si>
  <si>
    <t>C030</t>
  </si>
  <si>
    <t>CR E 26335_81553 35</t>
  </si>
  <si>
    <t>CR-E-26335_81553-35</t>
  </si>
  <si>
    <t>C031</t>
  </si>
  <si>
    <t>CR W 26306_82039 36</t>
  </si>
  <si>
    <t>CR-W-26306_82039-36</t>
  </si>
  <si>
    <t>C032</t>
  </si>
  <si>
    <t>CR W 26305_82038 37</t>
  </si>
  <si>
    <t>CR-W-26305_82038-37</t>
  </si>
  <si>
    <t>C033</t>
  </si>
  <si>
    <t>CR W 26303_82035 38</t>
  </si>
  <si>
    <t>CR-W-26303_82035-38</t>
  </si>
  <si>
    <t>C034</t>
  </si>
  <si>
    <t>CR W 26306_82013 39</t>
  </si>
  <si>
    <t>CR-W-26306_82013-39</t>
  </si>
  <si>
    <t>C035</t>
  </si>
  <si>
    <t>CR W 26306_82034 40</t>
  </si>
  <si>
    <t>CR-W-26306_82034-40</t>
  </si>
  <si>
    <t>C036</t>
  </si>
  <si>
    <t>CR W 26308_82031 41</t>
  </si>
  <si>
    <t>CR-W-26308_82031-41</t>
  </si>
  <si>
    <t>C042</t>
  </si>
  <si>
    <t>CR P 26407_82127 47</t>
  </si>
  <si>
    <t>CR-P-26407_82127-47</t>
  </si>
  <si>
    <t>C043</t>
  </si>
  <si>
    <t>CR P 26405_82126 48</t>
  </si>
  <si>
    <t>CR-P-26405_82126-48</t>
  </si>
  <si>
    <t>T034</t>
  </si>
  <si>
    <t>TB M 27412_82313 42</t>
  </si>
  <si>
    <t>TB-M-27412_82313-42</t>
  </si>
  <si>
    <t>T036</t>
  </si>
  <si>
    <t>TB M 27427_82300 44</t>
  </si>
  <si>
    <t>TB-M-27427_82300-44</t>
  </si>
  <si>
    <t>T052</t>
  </si>
  <si>
    <t>TB R 27314_82288 60</t>
  </si>
  <si>
    <t>TB-R-27314_82288-60</t>
  </si>
  <si>
    <t>T053</t>
  </si>
  <si>
    <t>TB R 27312_82284 61</t>
  </si>
  <si>
    <t>TB-R-27312_82284-61</t>
  </si>
  <si>
    <t>T054</t>
  </si>
  <si>
    <t>TB R 27312_82287 62</t>
  </si>
  <si>
    <t>TB-R-27312_82287-62</t>
  </si>
  <si>
    <t>T055</t>
  </si>
  <si>
    <t>TB R 27314_82289 63</t>
  </si>
  <si>
    <t>TB-R-27314_82289-63</t>
  </si>
  <si>
    <t>T056</t>
  </si>
  <si>
    <t>TB R 27314_82290 64</t>
  </si>
  <si>
    <t>TB-R-27314_82290-64</t>
  </si>
  <si>
    <t>T057</t>
  </si>
  <si>
    <t>TB R 27318_82298 65</t>
  </si>
  <si>
    <t>TB-R-27318_82298-65</t>
  </si>
  <si>
    <t>T058</t>
  </si>
  <si>
    <t>TB R 27317_82301 66</t>
  </si>
  <si>
    <t>TB-R-27317_82301-66</t>
  </si>
  <si>
    <t>T059</t>
  </si>
  <si>
    <t>TB R 27316_82302 67</t>
  </si>
  <si>
    <t>TB-R-27316_82302-67</t>
  </si>
  <si>
    <t>T060</t>
  </si>
  <si>
    <t>TB R 27313_82302 68</t>
  </si>
  <si>
    <t>TB-R-27313_82302-68</t>
  </si>
  <si>
    <t>T061</t>
  </si>
  <si>
    <t>TB R 27312_82301 69</t>
  </si>
  <si>
    <t>TB-R-27312_82301-69</t>
  </si>
  <si>
    <t>T062</t>
  </si>
  <si>
    <t>TB R 27313_82298 70</t>
  </si>
  <si>
    <t>TB-R-27313_82298-70</t>
  </si>
  <si>
    <t>T063</t>
  </si>
  <si>
    <t>TB R 27312_82304 71</t>
  </si>
  <si>
    <t>TB-R-27312_82304-71</t>
  </si>
  <si>
    <t>T064</t>
  </si>
  <si>
    <t>TB R 27311_82303 72</t>
  </si>
  <si>
    <t>TB-R-27311_82303-72</t>
  </si>
  <si>
    <t>T065</t>
  </si>
  <si>
    <t>TB R 27308_82304 73</t>
  </si>
  <si>
    <t>TB-R-27308_82304-73</t>
  </si>
  <si>
    <t>T066</t>
  </si>
  <si>
    <t>TB R 27315_82306 74</t>
  </si>
  <si>
    <t>TB-R-27315_82306-74</t>
  </si>
  <si>
    <t>Date</t>
  </si>
  <si>
    <t>4. Enter your name and the date in the EnteredBy and DateEntered columns.</t>
  </si>
  <si>
    <t>Erica Williams</t>
  </si>
  <si>
    <t>DataType</t>
  </si>
  <si>
    <t>2. Enter the four-letter data type (i.e. RCRT), the 2-letter estuary code, and the station number for the data in ColA-C.</t>
  </si>
  <si>
    <t>5. On the "Template" sheet, use the formulas in row 2 to fill down until all stations are represented. Make sure to fill formulas in all columns (A:X)</t>
  </si>
  <si>
    <t>3. Fill in the date and data columns as able. If no data is recorded, leave the cell blank. RecordNumber = per event record (i.e. "1" in most cases)</t>
  </si>
  <si>
    <t>0531</t>
  </si>
  <si>
    <t>0532</t>
  </si>
  <si>
    <t>0533</t>
  </si>
  <si>
    <t>0534</t>
  </si>
  <si>
    <t>0535</t>
  </si>
  <si>
    <t>0536</t>
  </si>
  <si>
    <t>0537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</si>
  <si>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</si>
  <si>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</si>
  <si>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</si>
  <si>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</si>
  <si>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</si>
  <si>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</si>
  <si>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</si>
  <si>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</si>
  <si>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</si>
  <si>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</si>
  <si>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</si>
  <si>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</si>
  <si>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0625</t>
  </si>
  <si>
    <t>0626</t>
  </si>
  <si>
    <t>0627</t>
  </si>
  <si>
    <t>0628</t>
  </si>
  <si>
    <t>0629</t>
  </si>
  <si>
    <t>0630</t>
  </si>
  <si>
    <t>0618</t>
  </si>
  <si>
    <t>0619</t>
  </si>
  <si>
    <t>0620</t>
  </si>
  <si>
    <t>0621</t>
  </si>
  <si>
    <t>0622</t>
  </si>
  <si>
    <t>0623</t>
  </si>
  <si>
    <t>0624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</si>
  <si>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</si>
  <si>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</si>
  <si>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</si>
  <si>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</si>
  <si>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</si>
  <si>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</si>
  <si>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</si>
  <si>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</si>
  <si>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</si>
  <si>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</si>
  <si>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</si>
  <si>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</si>
  <si>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</si>
  <si>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</si>
  <si>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</si>
  <si>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</si>
  <si>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</si>
  <si>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</si>
  <si>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</si>
  <si>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</si>
  <si>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</si>
  <si>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</si>
  <si>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</si>
  <si>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</si>
  <si>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</si>
  <si>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</si>
  <si>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</si>
  <si>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</si>
  <si>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</si>
  <si>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</si>
  <si>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</si>
  <si>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</si>
  <si>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</si>
  <si>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</si>
  <si>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</si>
  <si>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</si>
  <si>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</si>
  <si>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</si>
  <si>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</si>
  <si>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</si>
  <si>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</si>
  <si>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</si>
  <si>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</si>
  <si>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</si>
  <si>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</si>
  <si>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</si>
  <si>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</si>
  <si>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</si>
  <si>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</si>
  <si>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</si>
  <si>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</si>
  <si>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</si>
  <si>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</si>
  <si>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</si>
  <si>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</si>
  <si>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</si>
  <si>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</si>
  <si>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</si>
  <si>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</si>
  <si>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</si>
  <si>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</si>
  <si>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</si>
  <si>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</si>
  <si>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</si>
  <si>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</si>
  <si>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</si>
  <si>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</si>
  <si>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</si>
  <si>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</si>
  <si>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</si>
  <si>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</si>
  <si>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</si>
  <si>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</si>
  <si>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</si>
  <si>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</si>
  <si>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</si>
  <si>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</si>
  <si>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</si>
  <si>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</si>
  <si>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</si>
  <si>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</si>
  <si>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</si>
  <si>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</si>
  <si>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</si>
  <si>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</si>
  <si>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</si>
  <si>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</si>
  <si>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</si>
  <si>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</si>
  <si>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</si>
  <si>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</si>
  <si>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</si>
  <si>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</si>
  <si>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</si>
  <si>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</si>
  <si>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</si>
  <si>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</si>
  <si>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</si>
  <si>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</si>
  <si>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</si>
  <si>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</si>
  <si>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</si>
  <si>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</si>
  <si>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</si>
  <si>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</si>
  <si>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</si>
  <si>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</si>
  <si>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</si>
  <si>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</si>
  <si>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</si>
  <si>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</si>
  <si>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</si>
  <si>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</si>
  <si>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</si>
  <si>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</si>
  <si>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</si>
  <si>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</si>
  <si>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</si>
  <si>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</si>
  <si>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</si>
  <si>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</si>
  <si>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</si>
  <si>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</si>
  <si>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</si>
  <si>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</si>
  <si>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</si>
  <si>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</si>
  <si>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</si>
  <si>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</si>
  <si>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</si>
  <si>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</si>
  <si>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</si>
  <si>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</si>
  <si>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</si>
  <si>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</si>
  <si>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</si>
  <si>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</si>
  <si>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</si>
  <si>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</si>
  <si>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</si>
  <si>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</si>
  <si>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</si>
  <si>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</si>
  <si>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</si>
  <si>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</si>
  <si>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</si>
  <si>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</si>
  <si>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</si>
  <si>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</si>
  <si>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</si>
  <si>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</si>
  <si>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</si>
  <si>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</si>
  <si>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</si>
  <si>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</si>
  <si>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</si>
  <si>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</si>
  <si>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</si>
  <si>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</si>
  <si>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</si>
  <si>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</si>
  <si>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</si>
  <si>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</si>
  <si>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</si>
  <si>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</si>
  <si>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</si>
  <si>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</si>
  <si>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</si>
  <si>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</si>
  <si>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</si>
  <si>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</si>
  <si>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</si>
  <si>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</si>
  <si>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</si>
  <si>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</si>
  <si>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</si>
  <si>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</si>
  <si>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</si>
  <si>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</si>
  <si>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</si>
  <si>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</si>
  <si>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</si>
  <si>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</si>
  <si>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</si>
  <si>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</si>
  <si>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</si>
  <si>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</si>
  <si>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</si>
  <si>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</si>
  <si>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</si>
  <si>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</si>
  <si>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</si>
  <si>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</si>
  <si>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</si>
  <si>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</si>
  <si>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</si>
  <si>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</si>
  <si>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</si>
  <si>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</si>
  <si>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</si>
  <si>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</si>
  <si>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</si>
  <si>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</si>
  <si>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</si>
  <si>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</si>
  <si>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</si>
  <si>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</si>
  <si>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</si>
  <si>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</si>
  <si>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</si>
  <si>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</si>
  <si>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</si>
  <si>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</si>
  <si>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</si>
  <si>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</si>
  <si>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</si>
  <si>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</si>
  <si>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</si>
  <si>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</si>
  <si>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</si>
  <si>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</si>
  <si>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</si>
  <si>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</si>
  <si>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</si>
  <si>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</si>
  <si>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</si>
  <si>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</si>
  <si>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</si>
  <si>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</si>
  <si>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</si>
  <si>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</si>
  <si>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</si>
  <si>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</si>
  <si>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</si>
  <si>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</si>
  <si>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</si>
  <si>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</si>
  <si>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</si>
  <si>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</si>
  <si>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</si>
  <si>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</si>
  <si>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</si>
  <si>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</si>
  <si>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</si>
  <si>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</si>
  <si>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</si>
  <si>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</si>
  <si>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</si>
  <si>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</si>
  <si>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</si>
  <si>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</si>
  <si>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</si>
  <si>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</si>
  <si>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</si>
  <si>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</si>
  <si>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</si>
  <si>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</si>
  <si>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</si>
  <si>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</si>
  <si>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</si>
  <si>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</si>
  <si>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</si>
  <si>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</si>
  <si>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</si>
  <si>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</si>
  <si>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</si>
  <si>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</si>
  <si>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</si>
  <si>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</si>
  <si>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</si>
  <si>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</si>
  <si>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</si>
  <si>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</si>
  <si>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</si>
  <si>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</si>
  <si>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</si>
  <si>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</si>
  <si>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</si>
  <si>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</si>
  <si>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</si>
  <si>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</si>
  <si>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</si>
  <si>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</si>
  <si>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</si>
  <si>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</si>
  <si>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</si>
  <si>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</si>
  <si>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</si>
  <si>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</si>
  <si>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</si>
  <si>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</si>
  <si>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</si>
  <si>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</si>
  <si>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</si>
  <si>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</si>
  <si>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</si>
  <si>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</si>
  <si>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</si>
  <si>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</si>
  <si>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</si>
  <si>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</si>
  <si>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</si>
  <si>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</si>
  <si>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</si>
  <si>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</si>
  <si>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</si>
  <si>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</si>
  <si>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</si>
  <si>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</si>
  <si>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</si>
  <si>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</si>
  <si>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</si>
  <si>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</si>
  <si>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</si>
  <si>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</si>
  <si>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</si>
  <si>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</si>
  <si>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</si>
  <si>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</si>
  <si>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</si>
  <si>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</si>
  <si>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</si>
  <si>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</si>
  <si>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</si>
  <si>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</si>
  <si>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</si>
  <si>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</si>
  <si>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</si>
  <si>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</si>
  <si>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</si>
  <si>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</si>
  <si>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</si>
  <si>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</si>
  <si>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</si>
  <si>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</si>
  <si>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</si>
  <si>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</si>
  <si>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</si>
  <si>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</si>
  <si>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</si>
  <si>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</si>
  <si>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</si>
  <si>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</si>
  <si>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</si>
  <si>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</si>
  <si>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</si>
  <si>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</si>
  <si>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</si>
  <si>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</si>
  <si>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</si>
  <si>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</si>
  <si>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</si>
  <si>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</si>
  <si>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</si>
  <si>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</si>
  <si>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</si>
  <si>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</si>
  <si>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</si>
  <si>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</si>
  <si>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</si>
  <si>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</si>
  <si>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</si>
  <si>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</si>
  <si>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</si>
  <si>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</si>
  <si>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</si>
  <si>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</si>
  <si>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</si>
  <si>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</si>
  <si>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</si>
  <si>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</si>
  <si>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</si>
  <si>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</si>
  <si>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</si>
  <si>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</si>
  <si>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</si>
  <si>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</si>
  <si>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</si>
  <si>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0527</t>
  </si>
  <si>
    <t>0528</t>
  </si>
  <si>
    <t>0529</t>
  </si>
  <si>
    <t>0530</t>
  </si>
  <si>
    <t>0538</t>
  </si>
  <si>
    <t>0539</t>
  </si>
  <si>
    <t>0540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</si>
  <si>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</si>
  <si>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</si>
  <si>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</si>
  <si>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</si>
  <si>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</si>
  <si>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</si>
  <si>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</si>
  <si>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</si>
  <si>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</si>
  <si>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</si>
  <si>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</si>
  <si>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</si>
  <si>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</si>
  <si>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</si>
  <si>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</si>
  <si>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</si>
  <si>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</si>
  <si>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</si>
  <si>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SRVY</t>
  </si>
  <si>
    <t>ShellHeightID</t>
  </si>
  <si>
    <t>QuadratNumber</t>
  </si>
  <si>
    <t>ShellHeightNumber</t>
  </si>
  <si>
    <t>ShellHeight</t>
  </si>
  <si>
    <t>Entered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</si>
  <si>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</si>
  <si>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</si>
  <si>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</si>
  <si>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</si>
  <si>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</si>
  <si>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</si>
  <si>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</si>
  <si>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</si>
  <si>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</si>
  <si>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010</t>
  </si>
  <si>
    <t>011</t>
  </si>
  <si>
    <t>012</t>
  </si>
  <si>
    <t>013</t>
  </si>
  <si>
    <t>014</t>
  </si>
  <si>
    <t>015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</si>
  <si>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</si>
  <si>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</si>
  <si>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</si>
  <si>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</si>
  <si>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</si>
  <si>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</si>
  <si>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</si>
  <si>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</si>
  <si>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</si>
  <si>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</si>
  <si>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</si>
  <si>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</si>
  <si>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</si>
  <si>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</si>
  <si>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</si>
  <si>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</si>
  <si>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</si>
  <si>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</si>
  <si>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</si>
  <si>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</si>
  <si>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</si>
  <si>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</si>
  <si>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</si>
  <si>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</si>
  <si>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</si>
  <si>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</si>
  <si>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</si>
  <si>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</si>
  <si>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</si>
  <si>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</si>
  <si>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</si>
  <si>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</si>
  <si>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</si>
  <si>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</si>
  <si>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</si>
  <si>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</si>
  <si>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</si>
  <si>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</si>
  <si>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</si>
  <si>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</si>
  <si>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</si>
  <si>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</si>
  <si>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</si>
  <si>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</si>
  <si>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QuadratID</t>
  </si>
  <si>
    <t>Added via SMSS</t>
  </si>
  <si>
    <t>TB Braden South</t>
  </si>
  <si>
    <t>Proofed</t>
  </si>
  <si>
    <t>Sex ratio project station</t>
  </si>
  <si>
    <t>Added via SMSS for sex ratio project samples</t>
  </si>
  <si>
    <t>TB Braden South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</si>
</sst>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0" xfId="0"/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80372-C358-4A72-8CFD-1BFF395B8C69}" name="Table2" displayName="Table2" ref="A8:M758" totalsRowShown="0" headerRowDxfId="39" dataDxfId="38">
  <autoFilter ref="A8:M758" xr:uid="{43680372-C358-4A72-8CFD-1BFF395B8C69}"/>
  <tableColumns count="13">
    <tableColumn id="20" xr3:uid="{FC1F9811-332A-4FBC-A60F-2ABD60672380}" name="DataType" dataDxfId="37"/>
    <tableColumn id="1" xr3:uid="{144FE1A1-5D1F-48A8-B4E0-C6821BF0BD54}" name="Date" dataDxfId="36"/>
    <tableColumn id="2" xr3:uid="{AFF01087-08D5-4CF6-9523-62D2D0BEBC6B}" name="Estuary" dataDxfId="35"/>
    <tableColumn id="3" xr3:uid="{2970053B-A957-48FC-A90D-21B578A4956B}" name="StationNumber" dataDxfId="34"/>
    <tableColumn id="21" xr3:uid="{A5646A38-CEE4-47A5-A8D7-2C283D516F4F}" name="QuadratNumber" dataDxfId="33"/>
    <tableColumn id="4" xr3:uid="{C179B73B-131D-4D71-B4A0-C4CC7D758024}" name="ShellHeightNumber" dataDxfId="32"/>
    <tableColumn id="5" xr3:uid="{8B92EA8F-2DFF-4C65-939A-39D87C62433B}" name="ShellHeight" dataDxfId="31"/>
    <tableColumn id="6" xr3:uid="{F5327F91-F86A-4C2C-A3F7-57537D4418AD}" name="DataStatus" dataDxfId="30"/>
    <tableColumn id="15" xr3:uid="{23A9EA71-7204-424A-A1C6-DD44A7137225}" name="DateEntered" dataDxfId="29"/>
    <tableColumn id="16" xr3:uid="{59E70D4E-0FC7-43FD-854E-72E1A1B7CB06}" name="EnteredBy" dataDxfId="28"/>
    <tableColumn id="9" xr3:uid="{EB601C7D-4B21-479C-A430-BE60388C7CD6}" name="DateProofed" dataDxfId="27"/>
    <tableColumn id="8" xr3:uid="{561CD067-0607-4ECD-AE04-DBA71A53B02B}" name="ProofedBy" dataDxfId="26"/>
    <tableColumn id="7" xr3:uid="{3F500D1F-D5A9-4367-AF08-9AE0878D48C4}" name="Comments" dataDxfId="2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2694A-36A9-4030-BECA-4BEE30B549C7}" name="Table3" displayName="Table3" ref="A1:L919" totalsRowShown="0">
  <autoFilter ref="A1:L919" xr:uid="{D2B2694A-36A9-4030-BECA-4BEE30B549C7}"/>
  <tableColumns count="12">
    <tableColumn id="1" xr3:uid="{76D7ABEC-2288-4626-9B6A-9D01F60F39E0}" name="ShellHeightID" dataDxfId="24">
      <calculatedColumnFormula array="1">_xlfn.CONCAT(Instructions!C9,Instructions!A9,"_",TEXT(Instructions!B9,"YYYYMMDD"),"_1_",INDEX(Table1[], MATCH(1,(Table1[Estuary]=Instructions!C9)*(Table1[StationNumber]=Instructions!D9)*(Instructions!B9&gt;Table1[StartDate])*(Instructions!B9&lt;Table1[EndDate]),0),1),"_",Instructions!E9,"_",Instructions!F9)</calculatedColumnFormula>
    </tableColumn>
    <tableColumn id="2" xr3:uid="{9F338ED6-22F6-4E24-AA7D-AC0F8BB69B23}" name="QuadratID" dataDxfId="23">
      <calculatedColumnFormula array="1">_xlfn.CONCAT(Instructions!C9,Instructions!A9,"_",TEXT(Instructions!B9,"YYYYMMDD"),"_1_",INDEX(Table1[], MATCH(1,(Table1[Estuary]=Instructions!C9)*(Table1[StationNumber]=Instructions!D9)*(Instructions!B9&gt;Table1[StartDate])*(Instructions!B9&lt;Table1[EndDate]),0),1),"_",Instructions!E9)</calculatedColumnFormula>
    </tableColumn>
    <tableColumn id="3" xr3:uid="{BD967F3C-0D0C-4E5D-80F9-BD1C7E33A66B}" name="ShellHeight">
      <calculatedColumnFormula>Instructions!G9</calculatedColumnFormula>
    </tableColumn>
    <tableColumn id="12" xr3:uid="{36D1E33A-4DE5-4053-922B-6E880D218F24}" name="DataStatus"/>
    <tableColumn id="13" xr3:uid="{D244E709-7C65-411A-9E84-01FD8131200F}" name="DateEntered" dataDxfId="22"/>
    <tableColumn id="14" xr3:uid="{FE22530B-3F54-4A5A-AA63-853CAB9B59A8}" name="EnteredBy"/>
    <tableColumn id="15" xr3:uid="{BE0FC0F4-9A8F-472D-A1F0-94C39369E455}" name="DateProofed" dataDxfId="21"/>
    <tableColumn id="16" xr3:uid="{10241405-8D6A-42B5-8702-FB7153B5BBB9}" name="ProofedBy"/>
    <tableColumn id="17" xr3:uid="{095E345F-31E0-45E1-A75E-D26E3ADFCB1B}" name="DateCompleted"/>
    <tableColumn id="18" xr3:uid="{58F892B1-7D00-4DB4-9264-0B45FFAD448B}" name="CompletedBy"/>
    <tableColumn id="19" xr3:uid="{49D400BA-2D8E-449C-B429-4D906D77097B}" name="Comments"/>
    <tableColumn id="20" xr3:uid="{31CAB6D2-8900-4335-A113-FA44B7FC3BC8}" name="Admin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C3DDF-B5B4-4E3C-8AD3-ADABB450E83E}" name="Table1" displayName="Table1" ref="A1:S815" totalsRowShown="0" headerRowDxfId="20" dataDxfId="19">
  <autoFilter ref="A1:S815" xr:uid="{493C3DDF-B5B4-4E3C-8AD3-ADABB450E83E}">
    <filterColumn colId="1">
      <filters>
        <filter val="TB"/>
      </filters>
    </filterColumn>
  </autoFilter>
  <sortState xmlns:xlrd2="http://schemas.microsoft.com/office/spreadsheetml/2017/richdata2" ref="A2:S815">
    <sortCondition ref="A1:A815"/>
  </sortState>
  <tableColumns count="19">
    <tableColumn id="16" xr3:uid="{61A67C99-3DC3-4EF1-8E9D-4DB22F375E4D}" name="FixedLocationID" dataDxfId="18"/>
    <tableColumn id="17" xr3:uid="{23398500-7C71-4E68-AC5B-4128DED00607}" name="Estuary" dataDxfId="17"/>
    <tableColumn id="18" xr3:uid="{22623896-B4D3-46E5-B16B-6F807267A906}" name="SectionName" dataDxfId="16"/>
    <tableColumn id="19" xr3:uid="{DEDACBCD-285F-47F2-9383-A475801A813F}" name="StationName" dataDxfId="15"/>
    <tableColumn id="1" xr3:uid="{CF8B1BF3-B6B7-4B01-989E-79E6F4B55D09}" name="StationNumber" dataDxfId="14"/>
    <tableColumn id="2" xr3:uid="{BA1C3FF5-1B62-4D31-8E31-A214F55CD237}" name="LatitudeDec" dataDxfId="13"/>
    <tableColumn id="3" xr3:uid="{3D2FB13C-EE34-4367-BECA-2CCE15F44494}" name="LongitudeDec" dataDxfId="12"/>
    <tableColumn id="4" xr3:uid="{266FCB90-B3B0-4EB7-8485-44F0794A400C}" name="Recruitment" dataDxfId="11"/>
    <tableColumn id="5" xr3:uid="{AFB23EC9-14D9-4D70-89C7-BB7CEA80FD07}" name="Survey" dataDxfId="10"/>
    <tableColumn id="6" xr3:uid="{B57A7EB2-6C51-42A1-ACB7-A7205AAB3F91}" name="Sediment" dataDxfId="9"/>
    <tableColumn id="7" xr3:uid="{2C7AFD35-8437-4914-A8E0-A8484E310451}" name="Collections" dataDxfId="8"/>
    <tableColumn id="8" xr3:uid="{EAFB1F6A-47D9-4B23-827B-C8E89711F378}" name="ShellBudget" dataDxfId="7"/>
    <tableColumn id="9" xr3:uid="{8AC47069-6266-4BAC-896C-47A25D67B697}" name="Dataloggers" dataDxfId="6"/>
    <tableColumn id="10" xr3:uid="{0C1EBA66-B6C1-4FA5-A28E-C123C64BC674}" name="Cage" dataDxfId="5"/>
    <tableColumn id="11" xr3:uid="{B41AA53E-13E1-49B5-8F9A-50A56B306108}" name="Wave" dataDxfId="4"/>
    <tableColumn id="12" xr3:uid="{F455ED64-561D-4D37-AACD-F38D2471A77F}" name="StartDate" dataDxfId="3"/>
    <tableColumn id="13" xr3:uid="{93D4A8C0-0BE8-4884-ADCC-D3A2E6DCF583}" name="EndDate" dataDxfId="2"/>
    <tableColumn id="14" xr3:uid="{3CDA8514-D4DC-4C2A-87C3-5B5727538DA8}" name="StationNameNumber" dataDxfId="1"/>
    <tableColumn id="15" xr3:uid="{D131D469-369A-432F-95FC-15FDC9DED726}" name="EstuaryLongNa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894D-DF5E-46E1-A945-092FA5E16BBD}">
  <dimension ref="A1:M758"/>
  <sheetViews>
    <sheetView tabSelected="1" workbookViewId="0">
      <selection activeCell="A9" sqref="A9"/>
    </sheetView>
  </sheetViews>
  <sheetFormatPr defaultRowHeight="15" x14ac:dyDescent="0.25"/>
  <cols>
    <col min="1" max="1" width="12.5703125" customWidth="1"/>
    <col min="2" max="2" width="15" bestFit="1" customWidth="1"/>
    <col min="3" max="3" width="16.85546875" customWidth="1"/>
    <col min="4" max="4" width="24.5703125" customWidth="1"/>
    <col min="5" max="5" width="19.42578125" bestFit="1" customWidth="1"/>
    <col min="6" max="6" width="15.42578125" customWidth="1"/>
    <col min="7" max="8" width="14.7109375" customWidth="1"/>
    <col min="9" max="9" width="14" bestFit="1" customWidth="1"/>
    <col min="10" max="12" width="16" customWidth="1"/>
    <col min="13" max="13" width="15.5703125" bestFit="1" customWidth="1"/>
  </cols>
  <sheetData>
    <row r="1" spans="1:13" x14ac:dyDescent="0.25">
      <c r="A1" s="10" t="s">
        <v>10</v>
      </c>
      <c r="B1" s="11"/>
      <c r="C1" s="11"/>
      <c r="D1" s="11"/>
      <c r="E1" s="11"/>
      <c r="F1" s="11"/>
      <c r="G1" s="11"/>
      <c r="H1" s="7"/>
    </row>
    <row r="2" spans="1:13" x14ac:dyDescent="0.25">
      <c r="A2" s="12" t="s">
        <v>11</v>
      </c>
      <c r="B2" s="13"/>
      <c r="C2" s="13"/>
      <c r="D2" s="13"/>
      <c r="E2" s="13"/>
      <c r="F2" s="13"/>
      <c r="G2" s="13"/>
    </row>
    <row r="3" spans="1:13" x14ac:dyDescent="0.25">
      <c r="A3" s="12" t="s">
        <v>1787</v>
      </c>
      <c r="B3" s="13"/>
      <c r="C3" s="13"/>
      <c r="D3" s="13"/>
      <c r="E3" s="13"/>
      <c r="F3" s="13"/>
      <c r="G3" s="13"/>
    </row>
    <row r="4" spans="1:13" x14ac:dyDescent="0.25">
      <c r="A4" s="12" t="s">
        <v>1789</v>
      </c>
      <c r="B4" s="13"/>
      <c r="C4" s="13"/>
      <c r="D4" s="13"/>
      <c r="E4" s="13"/>
      <c r="F4" s="13"/>
      <c r="G4" s="13"/>
    </row>
    <row r="5" spans="1:13" x14ac:dyDescent="0.25">
      <c r="A5" s="12" t="s">
        <v>1784</v>
      </c>
      <c r="B5" s="13"/>
      <c r="C5" s="13"/>
      <c r="D5" s="13"/>
      <c r="E5" s="13"/>
      <c r="F5" s="13"/>
      <c r="G5" s="13"/>
    </row>
    <row r="6" spans="1:13" ht="15.75" thickBot="1" x14ac:dyDescent="0.3">
      <c r="A6" s="8" t="s">
        <v>1788</v>
      </c>
      <c r="B6" s="9"/>
      <c r="C6" s="9"/>
      <c r="D6" s="9"/>
      <c r="E6" s="9"/>
      <c r="F6" s="9"/>
      <c r="G6" s="9"/>
    </row>
    <row r="8" spans="1:13" x14ac:dyDescent="0.25">
      <c r="A8" s="4" t="s">
        <v>1786</v>
      </c>
      <c r="B8" s="4" t="s">
        <v>1783</v>
      </c>
      <c r="C8" s="4" t="s">
        <v>13</v>
      </c>
      <c r="D8" s="4" t="s">
        <v>16</v>
      </c>
      <c r="E8" s="4" t="s">
        <v>2227</v>
      </c>
      <c r="F8" s="4" t="s">
        <v>2228</v>
      </c>
      <c r="G8" s="4" t="s">
        <v>2229</v>
      </c>
      <c r="H8" s="4" t="s">
        <v>0</v>
      </c>
      <c r="I8" s="4" t="s">
        <v>1</v>
      </c>
      <c r="J8" s="4" t="s">
        <v>2</v>
      </c>
      <c r="K8" s="4" t="s">
        <v>3</v>
      </c>
      <c r="L8" s="4" t="s">
        <v>4</v>
      </c>
      <c r="M8" s="4" t="s">
        <v>7</v>
      </c>
    </row>
    <row r="9" spans="1:13" x14ac:dyDescent="0.25">
      <c r="A9" s="3" t="s">
        <v>2225</v>
      </c>
      <c r="B9" s="3">
        <v>43732</v>
      </c>
      <c r="C9" s="2" t="s">
        <v>59</v>
      </c>
      <c r="D9" s="2">
        <v>5</v>
      </c>
      <c r="E9" s="2" t="s">
        <v>2231</v>
      </c>
      <c r="F9" s="5" t="s">
        <v>2246</v>
      </c>
      <c r="G9" s="2">
        <v>53</v>
      </c>
      <c r="H9" s="2" t="s">
        <v>2230</v>
      </c>
      <c r="I9" s="3">
        <v>45646</v>
      </c>
      <c r="J9" s="2" t="s">
        <v>1785</v>
      </c>
      <c r="K9" s="2"/>
      <c r="L9" s="2"/>
      <c r="M9" s="2" t="s">
        <v>2291</v>
      </c>
    </row>
    <row r="10" spans="1:13" x14ac:dyDescent="0.25">
      <c r="A10" s="3" t="s">
        <v>2225</v>
      </c>
      <c r="B10" s="3">
        <v>43732</v>
      </c>
      <c r="C10" s="2" t="s">
        <v>59</v>
      </c>
      <c r="D10" s="2">
        <v>5</v>
      </c>
      <c r="E10" s="2" t="s">
        <v>2231</v>
      </c>
      <c r="F10" s="5" t="s">
        <v>2247</v>
      </c>
      <c r="G10" s="2">
        <v>27</v>
      </c>
      <c r="H10" s="2" t="s">
        <v>2230</v>
      </c>
      <c r="I10" s="3">
        <v>45646</v>
      </c>
      <c r="J10" s="2" t="s">
        <v>1785</v>
      </c>
      <c r="K10" s="2"/>
      <c r="L10" s="2"/>
      <c r="M10" s="2" t="s">
        <v>2291</v>
      </c>
    </row>
    <row r="11" spans="1:13" x14ac:dyDescent="0.25">
      <c r="A11" s="3" t="s">
        <v>2225</v>
      </c>
      <c r="B11" s="3">
        <v>43732</v>
      </c>
      <c r="C11" s="2" t="s">
        <v>59</v>
      </c>
      <c r="D11" s="2">
        <v>5</v>
      </c>
      <c r="E11" s="2" t="s">
        <v>2231</v>
      </c>
      <c r="F11" s="5" t="s">
        <v>2248</v>
      </c>
      <c r="G11" s="2">
        <v>20</v>
      </c>
      <c r="H11" s="2" t="s">
        <v>2230</v>
      </c>
      <c r="I11" s="3">
        <v>45646</v>
      </c>
      <c r="J11" s="2" t="s">
        <v>1785</v>
      </c>
      <c r="K11" s="2"/>
      <c r="L11" s="2"/>
      <c r="M11" s="2" t="s">
        <v>2291</v>
      </c>
    </row>
    <row r="12" spans="1:13" x14ac:dyDescent="0.25">
      <c r="A12" s="3" t="s">
        <v>2225</v>
      </c>
      <c r="B12" s="3">
        <v>43732</v>
      </c>
      <c r="C12" s="2" t="s">
        <v>59</v>
      </c>
      <c r="D12" s="2">
        <v>5</v>
      </c>
      <c r="E12" s="2" t="s">
        <v>2231</v>
      </c>
      <c r="F12" s="5" t="s">
        <v>2249</v>
      </c>
      <c r="G12" s="2">
        <v>17</v>
      </c>
      <c r="H12" s="2" t="s">
        <v>2230</v>
      </c>
      <c r="I12" s="3">
        <v>45646</v>
      </c>
      <c r="J12" s="2" t="s">
        <v>1785</v>
      </c>
      <c r="K12" s="2"/>
      <c r="L12" s="2"/>
      <c r="M12" s="2" t="s">
        <v>2291</v>
      </c>
    </row>
    <row r="13" spans="1:13" x14ac:dyDescent="0.25">
      <c r="A13" s="3" t="s">
        <v>2225</v>
      </c>
      <c r="B13" s="3">
        <v>43732</v>
      </c>
      <c r="C13" s="2" t="s">
        <v>59</v>
      </c>
      <c r="D13" s="2">
        <v>5</v>
      </c>
      <c r="E13" s="2" t="s">
        <v>2231</v>
      </c>
      <c r="F13" s="5" t="s">
        <v>2250</v>
      </c>
      <c r="G13" s="2">
        <v>14</v>
      </c>
      <c r="H13" s="2" t="s">
        <v>2230</v>
      </c>
      <c r="I13" s="3">
        <v>45646</v>
      </c>
      <c r="J13" s="2" t="s">
        <v>1785</v>
      </c>
      <c r="K13" s="2"/>
      <c r="L13" s="2"/>
      <c r="M13" s="2" t="s">
        <v>2291</v>
      </c>
    </row>
    <row r="14" spans="1:13" x14ac:dyDescent="0.25">
      <c r="A14" s="3" t="s">
        <v>2225</v>
      </c>
      <c r="B14" s="3">
        <v>43732</v>
      </c>
      <c r="C14" s="2" t="s">
        <v>59</v>
      </c>
      <c r="D14" s="2">
        <v>5</v>
      </c>
      <c r="E14" s="2" t="s">
        <v>2231</v>
      </c>
      <c r="F14" s="5" t="s">
        <v>2251</v>
      </c>
      <c r="G14" s="2">
        <v>36</v>
      </c>
      <c r="H14" s="2" t="s">
        <v>2230</v>
      </c>
      <c r="I14" s="3">
        <v>45646</v>
      </c>
      <c r="J14" s="2" t="s">
        <v>1785</v>
      </c>
      <c r="K14" s="2"/>
      <c r="L14" s="2"/>
      <c r="M14" s="2" t="s">
        <v>2291</v>
      </c>
    </row>
    <row r="15" spans="1:13" x14ac:dyDescent="0.25">
      <c r="A15" s="3" t="s">
        <v>2225</v>
      </c>
      <c r="B15" s="3">
        <v>43732</v>
      </c>
      <c r="C15" s="2" t="s">
        <v>59</v>
      </c>
      <c r="D15" s="2">
        <v>5</v>
      </c>
      <c r="E15" s="2" t="s">
        <v>2231</v>
      </c>
      <c r="F15" s="2" t="s">
        <v>2252</v>
      </c>
      <c r="G15" s="2">
        <v>30</v>
      </c>
      <c r="H15" s="2" t="s">
        <v>2230</v>
      </c>
      <c r="I15" s="3">
        <v>45646</v>
      </c>
      <c r="J15" s="2" t="s">
        <v>1785</v>
      </c>
      <c r="K15" s="2"/>
      <c r="L15" s="2"/>
      <c r="M15" s="2" t="s">
        <v>2291</v>
      </c>
    </row>
    <row r="16" spans="1:13" x14ac:dyDescent="0.25">
      <c r="A16" s="3" t="s">
        <v>2225</v>
      </c>
      <c r="B16" s="3">
        <v>43732</v>
      </c>
      <c r="C16" s="2" t="s">
        <v>59</v>
      </c>
      <c r="D16" s="2">
        <v>5</v>
      </c>
      <c r="E16" s="2" t="s">
        <v>2231</v>
      </c>
      <c r="F16" s="2" t="s">
        <v>2253</v>
      </c>
      <c r="G16" s="2">
        <v>32</v>
      </c>
      <c r="H16" s="2" t="s">
        <v>2230</v>
      </c>
      <c r="I16" s="3">
        <v>45646</v>
      </c>
      <c r="J16" s="2" t="s">
        <v>1785</v>
      </c>
      <c r="K16" s="2"/>
      <c r="L16" s="2"/>
      <c r="M16" s="2" t="s">
        <v>2291</v>
      </c>
    </row>
    <row r="17" spans="1:13" x14ac:dyDescent="0.25">
      <c r="A17" s="3" t="s">
        <v>2225</v>
      </c>
      <c r="B17" s="3">
        <v>43732</v>
      </c>
      <c r="C17" s="2" t="s">
        <v>59</v>
      </c>
      <c r="D17" s="2">
        <v>5</v>
      </c>
      <c r="E17" s="2" t="s">
        <v>2231</v>
      </c>
      <c r="F17" s="2" t="s">
        <v>2254</v>
      </c>
      <c r="G17" s="2">
        <v>51</v>
      </c>
      <c r="H17" s="2" t="s">
        <v>2230</v>
      </c>
      <c r="I17" s="3">
        <v>45646</v>
      </c>
      <c r="J17" s="2" t="s">
        <v>1785</v>
      </c>
      <c r="K17" s="2"/>
      <c r="L17" s="2"/>
      <c r="M17" s="2" t="s">
        <v>2291</v>
      </c>
    </row>
    <row r="18" spans="1:13" x14ac:dyDescent="0.25">
      <c r="A18" s="3" t="s">
        <v>2225</v>
      </c>
      <c r="B18" s="3">
        <v>43732</v>
      </c>
      <c r="C18" s="2" t="s">
        <v>59</v>
      </c>
      <c r="D18" s="2">
        <v>5</v>
      </c>
      <c r="E18" s="2" t="s">
        <v>2231</v>
      </c>
      <c r="F18" s="2" t="s">
        <v>2240</v>
      </c>
      <c r="G18" s="2">
        <v>8</v>
      </c>
      <c r="H18" s="2" t="s">
        <v>2230</v>
      </c>
      <c r="I18" s="3">
        <v>45646</v>
      </c>
      <c r="J18" s="2" t="s">
        <v>1785</v>
      </c>
      <c r="K18" s="2"/>
      <c r="L18" s="2"/>
      <c r="M18" s="2" t="s">
        <v>2291</v>
      </c>
    </row>
    <row r="19" spans="1:13" x14ac:dyDescent="0.25">
      <c r="A19" s="3" t="s">
        <v>2225</v>
      </c>
      <c r="B19" s="3">
        <v>43732</v>
      </c>
      <c r="C19" s="2" t="s">
        <v>59</v>
      </c>
      <c r="D19" s="2">
        <v>5</v>
      </c>
      <c r="E19" s="2" t="s">
        <v>2231</v>
      </c>
      <c r="F19" s="2" t="s">
        <v>2241</v>
      </c>
      <c r="G19" s="2">
        <v>10</v>
      </c>
      <c r="H19" s="2" t="s">
        <v>2230</v>
      </c>
      <c r="I19" s="3">
        <v>45646</v>
      </c>
      <c r="J19" s="2" t="s">
        <v>1785</v>
      </c>
      <c r="K19" s="2"/>
      <c r="L19" s="2"/>
      <c r="M19" s="2" t="s">
        <v>2291</v>
      </c>
    </row>
    <row r="20" spans="1:13" x14ac:dyDescent="0.25">
      <c r="A20" s="3" t="s">
        <v>2225</v>
      </c>
      <c r="B20" s="3">
        <v>43732</v>
      </c>
      <c r="C20" s="2" t="s">
        <v>59</v>
      </c>
      <c r="D20" s="2">
        <v>5</v>
      </c>
      <c r="E20" s="2" t="s">
        <v>2231</v>
      </c>
      <c r="F20" s="2" t="s">
        <v>2242</v>
      </c>
      <c r="G20" s="2">
        <v>67</v>
      </c>
      <c r="H20" s="2" t="s">
        <v>2230</v>
      </c>
      <c r="I20" s="3">
        <v>45646</v>
      </c>
      <c r="J20" s="2" t="s">
        <v>1785</v>
      </c>
      <c r="K20" s="2"/>
      <c r="L20" s="2"/>
      <c r="M20" s="2" t="s">
        <v>2291</v>
      </c>
    </row>
    <row r="21" spans="1:13" x14ac:dyDescent="0.25">
      <c r="A21" s="3" t="s">
        <v>2225</v>
      </c>
      <c r="B21" s="3">
        <v>43732</v>
      </c>
      <c r="C21" s="2" t="s">
        <v>59</v>
      </c>
      <c r="D21" s="2">
        <v>5</v>
      </c>
      <c r="E21" s="2" t="s">
        <v>2231</v>
      </c>
      <c r="F21" s="2" t="s">
        <v>2243</v>
      </c>
      <c r="G21" s="2">
        <v>30</v>
      </c>
      <c r="H21" s="2" t="s">
        <v>2230</v>
      </c>
      <c r="I21" s="3">
        <v>45646</v>
      </c>
      <c r="J21" s="2" t="s">
        <v>1785</v>
      </c>
      <c r="K21" s="2"/>
      <c r="L21" s="2"/>
      <c r="M21" s="2" t="s">
        <v>2291</v>
      </c>
    </row>
    <row r="22" spans="1:13" x14ac:dyDescent="0.25">
      <c r="A22" s="3" t="s">
        <v>2225</v>
      </c>
      <c r="B22" s="3">
        <v>43732</v>
      </c>
      <c r="C22" s="2" t="s">
        <v>59</v>
      </c>
      <c r="D22" s="2">
        <v>5</v>
      </c>
      <c r="E22" s="2" t="s">
        <v>2231</v>
      </c>
      <c r="F22" s="2" t="s">
        <v>2244</v>
      </c>
      <c r="G22" s="2">
        <v>26</v>
      </c>
      <c r="H22" s="2" t="s">
        <v>2230</v>
      </c>
      <c r="I22" s="3">
        <v>45646</v>
      </c>
      <c r="J22" s="2" t="s">
        <v>1785</v>
      </c>
      <c r="K22" s="2"/>
      <c r="L22" s="2"/>
      <c r="M22" s="2" t="s">
        <v>2291</v>
      </c>
    </row>
    <row r="23" spans="1:13" x14ac:dyDescent="0.25">
      <c r="A23" s="3" t="s">
        <v>2225</v>
      </c>
      <c r="B23" s="3">
        <v>43732</v>
      </c>
      <c r="C23" s="2" t="s">
        <v>59</v>
      </c>
      <c r="D23" s="2">
        <v>5</v>
      </c>
      <c r="E23" s="2" t="s">
        <v>2231</v>
      </c>
      <c r="F23" s="2" t="s">
        <v>2245</v>
      </c>
      <c r="G23" s="2">
        <v>44</v>
      </c>
      <c r="H23" s="2" t="s">
        <v>2230</v>
      </c>
      <c r="I23" s="3">
        <v>45646</v>
      </c>
      <c r="J23" s="2" t="s">
        <v>1785</v>
      </c>
      <c r="K23" s="2"/>
      <c r="L23" s="2"/>
      <c r="M23" s="2" t="s">
        <v>2291</v>
      </c>
    </row>
    <row r="24" spans="1:13" x14ac:dyDescent="0.25">
      <c r="A24" s="3" t="s">
        <v>2225</v>
      </c>
      <c r="B24" s="3">
        <v>43732</v>
      </c>
      <c r="C24" s="2" t="s">
        <v>59</v>
      </c>
      <c r="D24" s="2">
        <v>5</v>
      </c>
      <c r="E24" s="2" t="s">
        <v>2231</v>
      </c>
      <c r="F24" s="2" t="s">
        <v>2255</v>
      </c>
      <c r="G24" s="2">
        <v>18</v>
      </c>
      <c r="H24" s="2" t="s">
        <v>2230</v>
      </c>
      <c r="I24" s="3">
        <v>45646</v>
      </c>
      <c r="J24" s="2" t="s">
        <v>1785</v>
      </c>
      <c r="K24" s="2"/>
      <c r="L24" s="2"/>
      <c r="M24" s="2" t="s">
        <v>2291</v>
      </c>
    </row>
    <row r="25" spans="1:13" x14ac:dyDescent="0.25">
      <c r="A25" s="3" t="s">
        <v>2225</v>
      </c>
      <c r="B25" s="3">
        <v>43732</v>
      </c>
      <c r="C25" s="2" t="s">
        <v>59</v>
      </c>
      <c r="D25" s="2">
        <v>5</v>
      </c>
      <c r="E25" s="2" t="s">
        <v>2231</v>
      </c>
      <c r="F25" s="2" t="s">
        <v>2256</v>
      </c>
      <c r="G25" s="2">
        <v>30</v>
      </c>
      <c r="H25" s="2" t="s">
        <v>2230</v>
      </c>
      <c r="I25" s="3">
        <v>45646</v>
      </c>
      <c r="J25" s="2" t="s">
        <v>1785</v>
      </c>
      <c r="K25" s="2"/>
      <c r="L25" s="2"/>
      <c r="M25" s="2" t="s">
        <v>2291</v>
      </c>
    </row>
    <row r="26" spans="1:13" x14ac:dyDescent="0.25">
      <c r="A26" s="3" t="s">
        <v>2225</v>
      </c>
      <c r="B26" s="3">
        <v>43732</v>
      </c>
      <c r="C26" s="2" t="s">
        <v>59</v>
      </c>
      <c r="D26" s="2">
        <v>5</v>
      </c>
      <c r="E26" s="2" t="s">
        <v>2231</v>
      </c>
      <c r="F26" s="2" t="s">
        <v>2257</v>
      </c>
      <c r="G26" s="2">
        <v>21</v>
      </c>
      <c r="H26" s="2" t="s">
        <v>2230</v>
      </c>
      <c r="I26" s="3">
        <v>45646</v>
      </c>
      <c r="J26" s="2" t="s">
        <v>1785</v>
      </c>
      <c r="K26" s="2"/>
      <c r="L26" s="2"/>
      <c r="M26" s="2" t="s">
        <v>2291</v>
      </c>
    </row>
    <row r="27" spans="1:13" x14ac:dyDescent="0.25">
      <c r="A27" s="3" t="s">
        <v>2225</v>
      </c>
      <c r="B27" s="3">
        <v>43732</v>
      </c>
      <c r="C27" s="2" t="s">
        <v>59</v>
      </c>
      <c r="D27" s="2">
        <v>5</v>
      </c>
      <c r="E27" s="2" t="s">
        <v>2231</v>
      </c>
      <c r="F27" s="2" t="s">
        <v>2258</v>
      </c>
      <c r="G27" s="2">
        <v>52</v>
      </c>
      <c r="H27" s="2" t="s">
        <v>2230</v>
      </c>
      <c r="I27" s="3">
        <v>45646</v>
      </c>
      <c r="J27" s="2" t="s">
        <v>1785</v>
      </c>
      <c r="K27" s="2"/>
      <c r="L27" s="2"/>
      <c r="M27" s="2" t="s">
        <v>2291</v>
      </c>
    </row>
    <row r="28" spans="1:13" x14ac:dyDescent="0.25">
      <c r="A28" s="3" t="s">
        <v>2225</v>
      </c>
      <c r="B28" s="3">
        <v>43732</v>
      </c>
      <c r="C28" s="2" t="s">
        <v>59</v>
      </c>
      <c r="D28" s="2">
        <v>5</v>
      </c>
      <c r="E28" s="2" t="s">
        <v>2231</v>
      </c>
      <c r="F28" s="2" t="s">
        <v>2259</v>
      </c>
      <c r="G28" s="2">
        <v>28</v>
      </c>
      <c r="H28" s="2" t="s">
        <v>2230</v>
      </c>
      <c r="I28" s="3">
        <v>45646</v>
      </c>
      <c r="J28" s="2" t="s">
        <v>1785</v>
      </c>
      <c r="K28" s="2"/>
      <c r="L28" s="2"/>
      <c r="M28" s="2" t="s">
        <v>2291</v>
      </c>
    </row>
    <row r="29" spans="1:13" x14ac:dyDescent="0.25">
      <c r="A29" s="3" t="s">
        <v>2225</v>
      </c>
      <c r="B29" s="3">
        <v>43732</v>
      </c>
      <c r="C29" s="2" t="s">
        <v>59</v>
      </c>
      <c r="D29" s="2">
        <v>5</v>
      </c>
      <c r="E29" s="2" t="s">
        <v>2231</v>
      </c>
      <c r="F29" s="2" t="s">
        <v>2260</v>
      </c>
      <c r="G29" s="2">
        <v>5</v>
      </c>
      <c r="H29" s="2" t="s">
        <v>2230</v>
      </c>
      <c r="I29" s="3">
        <v>45646</v>
      </c>
      <c r="J29" s="2" t="s">
        <v>1785</v>
      </c>
      <c r="K29" s="2"/>
      <c r="L29" s="2"/>
      <c r="M29" s="2" t="s">
        <v>2291</v>
      </c>
    </row>
    <row r="30" spans="1:13" x14ac:dyDescent="0.25">
      <c r="A30" s="3" t="s">
        <v>2225</v>
      </c>
      <c r="B30" s="3">
        <v>43732</v>
      </c>
      <c r="C30" s="2" t="s">
        <v>59</v>
      </c>
      <c r="D30" s="2">
        <v>5</v>
      </c>
      <c r="E30" s="2" t="s">
        <v>2231</v>
      </c>
      <c r="F30" s="2" t="s">
        <v>2261</v>
      </c>
      <c r="G30" s="2">
        <v>11</v>
      </c>
      <c r="H30" s="2" t="s">
        <v>2230</v>
      </c>
      <c r="I30" s="3">
        <v>45646</v>
      </c>
      <c r="J30" s="2" t="s">
        <v>1785</v>
      </c>
      <c r="K30" s="2"/>
      <c r="L30" s="2"/>
      <c r="M30" s="2" t="s">
        <v>2291</v>
      </c>
    </row>
    <row r="31" spans="1:13" x14ac:dyDescent="0.25">
      <c r="A31" s="3" t="s">
        <v>2225</v>
      </c>
      <c r="B31" s="3">
        <v>43732</v>
      </c>
      <c r="C31" s="2" t="s">
        <v>59</v>
      </c>
      <c r="D31" s="2">
        <v>5</v>
      </c>
      <c r="E31" s="2" t="s">
        <v>2231</v>
      </c>
      <c r="F31" s="2" t="s">
        <v>2262</v>
      </c>
      <c r="G31" s="2">
        <v>38</v>
      </c>
      <c r="H31" s="2" t="s">
        <v>2230</v>
      </c>
      <c r="I31" s="3">
        <v>45646</v>
      </c>
      <c r="J31" s="2" t="s">
        <v>1785</v>
      </c>
      <c r="K31" s="2"/>
      <c r="L31" s="2"/>
      <c r="M31" s="2" t="s">
        <v>2291</v>
      </c>
    </row>
    <row r="32" spans="1:13" x14ac:dyDescent="0.25">
      <c r="A32" s="3" t="s">
        <v>2225</v>
      </c>
      <c r="B32" s="3">
        <v>43732</v>
      </c>
      <c r="C32" s="2" t="s">
        <v>59</v>
      </c>
      <c r="D32" s="2">
        <v>5</v>
      </c>
      <c r="E32" s="2" t="s">
        <v>2231</v>
      </c>
      <c r="F32" s="2" t="s">
        <v>2263</v>
      </c>
      <c r="G32" s="2">
        <v>52</v>
      </c>
      <c r="H32" s="2" t="s">
        <v>2230</v>
      </c>
      <c r="I32" s="3">
        <v>45646</v>
      </c>
      <c r="J32" s="2" t="s">
        <v>1785</v>
      </c>
      <c r="K32" s="2"/>
      <c r="L32" s="2"/>
      <c r="M32" s="2" t="s">
        <v>2291</v>
      </c>
    </row>
    <row r="33" spans="1:13" x14ac:dyDescent="0.25">
      <c r="A33" s="3" t="s">
        <v>2225</v>
      </c>
      <c r="B33" s="3">
        <v>43732</v>
      </c>
      <c r="C33" s="2" t="s">
        <v>59</v>
      </c>
      <c r="D33" s="2">
        <v>5</v>
      </c>
      <c r="E33" s="2" t="s">
        <v>2231</v>
      </c>
      <c r="F33" s="2" t="s">
        <v>2264</v>
      </c>
      <c r="G33" s="2">
        <v>12</v>
      </c>
      <c r="H33" s="2" t="s">
        <v>2230</v>
      </c>
      <c r="I33" s="3">
        <v>45646</v>
      </c>
      <c r="J33" s="2" t="s">
        <v>1785</v>
      </c>
      <c r="K33" s="2"/>
      <c r="L33" s="2"/>
      <c r="M33" s="2" t="s">
        <v>2291</v>
      </c>
    </row>
    <row r="34" spans="1:13" x14ac:dyDescent="0.25">
      <c r="A34" s="3" t="s">
        <v>2225</v>
      </c>
      <c r="B34" s="3">
        <v>43732</v>
      </c>
      <c r="C34" s="2" t="s">
        <v>59</v>
      </c>
      <c r="D34" s="2">
        <v>5</v>
      </c>
      <c r="E34" s="2" t="s">
        <v>2231</v>
      </c>
      <c r="F34" s="2" t="s">
        <v>2265</v>
      </c>
      <c r="G34" s="2">
        <v>32</v>
      </c>
      <c r="H34" s="2" t="s">
        <v>2230</v>
      </c>
      <c r="I34" s="3">
        <v>45646</v>
      </c>
      <c r="J34" s="2" t="s">
        <v>1785</v>
      </c>
      <c r="K34" s="2"/>
      <c r="L34" s="2"/>
      <c r="M34" s="2" t="s">
        <v>2291</v>
      </c>
    </row>
    <row r="35" spans="1:13" x14ac:dyDescent="0.25">
      <c r="A35" s="3" t="s">
        <v>2225</v>
      </c>
      <c r="B35" s="3">
        <v>43732</v>
      </c>
      <c r="C35" s="2" t="s">
        <v>59</v>
      </c>
      <c r="D35" s="2">
        <v>5</v>
      </c>
      <c r="E35" s="2" t="s">
        <v>2231</v>
      </c>
      <c r="F35" s="2" t="s">
        <v>2266</v>
      </c>
      <c r="G35" s="2">
        <v>21</v>
      </c>
      <c r="H35" s="2" t="s">
        <v>2230</v>
      </c>
      <c r="I35" s="3">
        <v>45646</v>
      </c>
      <c r="J35" s="2" t="s">
        <v>1785</v>
      </c>
      <c r="K35" s="2"/>
      <c r="L35" s="2"/>
      <c r="M35" s="2" t="s">
        <v>2291</v>
      </c>
    </row>
    <row r="36" spans="1:13" x14ac:dyDescent="0.25">
      <c r="A36" s="3" t="s">
        <v>2225</v>
      </c>
      <c r="B36" s="3">
        <v>43732</v>
      </c>
      <c r="C36" s="2" t="s">
        <v>59</v>
      </c>
      <c r="D36" s="2">
        <v>5</v>
      </c>
      <c r="E36" s="2" t="s">
        <v>2231</v>
      </c>
      <c r="F36" s="2" t="s">
        <v>2267</v>
      </c>
      <c r="G36" s="2">
        <v>40</v>
      </c>
      <c r="H36" s="2" t="s">
        <v>2230</v>
      </c>
      <c r="I36" s="3">
        <v>45646</v>
      </c>
      <c r="J36" s="2" t="s">
        <v>1785</v>
      </c>
      <c r="K36" s="2"/>
      <c r="L36" s="2"/>
      <c r="M36" s="2" t="s">
        <v>2291</v>
      </c>
    </row>
    <row r="37" spans="1:13" x14ac:dyDescent="0.25">
      <c r="A37" s="3" t="s">
        <v>2225</v>
      </c>
      <c r="B37" s="3">
        <v>43732</v>
      </c>
      <c r="C37" s="2" t="s">
        <v>59</v>
      </c>
      <c r="D37" s="2">
        <v>5</v>
      </c>
      <c r="E37" s="2" t="s">
        <v>2231</v>
      </c>
      <c r="F37" s="2" t="s">
        <v>2268</v>
      </c>
      <c r="G37" s="2">
        <v>30</v>
      </c>
      <c r="H37" s="2" t="s">
        <v>2230</v>
      </c>
      <c r="I37" s="3">
        <v>45646</v>
      </c>
      <c r="J37" s="2" t="s">
        <v>1785</v>
      </c>
      <c r="K37" s="2"/>
      <c r="L37" s="2"/>
      <c r="M37" s="2" t="s">
        <v>2291</v>
      </c>
    </row>
    <row r="38" spans="1:13" x14ac:dyDescent="0.25">
      <c r="A38" s="3" t="s">
        <v>2225</v>
      </c>
      <c r="B38" s="3">
        <v>43732</v>
      </c>
      <c r="C38" s="2" t="s">
        <v>59</v>
      </c>
      <c r="D38" s="2">
        <v>5</v>
      </c>
      <c r="E38" s="2" t="s">
        <v>2231</v>
      </c>
      <c r="F38" s="2" t="s">
        <v>2269</v>
      </c>
      <c r="G38" s="2">
        <v>32</v>
      </c>
      <c r="H38" s="2" t="s">
        <v>2230</v>
      </c>
      <c r="I38" s="3">
        <v>45646</v>
      </c>
      <c r="J38" s="2" t="s">
        <v>1785</v>
      </c>
      <c r="K38" s="2"/>
      <c r="L38" s="2"/>
      <c r="M38" s="2" t="s">
        <v>2291</v>
      </c>
    </row>
    <row r="39" spans="1:13" x14ac:dyDescent="0.25">
      <c r="A39" s="3" t="s">
        <v>2225</v>
      </c>
      <c r="B39" s="3">
        <v>43732</v>
      </c>
      <c r="C39" s="2" t="s">
        <v>59</v>
      </c>
      <c r="D39" s="2">
        <v>5</v>
      </c>
      <c r="E39" s="2" t="s">
        <v>2231</v>
      </c>
      <c r="F39" s="2" t="s">
        <v>2270</v>
      </c>
      <c r="G39" s="2">
        <v>44</v>
      </c>
      <c r="H39" s="2" t="s">
        <v>2230</v>
      </c>
      <c r="I39" s="3">
        <v>45646</v>
      </c>
      <c r="J39" s="2" t="s">
        <v>1785</v>
      </c>
      <c r="K39" s="2"/>
      <c r="L39" s="2"/>
      <c r="M39" s="2" t="s">
        <v>2291</v>
      </c>
    </row>
    <row r="40" spans="1:13" x14ac:dyDescent="0.25">
      <c r="A40" s="3" t="s">
        <v>2225</v>
      </c>
      <c r="B40" s="3">
        <v>43732</v>
      </c>
      <c r="C40" s="2" t="s">
        <v>59</v>
      </c>
      <c r="D40" s="2">
        <v>5</v>
      </c>
      <c r="E40" s="2" t="s">
        <v>2231</v>
      </c>
      <c r="F40" s="2" t="s">
        <v>2271</v>
      </c>
      <c r="G40" s="2">
        <v>28</v>
      </c>
      <c r="H40" s="2" t="s">
        <v>2230</v>
      </c>
      <c r="I40" s="3">
        <v>45646</v>
      </c>
      <c r="J40" s="2" t="s">
        <v>1785</v>
      </c>
      <c r="K40" s="2"/>
      <c r="L40" s="2"/>
      <c r="M40" s="2" t="s">
        <v>2291</v>
      </c>
    </row>
    <row r="41" spans="1:13" x14ac:dyDescent="0.25">
      <c r="A41" s="3" t="s">
        <v>2225</v>
      </c>
      <c r="B41" s="3">
        <v>43732</v>
      </c>
      <c r="C41" s="2" t="s">
        <v>59</v>
      </c>
      <c r="D41" s="2">
        <v>5</v>
      </c>
      <c r="E41" s="2" t="s">
        <v>2231</v>
      </c>
      <c r="F41" s="2" t="s">
        <v>2272</v>
      </c>
      <c r="G41" s="2">
        <v>47</v>
      </c>
      <c r="H41" s="2" t="s">
        <v>2230</v>
      </c>
      <c r="I41" s="3">
        <v>45646</v>
      </c>
      <c r="J41" s="2" t="s">
        <v>1785</v>
      </c>
      <c r="K41" s="2"/>
      <c r="L41" s="2"/>
      <c r="M41" s="2" t="s">
        <v>2291</v>
      </c>
    </row>
    <row r="42" spans="1:13" x14ac:dyDescent="0.25">
      <c r="A42" s="3" t="s">
        <v>2225</v>
      </c>
      <c r="B42" s="3">
        <v>43732</v>
      </c>
      <c r="C42" s="2" t="s">
        <v>59</v>
      </c>
      <c r="D42" s="2">
        <v>5</v>
      </c>
      <c r="E42" s="2" t="s">
        <v>2231</v>
      </c>
      <c r="F42" s="2" t="s">
        <v>2273</v>
      </c>
      <c r="G42" s="2">
        <v>10</v>
      </c>
      <c r="H42" s="2" t="s">
        <v>2230</v>
      </c>
      <c r="I42" s="3">
        <v>45646</v>
      </c>
      <c r="J42" s="2" t="s">
        <v>1785</v>
      </c>
      <c r="K42" s="2"/>
      <c r="L42" s="2"/>
      <c r="M42" s="2" t="s">
        <v>2291</v>
      </c>
    </row>
    <row r="43" spans="1:13" x14ac:dyDescent="0.25">
      <c r="A43" s="3" t="s">
        <v>2225</v>
      </c>
      <c r="B43" s="3">
        <v>43732</v>
      </c>
      <c r="C43" s="2" t="s">
        <v>59</v>
      </c>
      <c r="D43" s="2">
        <v>5</v>
      </c>
      <c r="E43" s="2" t="s">
        <v>2231</v>
      </c>
      <c r="F43" s="2" t="s">
        <v>2274</v>
      </c>
      <c r="G43" s="2">
        <v>49</v>
      </c>
      <c r="H43" s="2" t="s">
        <v>2230</v>
      </c>
      <c r="I43" s="3">
        <v>45646</v>
      </c>
      <c r="J43" s="2" t="s">
        <v>1785</v>
      </c>
      <c r="K43" s="2"/>
      <c r="L43" s="2"/>
      <c r="M43" s="2" t="s">
        <v>2291</v>
      </c>
    </row>
    <row r="44" spans="1:13" x14ac:dyDescent="0.25">
      <c r="A44" s="3" t="s">
        <v>2225</v>
      </c>
      <c r="B44" s="3">
        <v>43732</v>
      </c>
      <c r="C44" s="2" t="s">
        <v>59</v>
      </c>
      <c r="D44" s="2">
        <v>5</v>
      </c>
      <c r="E44" s="2" t="s">
        <v>2231</v>
      </c>
      <c r="F44" s="2" t="s">
        <v>2275</v>
      </c>
      <c r="G44" s="2">
        <v>42</v>
      </c>
      <c r="H44" s="2" t="s">
        <v>2230</v>
      </c>
      <c r="I44" s="3">
        <v>45646</v>
      </c>
      <c r="J44" s="2" t="s">
        <v>1785</v>
      </c>
      <c r="K44" s="2"/>
      <c r="L44" s="2"/>
      <c r="M44" s="2" t="s">
        <v>2291</v>
      </c>
    </row>
    <row r="45" spans="1:13" x14ac:dyDescent="0.25">
      <c r="A45" s="3" t="s">
        <v>2225</v>
      </c>
      <c r="B45" s="3">
        <v>43732</v>
      </c>
      <c r="C45" s="2" t="s">
        <v>59</v>
      </c>
      <c r="D45" s="2">
        <v>5</v>
      </c>
      <c r="E45" s="2" t="s">
        <v>2231</v>
      </c>
      <c r="F45" s="2" t="s">
        <v>2276</v>
      </c>
      <c r="G45" s="2">
        <v>15</v>
      </c>
      <c r="H45" s="2" t="s">
        <v>2230</v>
      </c>
      <c r="I45" s="3">
        <v>45646</v>
      </c>
      <c r="J45" s="2" t="s">
        <v>1785</v>
      </c>
      <c r="K45" s="2"/>
      <c r="L45" s="2"/>
      <c r="M45" s="2" t="s">
        <v>2291</v>
      </c>
    </row>
    <row r="46" spans="1:13" x14ac:dyDescent="0.25">
      <c r="A46" s="3" t="s">
        <v>2225</v>
      </c>
      <c r="B46" s="3">
        <v>43732</v>
      </c>
      <c r="C46" s="2" t="s">
        <v>59</v>
      </c>
      <c r="D46" s="2">
        <v>5</v>
      </c>
      <c r="E46" s="2" t="s">
        <v>2231</v>
      </c>
      <c r="F46" s="2" t="s">
        <v>2277</v>
      </c>
      <c r="G46" s="2">
        <v>17</v>
      </c>
      <c r="H46" s="2" t="s">
        <v>2230</v>
      </c>
      <c r="I46" s="3">
        <v>45646</v>
      </c>
      <c r="J46" s="2" t="s">
        <v>1785</v>
      </c>
      <c r="K46" s="2"/>
      <c r="L46" s="2"/>
      <c r="M46" s="2" t="s">
        <v>2291</v>
      </c>
    </row>
    <row r="47" spans="1:13" x14ac:dyDescent="0.25">
      <c r="A47" s="3" t="s">
        <v>2225</v>
      </c>
      <c r="B47" s="3">
        <v>43732</v>
      </c>
      <c r="C47" s="2" t="s">
        <v>59</v>
      </c>
      <c r="D47" s="2">
        <v>5</v>
      </c>
      <c r="E47" s="2" t="s">
        <v>2231</v>
      </c>
      <c r="F47" s="2" t="s">
        <v>2278</v>
      </c>
      <c r="G47" s="2">
        <v>24</v>
      </c>
      <c r="H47" s="2" t="s">
        <v>2230</v>
      </c>
      <c r="I47" s="3">
        <v>45646</v>
      </c>
      <c r="J47" s="2" t="s">
        <v>1785</v>
      </c>
      <c r="K47" s="2"/>
      <c r="L47" s="2"/>
      <c r="M47" s="2" t="s">
        <v>2291</v>
      </c>
    </row>
    <row r="48" spans="1:13" x14ac:dyDescent="0.25">
      <c r="A48" s="3" t="s">
        <v>2225</v>
      </c>
      <c r="B48" s="3">
        <v>43732</v>
      </c>
      <c r="C48" s="2" t="s">
        <v>59</v>
      </c>
      <c r="D48" s="2">
        <v>5</v>
      </c>
      <c r="E48" s="2" t="s">
        <v>2231</v>
      </c>
      <c r="F48" s="2" t="s">
        <v>2279</v>
      </c>
      <c r="G48" s="2">
        <v>8</v>
      </c>
      <c r="H48" s="2" t="s">
        <v>2230</v>
      </c>
      <c r="I48" s="3">
        <v>45646</v>
      </c>
      <c r="J48" s="2" t="s">
        <v>1785</v>
      </c>
      <c r="K48" s="2"/>
      <c r="L48" s="2"/>
      <c r="M48" s="2" t="s">
        <v>2291</v>
      </c>
    </row>
    <row r="49" spans="1:13" x14ac:dyDescent="0.25">
      <c r="A49" s="3" t="s">
        <v>2225</v>
      </c>
      <c r="B49" s="3">
        <v>43732</v>
      </c>
      <c r="C49" s="2" t="s">
        <v>59</v>
      </c>
      <c r="D49" s="2">
        <v>5</v>
      </c>
      <c r="E49" s="2" t="s">
        <v>2231</v>
      </c>
      <c r="F49" s="2" t="s">
        <v>2280</v>
      </c>
      <c r="G49" s="2">
        <v>43</v>
      </c>
      <c r="H49" s="2" t="s">
        <v>2230</v>
      </c>
      <c r="I49" s="3">
        <v>45646</v>
      </c>
      <c r="J49" s="2" t="s">
        <v>1785</v>
      </c>
      <c r="K49" s="2"/>
      <c r="L49" s="2"/>
      <c r="M49" s="2" t="s">
        <v>2291</v>
      </c>
    </row>
    <row r="50" spans="1:13" x14ac:dyDescent="0.25">
      <c r="A50" s="3" t="s">
        <v>2225</v>
      </c>
      <c r="B50" s="3">
        <v>43732</v>
      </c>
      <c r="C50" s="2" t="s">
        <v>59</v>
      </c>
      <c r="D50" s="2">
        <v>5</v>
      </c>
      <c r="E50" s="2" t="s">
        <v>2231</v>
      </c>
      <c r="F50" s="2" t="s">
        <v>2281</v>
      </c>
      <c r="G50" s="2">
        <v>33</v>
      </c>
      <c r="H50" s="2" t="s">
        <v>2230</v>
      </c>
      <c r="I50" s="3">
        <v>45646</v>
      </c>
      <c r="J50" s="2" t="s">
        <v>1785</v>
      </c>
      <c r="K50" s="2"/>
      <c r="L50" s="2"/>
      <c r="M50" s="2" t="s">
        <v>2291</v>
      </c>
    </row>
    <row r="51" spans="1:13" x14ac:dyDescent="0.25">
      <c r="A51" s="3" t="s">
        <v>2225</v>
      </c>
      <c r="B51" s="3">
        <v>43732</v>
      </c>
      <c r="C51" s="2" t="s">
        <v>59</v>
      </c>
      <c r="D51" s="2">
        <v>5</v>
      </c>
      <c r="E51" s="2" t="s">
        <v>2231</v>
      </c>
      <c r="F51" s="2" t="s">
        <v>2282</v>
      </c>
      <c r="G51" s="2">
        <v>21</v>
      </c>
      <c r="H51" s="2" t="s">
        <v>2230</v>
      </c>
      <c r="I51" s="3">
        <v>45646</v>
      </c>
      <c r="J51" s="2" t="s">
        <v>1785</v>
      </c>
      <c r="K51" s="2"/>
      <c r="L51" s="2"/>
      <c r="M51" s="2" t="s">
        <v>2291</v>
      </c>
    </row>
    <row r="52" spans="1:13" x14ac:dyDescent="0.25">
      <c r="A52" s="3" t="s">
        <v>2225</v>
      </c>
      <c r="B52" s="3">
        <v>43732</v>
      </c>
      <c r="C52" s="2" t="s">
        <v>59</v>
      </c>
      <c r="D52" s="2">
        <v>5</v>
      </c>
      <c r="E52" s="2" t="s">
        <v>2231</v>
      </c>
      <c r="F52" s="2" t="s">
        <v>2283</v>
      </c>
      <c r="G52" s="2">
        <v>14</v>
      </c>
      <c r="H52" s="2" t="s">
        <v>2230</v>
      </c>
      <c r="I52" s="3">
        <v>45646</v>
      </c>
      <c r="J52" s="2" t="s">
        <v>1785</v>
      </c>
      <c r="K52" s="2"/>
      <c r="L52" s="2"/>
      <c r="M52" s="2" t="s">
        <v>2291</v>
      </c>
    </row>
    <row r="53" spans="1:13" x14ac:dyDescent="0.25">
      <c r="A53" s="3" t="s">
        <v>2225</v>
      </c>
      <c r="B53" s="3">
        <v>43732</v>
      </c>
      <c r="C53" s="2" t="s">
        <v>59</v>
      </c>
      <c r="D53" s="2">
        <v>5</v>
      </c>
      <c r="E53" s="2" t="s">
        <v>2231</v>
      </c>
      <c r="F53" s="2" t="s">
        <v>2284</v>
      </c>
      <c r="G53" s="2">
        <v>7</v>
      </c>
      <c r="H53" s="2" t="s">
        <v>2230</v>
      </c>
      <c r="I53" s="3">
        <v>45646</v>
      </c>
      <c r="J53" s="2" t="s">
        <v>1785</v>
      </c>
      <c r="K53" s="2"/>
      <c r="L53" s="2"/>
      <c r="M53" s="2" t="s">
        <v>2291</v>
      </c>
    </row>
    <row r="54" spans="1:13" x14ac:dyDescent="0.25">
      <c r="A54" s="3" t="s">
        <v>2225</v>
      </c>
      <c r="B54" s="3">
        <v>43732</v>
      </c>
      <c r="C54" s="2" t="s">
        <v>59</v>
      </c>
      <c r="D54" s="2">
        <v>5</v>
      </c>
      <c r="E54" s="2" t="s">
        <v>2231</v>
      </c>
      <c r="F54" s="2" t="s">
        <v>2285</v>
      </c>
      <c r="G54" s="2">
        <v>56</v>
      </c>
      <c r="H54" s="2" t="s">
        <v>2230</v>
      </c>
      <c r="I54" s="3">
        <v>45646</v>
      </c>
      <c r="J54" s="2" t="s">
        <v>1785</v>
      </c>
      <c r="K54" s="2"/>
      <c r="L54" s="2"/>
      <c r="M54" s="2" t="s">
        <v>2291</v>
      </c>
    </row>
    <row r="55" spans="1:13" x14ac:dyDescent="0.25">
      <c r="A55" s="3" t="s">
        <v>2225</v>
      </c>
      <c r="B55" s="3">
        <v>43732</v>
      </c>
      <c r="C55" s="2" t="s">
        <v>59</v>
      </c>
      <c r="D55" s="2">
        <v>5</v>
      </c>
      <c r="E55" s="2" t="s">
        <v>2231</v>
      </c>
      <c r="F55" s="2" t="s">
        <v>2286</v>
      </c>
      <c r="G55" s="2">
        <v>33</v>
      </c>
      <c r="H55" s="2" t="s">
        <v>2230</v>
      </c>
      <c r="I55" s="3">
        <v>45646</v>
      </c>
      <c r="J55" s="2" t="s">
        <v>1785</v>
      </c>
      <c r="K55" s="2"/>
      <c r="L55" s="2"/>
      <c r="M55" s="2" t="s">
        <v>2291</v>
      </c>
    </row>
    <row r="56" spans="1:13" x14ac:dyDescent="0.25">
      <c r="A56" s="3" t="s">
        <v>2225</v>
      </c>
      <c r="B56" s="3">
        <v>43732</v>
      </c>
      <c r="C56" s="2" t="s">
        <v>59</v>
      </c>
      <c r="D56" s="2">
        <v>5</v>
      </c>
      <c r="E56" s="2" t="s">
        <v>2231</v>
      </c>
      <c r="F56" s="2" t="s">
        <v>2287</v>
      </c>
      <c r="G56" s="2">
        <v>35</v>
      </c>
      <c r="H56" s="2" t="s">
        <v>2230</v>
      </c>
      <c r="I56" s="3">
        <v>45646</v>
      </c>
      <c r="J56" s="2" t="s">
        <v>1785</v>
      </c>
      <c r="K56" s="2"/>
      <c r="L56" s="2"/>
      <c r="M56" s="2" t="s">
        <v>2291</v>
      </c>
    </row>
    <row r="57" spans="1:13" x14ac:dyDescent="0.25">
      <c r="A57" s="3" t="s">
        <v>2225</v>
      </c>
      <c r="B57" s="3">
        <v>43732</v>
      </c>
      <c r="C57" s="2" t="s">
        <v>59</v>
      </c>
      <c r="D57" s="2">
        <v>5</v>
      </c>
      <c r="E57" s="2" t="s">
        <v>2231</v>
      </c>
      <c r="F57" s="2" t="s">
        <v>2288</v>
      </c>
      <c r="G57" s="2">
        <v>14</v>
      </c>
      <c r="H57" s="2" t="s">
        <v>2230</v>
      </c>
      <c r="I57" s="3">
        <v>45646</v>
      </c>
      <c r="J57" s="2" t="s">
        <v>1785</v>
      </c>
      <c r="K57" s="2"/>
      <c r="L57" s="2"/>
      <c r="M57" s="2" t="s">
        <v>2291</v>
      </c>
    </row>
    <row r="58" spans="1:13" x14ac:dyDescent="0.25">
      <c r="A58" s="3" t="s">
        <v>2225</v>
      </c>
      <c r="B58" s="3">
        <v>43732</v>
      </c>
      <c r="C58" s="2" t="s">
        <v>59</v>
      </c>
      <c r="D58" s="2">
        <v>5</v>
      </c>
      <c r="E58" s="2" t="s">
        <v>2231</v>
      </c>
      <c r="F58" s="2" t="s">
        <v>2289</v>
      </c>
      <c r="G58" s="2">
        <v>10</v>
      </c>
      <c r="H58" s="2" t="s">
        <v>2230</v>
      </c>
      <c r="I58" s="3">
        <v>45646</v>
      </c>
      <c r="J58" s="2" t="s">
        <v>1785</v>
      </c>
      <c r="K58" s="2"/>
      <c r="L58" s="2"/>
      <c r="M58" s="2" t="s">
        <v>2291</v>
      </c>
    </row>
    <row r="59" spans="1:13" x14ac:dyDescent="0.25">
      <c r="A59" s="3" t="s">
        <v>2225</v>
      </c>
      <c r="B59" s="3">
        <v>43732</v>
      </c>
      <c r="C59" s="2" t="s">
        <v>59</v>
      </c>
      <c r="D59" s="2">
        <v>5</v>
      </c>
      <c r="E59" s="2" t="s">
        <v>2232</v>
      </c>
      <c r="F59" s="2" t="s">
        <v>2246</v>
      </c>
      <c r="G59" s="2">
        <v>25</v>
      </c>
      <c r="H59" s="2" t="s">
        <v>2230</v>
      </c>
      <c r="I59" s="3">
        <v>45646</v>
      </c>
      <c r="J59" s="2" t="s">
        <v>1785</v>
      </c>
      <c r="K59" s="2"/>
      <c r="L59" s="2"/>
      <c r="M59" s="2" t="s">
        <v>2291</v>
      </c>
    </row>
    <row r="60" spans="1:13" x14ac:dyDescent="0.25">
      <c r="A60" s="3" t="s">
        <v>2225</v>
      </c>
      <c r="B60" s="3">
        <v>43732</v>
      </c>
      <c r="C60" s="2" t="s">
        <v>59</v>
      </c>
      <c r="D60" s="2">
        <v>5</v>
      </c>
      <c r="E60" s="2" t="s">
        <v>2232</v>
      </c>
      <c r="F60" s="2" t="s">
        <v>2247</v>
      </c>
      <c r="G60" s="2">
        <v>13</v>
      </c>
      <c r="H60" s="2" t="s">
        <v>2230</v>
      </c>
      <c r="I60" s="3">
        <v>45646</v>
      </c>
      <c r="J60" s="2" t="s">
        <v>1785</v>
      </c>
      <c r="K60" s="2"/>
      <c r="L60" s="2"/>
      <c r="M60" s="2" t="s">
        <v>2291</v>
      </c>
    </row>
    <row r="61" spans="1:13" x14ac:dyDescent="0.25">
      <c r="A61" s="3" t="s">
        <v>2225</v>
      </c>
      <c r="B61" s="3">
        <v>43732</v>
      </c>
      <c r="C61" s="2" t="s">
        <v>59</v>
      </c>
      <c r="D61" s="2">
        <v>5</v>
      </c>
      <c r="E61" s="2" t="s">
        <v>2232</v>
      </c>
      <c r="F61" s="2" t="s">
        <v>2248</v>
      </c>
      <c r="G61" s="2">
        <v>13</v>
      </c>
      <c r="H61" s="2" t="s">
        <v>2230</v>
      </c>
      <c r="I61" s="3">
        <v>45646</v>
      </c>
      <c r="J61" s="2" t="s">
        <v>1785</v>
      </c>
      <c r="K61" s="2"/>
      <c r="L61" s="2"/>
      <c r="M61" s="2" t="s">
        <v>2291</v>
      </c>
    </row>
    <row r="62" spans="1:13" x14ac:dyDescent="0.25">
      <c r="A62" s="3" t="s">
        <v>2225</v>
      </c>
      <c r="B62" s="3">
        <v>43732</v>
      </c>
      <c r="C62" s="2" t="s">
        <v>59</v>
      </c>
      <c r="D62" s="2">
        <v>5</v>
      </c>
      <c r="E62" s="2" t="s">
        <v>2232</v>
      </c>
      <c r="F62" s="2" t="s">
        <v>2249</v>
      </c>
      <c r="G62" s="2">
        <v>27</v>
      </c>
      <c r="H62" s="2" t="s">
        <v>2230</v>
      </c>
      <c r="I62" s="3">
        <v>45646</v>
      </c>
      <c r="J62" s="2" t="s">
        <v>1785</v>
      </c>
      <c r="K62" s="2"/>
      <c r="L62" s="2"/>
      <c r="M62" s="2" t="s">
        <v>2291</v>
      </c>
    </row>
    <row r="63" spans="1:13" x14ac:dyDescent="0.25">
      <c r="A63" s="3" t="s">
        <v>2225</v>
      </c>
      <c r="B63" s="3">
        <v>43732</v>
      </c>
      <c r="C63" s="2" t="s">
        <v>59</v>
      </c>
      <c r="D63" s="2">
        <v>5</v>
      </c>
      <c r="E63" s="2" t="s">
        <v>2232</v>
      </c>
      <c r="F63" s="2" t="s">
        <v>2250</v>
      </c>
      <c r="G63" s="2">
        <v>15</v>
      </c>
      <c r="H63" s="2" t="s">
        <v>2230</v>
      </c>
      <c r="I63" s="3">
        <v>45646</v>
      </c>
      <c r="J63" s="2" t="s">
        <v>1785</v>
      </c>
      <c r="K63" s="2"/>
      <c r="L63" s="2"/>
      <c r="M63" s="2" t="s">
        <v>2291</v>
      </c>
    </row>
    <row r="64" spans="1:13" x14ac:dyDescent="0.25">
      <c r="A64" s="3" t="s">
        <v>2225</v>
      </c>
      <c r="B64" s="3">
        <v>43732</v>
      </c>
      <c r="C64" s="2" t="s">
        <v>59</v>
      </c>
      <c r="D64" s="2">
        <v>5</v>
      </c>
      <c r="E64" s="2" t="s">
        <v>2232</v>
      </c>
      <c r="F64" s="2" t="s">
        <v>2251</v>
      </c>
      <c r="G64" s="2">
        <v>28</v>
      </c>
      <c r="H64" s="2" t="s">
        <v>2230</v>
      </c>
      <c r="I64" s="3">
        <v>45646</v>
      </c>
      <c r="J64" s="2" t="s">
        <v>1785</v>
      </c>
      <c r="K64" s="2"/>
      <c r="L64" s="2"/>
      <c r="M64" s="2" t="s">
        <v>2291</v>
      </c>
    </row>
    <row r="65" spans="1:13" x14ac:dyDescent="0.25">
      <c r="A65" s="3" t="s">
        <v>2225</v>
      </c>
      <c r="B65" s="3">
        <v>43732</v>
      </c>
      <c r="C65" s="2" t="s">
        <v>59</v>
      </c>
      <c r="D65" s="2">
        <v>5</v>
      </c>
      <c r="E65" s="2" t="s">
        <v>2232</v>
      </c>
      <c r="F65" s="2" t="s">
        <v>2252</v>
      </c>
      <c r="G65" s="2">
        <v>10</v>
      </c>
      <c r="H65" s="2" t="s">
        <v>2230</v>
      </c>
      <c r="I65" s="3">
        <v>45646</v>
      </c>
      <c r="J65" s="2" t="s">
        <v>1785</v>
      </c>
      <c r="K65" s="2"/>
      <c r="L65" s="2"/>
      <c r="M65" s="2" t="s">
        <v>2291</v>
      </c>
    </row>
    <row r="66" spans="1:13" x14ac:dyDescent="0.25">
      <c r="A66" s="3" t="s">
        <v>2225</v>
      </c>
      <c r="B66" s="3">
        <v>43732</v>
      </c>
      <c r="C66" s="2" t="s">
        <v>59</v>
      </c>
      <c r="D66" s="2">
        <v>5</v>
      </c>
      <c r="E66" s="2" t="s">
        <v>2232</v>
      </c>
      <c r="F66" s="2" t="s">
        <v>2253</v>
      </c>
      <c r="G66" s="2">
        <v>36</v>
      </c>
      <c r="H66" s="2" t="s">
        <v>2230</v>
      </c>
      <c r="I66" s="3">
        <v>45646</v>
      </c>
      <c r="J66" s="2" t="s">
        <v>1785</v>
      </c>
      <c r="K66" s="2"/>
      <c r="L66" s="2"/>
      <c r="M66" s="2" t="s">
        <v>2291</v>
      </c>
    </row>
    <row r="67" spans="1:13" x14ac:dyDescent="0.25">
      <c r="A67" s="3" t="s">
        <v>2225</v>
      </c>
      <c r="B67" s="3">
        <v>43732</v>
      </c>
      <c r="C67" s="2" t="s">
        <v>59</v>
      </c>
      <c r="D67" s="2">
        <v>5</v>
      </c>
      <c r="E67" s="2" t="s">
        <v>2232</v>
      </c>
      <c r="F67" s="2" t="s">
        <v>2254</v>
      </c>
      <c r="G67" s="2">
        <v>40</v>
      </c>
      <c r="H67" s="2" t="s">
        <v>2230</v>
      </c>
      <c r="I67" s="3">
        <v>45646</v>
      </c>
      <c r="J67" s="2" t="s">
        <v>1785</v>
      </c>
      <c r="K67" s="2"/>
      <c r="L67" s="2"/>
      <c r="M67" s="2" t="s">
        <v>2291</v>
      </c>
    </row>
    <row r="68" spans="1:13" x14ac:dyDescent="0.25">
      <c r="A68" s="3" t="s">
        <v>2225</v>
      </c>
      <c r="B68" s="3">
        <v>43732</v>
      </c>
      <c r="C68" s="2" t="s">
        <v>59</v>
      </c>
      <c r="D68" s="2">
        <v>5</v>
      </c>
      <c r="E68" s="2" t="s">
        <v>2232</v>
      </c>
      <c r="F68" s="2" t="s">
        <v>2240</v>
      </c>
      <c r="G68" s="2">
        <v>6</v>
      </c>
      <c r="H68" s="2" t="s">
        <v>2230</v>
      </c>
      <c r="I68" s="3">
        <v>45646</v>
      </c>
      <c r="J68" s="2" t="s">
        <v>1785</v>
      </c>
      <c r="K68" s="2"/>
      <c r="L68" s="2"/>
      <c r="M68" s="2" t="s">
        <v>2291</v>
      </c>
    </row>
    <row r="69" spans="1:13" x14ac:dyDescent="0.25">
      <c r="A69" s="3" t="s">
        <v>2225</v>
      </c>
      <c r="B69" s="3">
        <v>43732</v>
      </c>
      <c r="C69" s="2" t="s">
        <v>59</v>
      </c>
      <c r="D69" s="2">
        <v>5</v>
      </c>
      <c r="E69" s="2" t="s">
        <v>2232</v>
      </c>
      <c r="F69" s="2" t="s">
        <v>2241</v>
      </c>
      <c r="G69" s="2">
        <v>21</v>
      </c>
      <c r="H69" s="2" t="s">
        <v>2230</v>
      </c>
      <c r="I69" s="3">
        <v>45646</v>
      </c>
      <c r="J69" s="2" t="s">
        <v>1785</v>
      </c>
      <c r="K69" s="2"/>
      <c r="L69" s="2"/>
      <c r="M69" s="2" t="s">
        <v>2291</v>
      </c>
    </row>
    <row r="70" spans="1:13" x14ac:dyDescent="0.25">
      <c r="A70" s="3" t="s">
        <v>2225</v>
      </c>
      <c r="B70" s="3">
        <v>43732</v>
      </c>
      <c r="C70" s="2" t="s">
        <v>59</v>
      </c>
      <c r="D70" s="2">
        <v>5</v>
      </c>
      <c r="E70" s="2" t="s">
        <v>2232</v>
      </c>
      <c r="F70" s="2" t="s">
        <v>2242</v>
      </c>
      <c r="G70" s="2">
        <v>12</v>
      </c>
      <c r="H70" s="2" t="s">
        <v>2230</v>
      </c>
      <c r="I70" s="3">
        <v>45646</v>
      </c>
      <c r="J70" s="2" t="s">
        <v>1785</v>
      </c>
      <c r="K70" s="2"/>
      <c r="L70" s="2"/>
      <c r="M70" s="2" t="s">
        <v>2291</v>
      </c>
    </row>
    <row r="71" spans="1:13" x14ac:dyDescent="0.25">
      <c r="A71" s="3" t="s">
        <v>2225</v>
      </c>
      <c r="B71" s="3">
        <v>43732</v>
      </c>
      <c r="C71" s="2" t="s">
        <v>59</v>
      </c>
      <c r="D71" s="2">
        <v>5</v>
      </c>
      <c r="E71" s="2" t="s">
        <v>2232</v>
      </c>
      <c r="F71" s="2" t="s">
        <v>2243</v>
      </c>
      <c r="G71" s="2">
        <v>50</v>
      </c>
      <c r="H71" s="2" t="s">
        <v>2230</v>
      </c>
      <c r="I71" s="3">
        <v>45646</v>
      </c>
      <c r="J71" s="2" t="s">
        <v>1785</v>
      </c>
      <c r="K71" s="2"/>
      <c r="L71" s="2"/>
      <c r="M71" s="2" t="s">
        <v>2291</v>
      </c>
    </row>
    <row r="72" spans="1:13" x14ac:dyDescent="0.25">
      <c r="A72" s="3" t="s">
        <v>2225</v>
      </c>
      <c r="B72" s="3">
        <v>43732</v>
      </c>
      <c r="C72" s="2" t="s">
        <v>59</v>
      </c>
      <c r="D72" s="2">
        <v>5</v>
      </c>
      <c r="E72" s="2" t="s">
        <v>2232</v>
      </c>
      <c r="F72" s="2" t="s">
        <v>2244</v>
      </c>
      <c r="G72" s="2">
        <v>26</v>
      </c>
      <c r="H72" s="2" t="s">
        <v>2230</v>
      </c>
      <c r="I72" s="3">
        <v>45646</v>
      </c>
      <c r="J72" s="2" t="s">
        <v>1785</v>
      </c>
      <c r="K72" s="2"/>
      <c r="L72" s="2"/>
      <c r="M72" s="2" t="s">
        <v>2291</v>
      </c>
    </row>
    <row r="73" spans="1:13" x14ac:dyDescent="0.25">
      <c r="A73" s="3" t="s">
        <v>2225</v>
      </c>
      <c r="B73" s="3">
        <v>43732</v>
      </c>
      <c r="C73" s="2" t="s">
        <v>59</v>
      </c>
      <c r="D73" s="2">
        <v>5</v>
      </c>
      <c r="E73" s="2" t="s">
        <v>2232</v>
      </c>
      <c r="F73" s="2" t="s">
        <v>2245</v>
      </c>
      <c r="G73" s="2">
        <v>28</v>
      </c>
      <c r="H73" s="2" t="s">
        <v>2230</v>
      </c>
      <c r="I73" s="3">
        <v>45646</v>
      </c>
      <c r="J73" s="2" t="s">
        <v>1785</v>
      </c>
      <c r="K73" s="2"/>
      <c r="L73" s="2"/>
      <c r="M73" s="2" t="s">
        <v>2291</v>
      </c>
    </row>
    <row r="74" spans="1:13" x14ac:dyDescent="0.25">
      <c r="A74" s="3" t="s">
        <v>2225</v>
      </c>
      <c r="B74" s="3">
        <v>43732</v>
      </c>
      <c r="C74" s="2" t="s">
        <v>59</v>
      </c>
      <c r="D74" s="2">
        <v>5</v>
      </c>
      <c r="E74" s="2" t="s">
        <v>2232</v>
      </c>
      <c r="F74" s="2" t="s">
        <v>2255</v>
      </c>
      <c r="G74" s="2">
        <v>27</v>
      </c>
      <c r="H74" s="2" t="s">
        <v>2230</v>
      </c>
      <c r="I74" s="3">
        <v>45646</v>
      </c>
      <c r="J74" s="2" t="s">
        <v>1785</v>
      </c>
      <c r="K74" s="2"/>
      <c r="L74" s="2"/>
      <c r="M74" s="2" t="s">
        <v>2291</v>
      </c>
    </row>
    <row r="75" spans="1:13" x14ac:dyDescent="0.25">
      <c r="A75" s="3" t="s">
        <v>2225</v>
      </c>
      <c r="B75" s="3">
        <v>43732</v>
      </c>
      <c r="C75" s="2" t="s">
        <v>59</v>
      </c>
      <c r="D75" s="2">
        <v>5</v>
      </c>
      <c r="E75" s="2" t="s">
        <v>2232</v>
      </c>
      <c r="F75" s="2" t="s">
        <v>2256</v>
      </c>
      <c r="G75" s="2">
        <v>18</v>
      </c>
      <c r="H75" s="2" t="s">
        <v>2230</v>
      </c>
      <c r="I75" s="3">
        <v>45646</v>
      </c>
      <c r="J75" s="2" t="s">
        <v>1785</v>
      </c>
      <c r="K75" s="2"/>
      <c r="L75" s="2"/>
      <c r="M75" s="2" t="s">
        <v>2291</v>
      </c>
    </row>
    <row r="76" spans="1:13" x14ac:dyDescent="0.25">
      <c r="A76" s="3" t="s">
        <v>2225</v>
      </c>
      <c r="B76" s="3">
        <v>43732</v>
      </c>
      <c r="C76" s="2" t="s">
        <v>59</v>
      </c>
      <c r="D76" s="2">
        <v>5</v>
      </c>
      <c r="E76" s="2" t="s">
        <v>2232</v>
      </c>
      <c r="F76" s="2" t="s">
        <v>2257</v>
      </c>
      <c r="G76" s="2">
        <v>25</v>
      </c>
      <c r="H76" s="2" t="s">
        <v>2230</v>
      </c>
      <c r="I76" s="3">
        <v>45646</v>
      </c>
      <c r="J76" s="2" t="s">
        <v>1785</v>
      </c>
      <c r="K76" s="2"/>
      <c r="L76" s="2"/>
      <c r="M76" s="2" t="s">
        <v>2291</v>
      </c>
    </row>
    <row r="77" spans="1:13" x14ac:dyDescent="0.25">
      <c r="A77" s="3" t="s">
        <v>2225</v>
      </c>
      <c r="B77" s="3">
        <v>43732</v>
      </c>
      <c r="C77" s="2" t="s">
        <v>59</v>
      </c>
      <c r="D77" s="2">
        <v>5</v>
      </c>
      <c r="E77" s="2" t="s">
        <v>2232</v>
      </c>
      <c r="F77" s="2" t="s">
        <v>2258</v>
      </c>
      <c r="G77" s="2">
        <v>16</v>
      </c>
      <c r="H77" s="2" t="s">
        <v>2230</v>
      </c>
      <c r="I77" s="3">
        <v>45646</v>
      </c>
      <c r="J77" s="2" t="s">
        <v>1785</v>
      </c>
      <c r="K77" s="2"/>
      <c r="L77" s="2"/>
      <c r="M77" s="2" t="s">
        <v>2291</v>
      </c>
    </row>
    <row r="78" spans="1:13" x14ac:dyDescent="0.25">
      <c r="A78" s="3" t="s">
        <v>2225</v>
      </c>
      <c r="B78" s="3">
        <v>43732</v>
      </c>
      <c r="C78" s="2" t="s">
        <v>59</v>
      </c>
      <c r="D78" s="2">
        <v>5</v>
      </c>
      <c r="E78" s="2" t="s">
        <v>2232</v>
      </c>
      <c r="F78" s="2" t="s">
        <v>2259</v>
      </c>
      <c r="G78" s="2">
        <v>65</v>
      </c>
      <c r="H78" s="2" t="s">
        <v>2230</v>
      </c>
      <c r="I78" s="3">
        <v>45646</v>
      </c>
      <c r="J78" s="2" t="s">
        <v>1785</v>
      </c>
      <c r="K78" s="2"/>
      <c r="L78" s="2"/>
      <c r="M78" s="2" t="s">
        <v>2291</v>
      </c>
    </row>
    <row r="79" spans="1:13" x14ac:dyDescent="0.25">
      <c r="A79" s="3" t="s">
        <v>2225</v>
      </c>
      <c r="B79" s="3">
        <v>43732</v>
      </c>
      <c r="C79" s="2" t="s">
        <v>59</v>
      </c>
      <c r="D79" s="2">
        <v>5</v>
      </c>
      <c r="E79" s="2" t="s">
        <v>2232</v>
      </c>
      <c r="F79" s="2" t="s">
        <v>2260</v>
      </c>
      <c r="G79" s="2">
        <v>25</v>
      </c>
      <c r="H79" s="2" t="s">
        <v>2230</v>
      </c>
      <c r="I79" s="3">
        <v>45646</v>
      </c>
      <c r="J79" s="2" t="s">
        <v>1785</v>
      </c>
      <c r="K79" s="2"/>
      <c r="L79" s="2"/>
      <c r="M79" s="2" t="s">
        <v>2291</v>
      </c>
    </row>
    <row r="80" spans="1:13" x14ac:dyDescent="0.25">
      <c r="A80" s="3" t="s">
        <v>2225</v>
      </c>
      <c r="B80" s="3">
        <v>43732</v>
      </c>
      <c r="C80" s="2" t="s">
        <v>59</v>
      </c>
      <c r="D80" s="2">
        <v>5</v>
      </c>
      <c r="E80" s="2" t="s">
        <v>2232</v>
      </c>
      <c r="F80" s="2" t="s">
        <v>2261</v>
      </c>
      <c r="G80" s="2">
        <v>56</v>
      </c>
      <c r="H80" s="2" t="s">
        <v>2230</v>
      </c>
      <c r="I80" s="3">
        <v>45646</v>
      </c>
      <c r="J80" s="2" t="s">
        <v>1785</v>
      </c>
      <c r="K80" s="2"/>
      <c r="L80" s="2"/>
      <c r="M80" s="2" t="s">
        <v>2291</v>
      </c>
    </row>
    <row r="81" spans="1:13" x14ac:dyDescent="0.25">
      <c r="A81" s="3" t="s">
        <v>2225</v>
      </c>
      <c r="B81" s="3">
        <v>43732</v>
      </c>
      <c r="C81" s="2" t="s">
        <v>59</v>
      </c>
      <c r="D81" s="2">
        <v>5</v>
      </c>
      <c r="E81" s="2" t="s">
        <v>2232</v>
      </c>
      <c r="F81" s="2" t="s">
        <v>2262</v>
      </c>
      <c r="G81" s="2">
        <v>26</v>
      </c>
      <c r="H81" s="2" t="s">
        <v>2230</v>
      </c>
      <c r="I81" s="3">
        <v>45646</v>
      </c>
      <c r="J81" s="2" t="s">
        <v>1785</v>
      </c>
      <c r="K81" s="2"/>
      <c r="L81" s="2"/>
      <c r="M81" s="2" t="s">
        <v>2291</v>
      </c>
    </row>
    <row r="82" spans="1:13" x14ac:dyDescent="0.25">
      <c r="A82" s="3" t="s">
        <v>2225</v>
      </c>
      <c r="B82" s="3">
        <v>43732</v>
      </c>
      <c r="C82" s="2" t="s">
        <v>59</v>
      </c>
      <c r="D82" s="2">
        <v>5</v>
      </c>
      <c r="E82" s="2" t="s">
        <v>2232</v>
      </c>
      <c r="F82" s="2" t="s">
        <v>2263</v>
      </c>
      <c r="G82" s="2">
        <v>18</v>
      </c>
      <c r="H82" s="2" t="s">
        <v>2230</v>
      </c>
      <c r="I82" s="3">
        <v>45646</v>
      </c>
      <c r="J82" s="2" t="s">
        <v>1785</v>
      </c>
      <c r="K82" s="2"/>
      <c r="L82" s="2"/>
      <c r="M82" s="2" t="s">
        <v>2291</v>
      </c>
    </row>
    <row r="83" spans="1:13" x14ac:dyDescent="0.25">
      <c r="A83" s="3" t="s">
        <v>2225</v>
      </c>
      <c r="B83" s="3">
        <v>43732</v>
      </c>
      <c r="C83" s="2" t="s">
        <v>59</v>
      </c>
      <c r="D83" s="2">
        <v>5</v>
      </c>
      <c r="E83" s="2" t="s">
        <v>2232</v>
      </c>
      <c r="F83" s="2" t="s">
        <v>2264</v>
      </c>
      <c r="G83" s="2">
        <v>31</v>
      </c>
      <c r="H83" s="2" t="s">
        <v>2230</v>
      </c>
      <c r="I83" s="3">
        <v>45646</v>
      </c>
      <c r="J83" s="2" t="s">
        <v>1785</v>
      </c>
      <c r="K83" s="2"/>
      <c r="L83" s="2"/>
      <c r="M83" s="2" t="s">
        <v>2291</v>
      </c>
    </row>
    <row r="84" spans="1:13" x14ac:dyDescent="0.25">
      <c r="A84" s="3" t="s">
        <v>2225</v>
      </c>
      <c r="B84" s="3">
        <v>43732</v>
      </c>
      <c r="C84" s="2" t="s">
        <v>59</v>
      </c>
      <c r="D84" s="2">
        <v>5</v>
      </c>
      <c r="E84" s="2" t="s">
        <v>2232</v>
      </c>
      <c r="F84" s="2" t="s">
        <v>2265</v>
      </c>
      <c r="G84" s="2">
        <v>62</v>
      </c>
      <c r="H84" s="2" t="s">
        <v>2230</v>
      </c>
      <c r="I84" s="3">
        <v>45646</v>
      </c>
      <c r="J84" s="2" t="s">
        <v>1785</v>
      </c>
      <c r="K84" s="2"/>
      <c r="L84" s="2"/>
      <c r="M84" s="2" t="s">
        <v>2291</v>
      </c>
    </row>
    <row r="85" spans="1:13" x14ac:dyDescent="0.25">
      <c r="A85" s="3" t="s">
        <v>2225</v>
      </c>
      <c r="B85" s="3">
        <v>43732</v>
      </c>
      <c r="C85" s="2" t="s">
        <v>59</v>
      </c>
      <c r="D85" s="2">
        <v>5</v>
      </c>
      <c r="E85" s="2" t="s">
        <v>2232</v>
      </c>
      <c r="F85" s="2" t="s">
        <v>2266</v>
      </c>
      <c r="G85" s="2">
        <v>30</v>
      </c>
      <c r="H85" s="2" t="s">
        <v>2230</v>
      </c>
      <c r="I85" s="3">
        <v>45646</v>
      </c>
      <c r="J85" s="2" t="s">
        <v>1785</v>
      </c>
      <c r="K85" s="2"/>
      <c r="L85" s="2"/>
      <c r="M85" s="2" t="s">
        <v>2291</v>
      </c>
    </row>
    <row r="86" spans="1:13" x14ac:dyDescent="0.25">
      <c r="A86" s="3" t="s">
        <v>2225</v>
      </c>
      <c r="B86" s="3">
        <v>43732</v>
      </c>
      <c r="C86" s="2" t="s">
        <v>59</v>
      </c>
      <c r="D86" s="2">
        <v>5</v>
      </c>
      <c r="E86" s="2" t="s">
        <v>2232</v>
      </c>
      <c r="F86" s="2" t="s">
        <v>2267</v>
      </c>
      <c r="G86" s="2">
        <v>10</v>
      </c>
      <c r="H86" s="2" t="s">
        <v>2230</v>
      </c>
      <c r="I86" s="3">
        <v>45646</v>
      </c>
      <c r="J86" s="2" t="s">
        <v>1785</v>
      </c>
      <c r="K86" s="2"/>
      <c r="L86" s="2"/>
      <c r="M86" s="2" t="s">
        <v>2291</v>
      </c>
    </row>
    <row r="87" spans="1:13" x14ac:dyDescent="0.25">
      <c r="A87" s="3" t="s">
        <v>2225</v>
      </c>
      <c r="B87" s="3">
        <v>43732</v>
      </c>
      <c r="C87" s="2" t="s">
        <v>59</v>
      </c>
      <c r="D87" s="2">
        <v>5</v>
      </c>
      <c r="E87" s="2" t="s">
        <v>2232</v>
      </c>
      <c r="F87" s="2" t="s">
        <v>2268</v>
      </c>
      <c r="G87" s="2">
        <v>10</v>
      </c>
      <c r="H87" s="2" t="s">
        <v>2230</v>
      </c>
      <c r="I87" s="3">
        <v>45646</v>
      </c>
      <c r="J87" s="2" t="s">
        <v>1785</v>
      </c>
      <c r="K87" s="2"/>
      <c r="L87" s="2"/>
      <c r="M87" s="2" t="s">
        <v>2291</v>
      </c>
    </row>
    <row r="88" spans="1:13" x14ac:dyDescent="0.25">
      <c r="A88" s="3" t="s">
        <v>2225</v>
      </c>
      <c r="B88" s="3">
        <v>43732</v>
      </c>
      <c r="C88" s="2" t="s">
        <v>59</v>
      </c>
      <c r="D88" s="2">
        <v>5</v>
      </c>
      <c r="E88" s="2" t="s">
        <v>2232</v>
      </c>
      <c r="F88" s="2" t="s">
        <v>2269</v>
      </c>
      <c r="G88" s="2">
        <v>12</v>
      </c>
      <c r="H88" s="2" t="s">
        <v>2230</v>
      </c>
      <c r="I88" s="3">
        <v>45646</v>
      </c>
      <c r="J88" s="2" t="s">
        <v>1785</v>
      </c>
      <c r="K88" s="2"/>
      <c r="L88" s="2"/>
      <c r="M88" s="2" t="s">
        <v>2291</v>
      </c>
    </row>
    <row r="89" spans="1:13" x14ac:dyDescent="0.25">
      <c r="A89" s="3" t="s">
        <v>2225</v>
      </c>
      <c r="B89" s="3">
        <v>43732</v>
      </c>
      <c r="C89" s="2" t="s">
        <v>59</v>
      </c>
      <c r="D89" s="2">
        <v>5</v>
      </c>
      <c r="E89" s="2" t="s">
        <v>2232</v>
      </c>
      <c r="F89" s="2" t="s">
        <v>2270</v>
      </c>
      <c r="G89" s="2">
        <v>17</v>
      </c>
      <c r="H89" s="2" t="s">
        <v>2230</v>
      </c>
      <c r="I89" s="3">
        <v>45646</v>
      </c>
      <c r="J89" s="2" t="s">
        <v>1785</v>
      </c>
      <c r="K89" s="2"/>
      <c r="L89" s="2"/>
      <c r="M89" s="2" t="s">
        <v>2291</v>
      </c>
    </row>
    <row r="90" spans="1:13" x14ac:dyDescent="0.25">
      <c r="A90" s="3" t="s">
        <v>2225</v>
      </c>
      <c r="B90" s="3">
        <v>43732</v>
      </c>
      <c r="C90" s="2" t="s">
        <v>59</v>
      </c>
      <c r="D90" s="2">
        <v>5</v>
      </c>
      <c r="E90" s="2" t="s">
        <v>2232</v>
      </c>
      <c r="F90" s="2" t="s">
        <v>2271</v>
      </c>
      <c r="G90" s="2">
        <v>40</v>
      </c>
      <c r="H90" s="2" t="s">
        <v>2230</v>
      </c>
      <c r="I90" s="3">
        <v>45646</v>
      </c>
      <c r="J90" s="2" t="s">
        <v>1785</v>
      </c>
      <c r="K90" s="2"/>
      <c r="L90" s="2"/>
      <c r="M90" s="2" t="s">
        <v>2291</v>
      </c>
    </row>
    <row r="91" spans="1:13" x14ac:dyDescent="0.25">
      <c r="A91" s="3" t="s">
        <v>2225</v>
      </c>
      <c r="B91" s="3">
        <v>43732</v>
      </c>
      <c r="C91" s="2" t="s">
        <v>59</v>
      </c>
      <c r="D91" s="2">
        <v>5</v>
      </c>
      <c r="E91" s="2" t="s">
        <v>2232</v>
      </c>
      <c r="F91" s="2" t="s">
        <v>2272</v>
      </c>
      <c r="G91" s="2">
        <v>33</v>
      </c>
      <c r="H91" s="2" t="s">
        <v>2230</v>
      </c>
      <c r="I91" s="3">
        <v>45646</v>
      </c>
      <c r="J91" s="2" t="s">
        <v>1785</v>
      </c>
      <c r="K91" s="2"/>
      <c r="L91" s="2"/>
      <c r="M91" s="2" t="s">
        <v>2291</v>
      </c>
    </row>
    <row r="92" spans="1:13" x14ac:dyDescent="0.25">
      <c r="A92" s="3" t="s">
        <v>2225</v>
      </c>
      <c r="B92" s="3">
        <v>43732</v>
      </c>
      <c r="C92" s="2" t="s">
        <v>59</v>
      </c>
      <c r="D92" s="2">
        <v>5</v>
      </c>
      <c r="E92" s="2" t="s">
        <v>2232</v>
      </c>
      <c r="F92" s="2" t="s">
        <v>2273</v>
      </c>
      <c r="G92" s="2">
        <v>27</v>
      </c>
      <c r="H92" s="2" t="s">
        <v>2230</v>
      </c>
      <c r="I92" s="3">
        <v>45646</v>
      </c>
      <c r="J92" s="2" t="s">
        <v>1785</v>
      </c>
      <c r="K92" s="2"/>
      <c r="L92" s="2"/>
      <c r="M92" s="2" t="s">
        <v>2291</v>
      </c>
    </row>
    <row r="93" spans="1:13" x14ac:dyDescent="0.25">
      <c r="A93" s="3" t="s">
        <v>2225</v>
      </c>
      <c r="B93" s="3">
        <v>43732</v>
      </c>
      <c r="C93" s="2" t="s">
        <v>59</v>
      </c>
      <c r="D93" s="2">
        <v>5</v>
      </c>
      <c r="E93" s="2" t="s">
        <v>2232</v>
      </c>
      <c r="F93" s="2" t="s">
        <v>2274</v>
      </c>
      <c r="G93" s="2">
        <v>20</v>
      </c>
      <c r="H93" s="2" t="s">
        <v>2230</v>
      </c>
      <c r="I93" s="3">
        <v>45646</v>
      </c>
      <c r="J93" s="2" t="s">
        <v>1785</v>
      </c>
      <c r="K93" s="2"/>
      <c r="L93" s="2"/>
      <c r="M93" s="2" t="s">
        <v>2291</v>
      </c>
    </row>
    <row r="94" spans="1:13" x14ac:dyDescent="0.25">
      <c r="A94" s="3" t="s">
        <v>2225</v>
      </c>
      <c r="B94" s="3">
        <v>43732</v>
      </c>
      <c r="C94" s="2" t="s">
        <v>59</v>
      </c>
      <c r="D94" s="2">
        <v>5</v>
      </c>
      <c r="E94" s="2" t="s">
        <v>2232</v>
      </c>
      <c r="F94" s="2" t="s">
        <v>2275</v>
      </c>
      <c r="G94" s="2">
        <v>10</v>
      </c>
      <c r="H94" s="2" t="s">
        <v>2230</v>
      </c>
      <c r="I94" s="3">
        <v>45646</v>
      </c>
      <c r="J94" s="2" t="s">
        <v>1785</v>
      </c>
      <c r="K94" s="2"/>
      <c r="L94" s="2"/>
      <c r="M94" s="2" t="s">
        <v>2291</v>
      </c>
    </row>
    <row r="95" spans="1:13" x14ac:dyDescent="0.25">
      <c r="A95" s="3" t="s">
        <v>2225</v>
      </c>
      <c r="B95" s="3">
        <v>43732</v>
      </c>
      <c r="C95" s="2" t="s">
        <v>59</v>
      </c>
      <c r="D95" s="2">
        <v>5</v>
      </c>
      <c r="E95" s="2" t="s">
        <v>2232</v>
      </c>
      <c r="F95" s="2" t="s">
        <v>2276</v>
      </c>
      <c r="G95" s="2">
        <v>26</v>
      </c>
      <c r="H95" s="2" t="s">
        <v>2230</v>
      </c>
      <c r="I95" s="3">
        <v>45646</v>
      </c>
      <c r="J95" s="2" t="s">
        <v>1785</v>
      </c>
      <c r="K95" s="2"/>
      <c r="L95" s="2"/>
      <c r="M95" s="2" t="s">
        <v>2291</v>
      </c>
    </row>
    <row r="96" spans="1:13" x14ac:dyDescent="0.25">
      <c r="A96" s="3" t="s">
        <v>2225</v>
      </c>
      <c r="B96" s="3">
        <v>43732</v>
      </c>
      <c r="C96" s="2" t="s">
        <v>59</v>
      </c>
      <c r="D96" s="2">
        <v>5</v>
      </c>
      <c r="E96" s="2" t="s">
        <v>2232</v>
      </c>
      <c r="F96" s="2" t="s">
        <v>2277</v>
      </c>
      <c r="G96" s="2">
        <v>56</v>
      </c>
      <c r="H96" s="2" t="s">
        <v>2230</v>
      </c>
      <c r="I96" s="3">
        <v>45646</v>
      </c>
      <c r="J96" s="2" t="s">
        <v>1785</v>
      </c>
      <c r="K96" s="2"/>
      <c r="L96" s="2"/>
      <c r="M96" s="2" t="s">
        <v>2291</v>
      </c>
    </row>
    <row r="97" spans="1:13" x14ac:dyDescent="0.25">
      <c r="A97" s="3" t="s">
        <v>2225</v>
      </c>
      <c r="B97" s="3">
        <v>43732</v>
      </c>
      <c r="C97" s="2" t="s">
        <v>59</v>
      </c>
      <c r="D97" s="2">
        <v>5</v>
      </c>
      <c r="E97" s="2" t="s">
        <v>2232</v>
      </c>
      <c r="F97" s="2" t="s">
        <v>2278</v>
      </c>
      <c r="G97" s="2">
        <v>16</v>
      </c>
      <c r="H97" s="2" t="s">
        <v>2230</v>
      </c>
      <c r="I97" s="3">
        <v>45646</v>
      </c>
      <c r="J97" s="2" t="s">
        <v>1785</v>
      </c>
      <c r="K97" s="2"/>
      <c r="L97" s="2"/>
      <c r="M97" s="2" t="s">
        <v>2291</v>
      </c>
    </row>
    <row r="98" spans="1:13" x14ac:dyDescent="0.25">
      <c r="A98" s="3" t="s">
        <v>2225</v>
      </c>
      <c r="B98" s="3">
        <v>43732</v>
      </c>
      <c r="C98" s="2" t="s">
        <v>59</v>
      </c>
      <c r="D98" s="2">
        <v>5</v>
      </c>
      <c r="E98" s="2" t="s">
        <v>2232</v>
      </c>
      <c r="F98" s="2" t="s">
        <v>2279</v>
      </c>
      <c r="G98" s="2">
        <v>12</v>
      </c>
      <c r="H98" s="2" t="s">
        <v>2230</v>
      </c>
      <c r="I98" s="3">
        <v>45646</v>
      </c>
      <c r="J98" s="2" t="s">
        <v>1785</v>
      </c>
      <c r="K98" s="2"/>
      <c r="L98" s="2"/>
      <c r="M98" s="2" t="s">
        <v>2291</v>
      </c>
    </row>
    <row r="99" spans="1:13" x14ac:dyDescent="0.25">
      <c r="A99" s="3" t="s">
        <v>2225</v>
      </c>
      <c r="B99" s="3">
        <v>43732</v>
      </c>
      <c r="C99" s="2" t="s">
        <v>59</v>
      </c>
      <c r="D99" s="2">
        <v>5</v>
      </c>
      <c r="E99" s="2" t="s">
        <v>2232</v>
      </c>
      <c r="F99" s="2" t="s">
        <v>2280</v>
      </c>
      <c r="G99" s="2">
        <v>7</v>
      </c>
      <c r="H99" s="2" t="s">
        <v>2230</v>
      </c>
      <c r="I99" s="3">
        <v>45646</v>
      </c>
      <c r="J99" s="2" t="s">
        <v>1785</v>
      </c>
      <c r="K99" s="2"/>
      <c r="L99" s="2"/>
      <c r="M99" s="2" t="s">
        <v>2291</v>
      </c>
    </row>
    <row r="100" spans="1:13" x14ac:dyDescent="0.25">
      <c r="A100" s="3" t="s">
        <v>2225</v>
      </c>
      <c r="B100" s="3">
        <v>43732</v>
      </c>
      <c r="C100" s="2" t="s">
        <v>59</v>
      </c>
      <c r="D100" s="2">
        <v>5</v>
      </c>
      <c r="E100" s="2" t="s">
        <v>2232</v>
      </c>
      <c r="F100" s="2" t="s">
        <v>2281</v>
      </c>
      <c r="G100" s="2">
        <v>6</v>
      </c>
      <c r="H100" s="2" t="s">
        <v>2230</v>
      </c>
      <c r="I100" s="3">
        <v>45646</v>
      </c>
      <c r="J100" s="2" t="s">
        <v>1785</v>
      </c>
      <c r="K100" s="2"/>
      <c r="L100" s="2"/>
      <c r="M100" s="2" t="s">
        <v>2291</v>
      </c>
    </row>
    <row r="101" spans="1:13" x14ac:dyDescent="0.25">
      <c r="A101" s="3" t="s">
        <v>2225</v>
      </c>
      <c r="B101" s="3">
        <v>43732</v>
      </c>
      <c r="C101" s="2" t="s">
        <v>59</v>
      </c>
      <c r="D101" s="2">
        <v>5</v>
      </c>
      <c r="E101" s="2" t="s">
        <v>2232</v>
      </c>
      <c r="F101" s="2" t="s">
        <v>2282</v>
      </c>
      <c r="G101" s="2">
        <v>38</v>
      </c>
      <c r="H101" s="2" t="s">
        <v>2230</v>
      </c>
      <c r="I101" s="3">
        <v>45646</v>
      </c>
      <c r="J101" s="2" t="s">
        <v>1785</v>
      </c>
      <c r="K101" s="2"/>
      <c r="L101" s="2"/>
      <c r="M101" s="2" t="s">
        <v>2291</v>
      </c>
    </row>
    <row r="102" spans="1:13" x14ac:dyDescent="0.25">
      <c r="A102" s="3" t="s">
        <v>2225</v>
      </c>
      <c r="B102" s="3">
        <v>43732</v>
      </c>
      <c r="C102" s="2" t="s">
        <v>59</v>
      </c>
      <c r="D102" s="2">
        <v>5</v>
      </c>
      <c r="E102" s="2" t="s">
        <v>2232</v>
      </c>
      <c r="F102" s="2" t="s">
        <v>2283</v>
      </c>
      <c r="G102" s="2">
        <v>43</v>
      </c>
      <c r="H102" s="2" t="s">
        <v>2230</v>
      </c>
      <c r="I102" s="3">
        <v>45646</v>
      </c>
      <c r="J102" s="2" t="s">
        <v>1785</v>
      </c>
      <c r="K102" s="2"/>
      <c r="L102" s="2"/>
      <c r="M102" s="2" t="s">
        <v>2291</v>
      </c>
    </row>
    <row r="103" spans="1:13" x14ac:dyDescent="0.25">
      <c r="A103" s="3" t="s">
        <v>2225</v>
      </c>
      <c r="B103" s="3">
        <v>43732</v>
      </c>
      <c r="C103" s="2" t="s">
        <v>59</v>
      </c>
      <c r="D103" s="2">
        <v>5</v>
      </c>
      <c r="E103" s="2" t="s">
        <v>2232</v>
      </c>
      <c r="F103" s="2" t="s">
        <v>2284</v>
      </c>
      <c r="G103" s="2">
        <v>28</v>
      </c>
      <c r="H103" s="2" t="s">
        <v>2230</v>
      </c>
      <c r="I103" s="3">
        <v>45646</v>
      </c>
      <c r="J103" s="2" t="s">
        <v>1785</v>
      </c>
      <c r="K103" s="2"/>
      <c r="L103" s="2"/>
      <c r="M103" s="2" t="s">
        <v>2291</v>
      </c>
    </row>
    <row r="104" spans="1:13" x14ac:dyDescent="0.25">
      <c r="A104" s="3" t="s">
        <v>2225</v>
      </c>
      <c r="B104" s="3">
        <v>43732</v>
      </c>
      <c r="C104" s="2" t="s">
        <v>59</v>
      </c>
      <c r="D104" s="2">
        <v>5</v>
      </c>
      <c r="E104" s="2" t="s">
        <v>2232</v>
      </c>
      <c r="F104" s="2" t="s">
        <v>2285</v>
      </c>
      <c r="G104" s="2">
        <v>65</v>
      </c>
      <c r="H104" s="2" t="s">
        <v>2230</v>
      </c>
      <c r="I104" s="3">
        <v>45646</v>
      </c>
      <c r="J104" s="2" t="s">
        <v>1785</v>
      </c>
      <c r="K104" s="2"/>
      <c r="L104" s="2"/>
      <c r="M104" s="2" t="s">
        <v>2291</v>
      </c>
    </row>
    <row r="105" spans="1:13" x14ac:dyDescent="0.25">
      <c r="A105" s="3" t="s">
        <v>2225</v>
      </c>
      <c r="B105" s="3">
        <v>43732</v>
      </c>
      <c r="C105" s="2" t="s">
        <v>59</v>
      </c>
      <c r="D105" s="2">
        <v>5</v>
      </c>
      <c r="E105" s="2" t="s">
        <v>2232</v>
      </c>
      <c r="F105" s="2" t="s">
        <v>2286</v>
      </c>
      <c r="G105" s="2">
        <v>26</v>
      </c>
      <c r="H105" s="2" t="s">
        <v>2230</v>
      </c>
      <c r="I105" s="3">
        <v>45646</v>
      </c>
      <c r="J105" s="2" t="s">
        <v>1785</v>
      </c>
      <c r="K105" s="2"/>
      <c r="L105" s="2"/>
      <c r="M105" s="2" t="s">
        <v>2291</v>
      </c>
    </row>
    <row r="106" spans="1:13" x14ac:dyDescent="0.25">
      <c r="A106" s="3" t="s">
        <v>2225</v>
      </c>
      <c r="B106" s="3">
        <v>43732</v>
      </c>
      <c r="C106" s="2" t="s">
        <v>59</v>
      </c>
      <c r="D106" s="2">
        <v>5</v>
      </c>
      <c r="E106" s="2" t="s">
        <v>2232</v>
      </c>
      <c r="F106" s="2" t="s">
        <v>2287</v>
      </c>
      <c r="G106" s="2">
        <v>24</v>
      </c>
      <c r="H106" s="2" t="s">
        <v>2230</v>
      </c>
      <c r="I106" s="3">
        <v>45646</v>
      </c>
      <c r="J106" s="2" t="s">
        <v>1785</v>
      </c>
      <c r="K106" s="2"/>
      <c r="L106" s="2"/>
      <c r="M106" s="2" t="s">
        <v>2291</v>
      </c>
    </row>
    <row r="107" spans="1:13" x14ac:dyDescent="0.25">
      <c r="A107" s="3" t="s">
        <v>2225</v>
      </c>
      <c r="B107" s="3">
        <v>43732</v>
      </c>
      <c r="C107" s="2" t="s">
        <v>59</v>
      </c>
      <c r="D107" s="2">
        <v>5</v>
      </c>
      <c r="E107" s="2" t="s">
        <v>2232</v>
      </c>
      <c r="F107" s="2" t="s">
        <v>2288</v>
      </c>
      <c r="G107" s="2">
        <v>20</v>
      </c>
      <c r="H107" s="2" t="s">
        <v>2230</v>
      </c>
      <c r="I107" s="3">
        <v>45646</v>
      </c>
      <c r="J107" s="2" t="s">
        <v>1785</v>
      </c>
      <c r="K107" s="2"/>
      <c r="L107" s="2"/>
      <c r="M107" s="2" t="s">
        <v>2291</v>
      </c>
    </row>
    <row r="108" spans="1:13" x14ac:dyDescent="0.25">
      <c r="A108" s="3" t="s">
        <v>2225</v>
      </c>
      <c r="B108" s="3">
        <v>43732</v>
      </c>
      <c r="C108" s="2" t="s">
        <v>59</v>
      </c>
      <c r="D108" s="2">
        <v>5</v>
      </c>
      <c r="E108" s="2" t="s">
        <v>2232</v>
      </c>
      <c r="F108" s="2" t="s">
        <v>2289</v>
      </c>
      <c r="G108" s="2">
        <v>26</v>
      </c>
      <c r="H108" s="2" t="s">
        <v>2230</v>
      </c>
      <c r="I108" s="3">
        <v>45646</v>
      </c>
      <c r="J108" s="2" t="s">
        <v>1785</v>
      </c>
      <c r="K108" s="2"/>
      <c r="L108" s="2"/>
      <c r="M108" s="2" t="s">
        <v>2291</v>
      </c>
    </row>
    <row r="109" spans="1:13" x14ac:dyDescent="0.25">
      <c r="A109" s="3" t="s">
        <v>2225</v>
      </c>
      <c r="B109" s="3">
        <v>43732</v>
      </c>
      <c r="C109" s="2" t="s">
        <v>59</v>
      </c>
      <c r="D109" s="2">
        <v>5</v>
      </c>
      <c r="E109" s="2" t="s">
        <v>2233</v>
      </c>
      <c r="F109" s="2" t="s">
        <v>2246</v>
      </c>
      <c r="G109" s="2">
        <v>27</v>
      </c>
      <c r="H109" s="2" t="s">
        <v>2230</v>
      </c>
      <c r="I109" s="3">
        <v>45646</v>
      </c>
      <c r="J109" s="2" t="s">
        <v>1785</v>
      </c>
      <c r="K109" s="2"/>
      <c r="L109" s="2"/>
      <c r="M109" s="2" t="s">
        <v>2291</v>
      </c>
    </row>
    <row r="110" spans="1:13" x14ac:dyDescent="0.25">
      <c r="A110" s="3" t="s">
        <v>2225</v>
      </c>
      <c r="B110" s="3">
        <v>43732</v>
      </c>
      <c r="C110" s="2" t="s">
        <v>59</v>
      </c>
      <c r="D110" s="2">
        <v>5</v>
      </c>
      <c r="E110" s="2" t="s">
        <v>2233</v>
      </c>
      <c r="F110" s="2" t="s">
        <v>2247</v>
      </c>
      <c r="G110" s="2">
        <v>25</v>
      </c>
      <c r="H110" s="2" t="s">
        <v>2230</v>
      </c>
      <c r="I110" s="3">
        <v>45646</v>
      </c>
      <c r="J110" s="2" t="s">
        <v>1785</v>
      </c>
      <c r="K110" s="2"/>
      <c r="L110" s="2"/>
      <c r="M110" s="2" t="s">
        <v>2291</v>
      </c>
    </row>
    <row r="111" spans="1:13" x14ac:dyDescent="0.25">
      <c r="A111" s="3" t="s">
        <v>2225</v>
      </c>
      <c r="B111" s="3">
        <v>43732</v>
      </c>
      <c r="C111" s="2" t="s">
        <v>59</v>
      </c>
      <c r="D111" s="2">
        <v>5</v>
      </c>
      <c r="E111" s="2" t="s">
        <v>2233</v>
      </c>
      <c r="F111" s="2" t="s">
        <v>2248</v>
      </c>
      <c r="G111" s="2">
        <v>10</v>
      </c>
      <c r="H111" s="2" t="s">
        <v>2230</v>
      </c>
      <c r="I111" s="3">
        <v>45646</v>
      </c>
      <c r="J111" s="2" t="s">
        <v>1785</v>
      </c>
      <c r="K111" s="2"/>
      <c r="L111" s="2"/>
      <c r="M111" s="2" t="s">
        <v>2291</v>
      </c>
    </row>
    <row r="112" spans="1:13" x14ac:dyDescent="0.25">
      <c r="A112" s="3" t="s">
        <v>2225</v>
      </c>
      <c r="B112" s="3">
        <v>43732</v>
      </c>
      <c r="C112" s="2" t="s">
        <v>59</v>
      </c>
      <c r="D112" s="2">
        <v>5</v>
      </c>
      <c r="E112" s="2" t="s">
        <v>2233</v>
      </c>
      <c r="F112" s="2" t="s">
        <v>2249</v>
      </c>
      <c r="G112" s="2">
        <v>22</v>
      </c>
      <c r="H112" s="2" t="s">
        <v>2230</v>
      </c>
      <c r="I112" s="3">
        <v>45646</v>
      </c>
      <c r="J112" s="2" t="s">
        <v>1785</v>
      </c>
      <c r="K112" s="2"/>
      <c r="L112" s="2"/>
      <c r="M112" s="2" t="s">
        <v>2291</v>
      </c>
    </row>
    <row r="113" spans="1:13" x14ac:dyDescent="0.25">
      <c r="A113" s="3" t="s">
        <v>2225</v>
      </c>
      <c r="B113" s="3">
        <v>43732</v>
      </c>
      <c r="C113" s="2" t="s">
        <v>59</v>
      </c>
      <c r="D113" s="2">
        <v>5</v>
      </c>
      <c r="E113" s="2" t="s">
        <v>2233</v>
      </c>
      <c r="F113" s="2" t="s">
        <v>2250</v>
      </c>
      <c r="G113" s="2">
        <v>7</v>
      </c>
      <c r="H113" s="2" t="s">
        <v>2230</v>
      </c>
      <c r="I113" s="3">
        <v>45646</v>
      </c>
      <c r="J113" s="2" t="s">
        <v>1785</v>
      </c>
      <c r="K113" s="2"/>
      <c r="L113" s="2"/>
      <c r="M113" s="2" t="s">
        <v>2291</v>
      </c>
    </row>
    <row r="114" spans="1:13" x14ac:dyDescent="0.25">
      <c r="A114" s="3" t="s">
        <v>2225</v>
      </c>
      <c r="B114" s="3">
        <v>43732</v>
      </c>
      <c r="C114" s="2" t="s">
        <v>59</v>
      </c>
      <c r="D114" s="2">
        <v>5</v>
      </c>
      <c r="E114" s="2" t="s">
        <v>2233</v>
      </c>
      <c r="F114" s="2" t="s">
        <v>2251</v>
      </c>
      <c r="G114" s="2">
        <v>45</v>
      </c>
      <c r="H114" s="2" t="s">
        <v>2230</v>
      </c>
      <c r="I114" s="3">
        <v>45646</v>
      </c>
      <c r="J114" s="2" t="s">
        <v>1785</v>
      </c>
      <c r="K114" s="2"/>
      <c r="L114" s="2"/>
      <c r="M114" s="2" t="s">
        <v>2291</v>
      </c>
    </row>
    <row r="115" spans="1:13" x14ac:dyDescent="0.25">
      <c r="A115" s="3" t="s">
        <v>2225</v>
      </c>
      <c r="B115" s="3">
        <v>43732</v>
      </c>
      <c r="C115" s="2" t="s">
        <v>59</v>
      </c>
      <c r="D115" s="2">
        <v>5</v>
      </c>
      <c r="E115" s="2" t="s">
        <v>2233</v>
      </c>
      <c r="F115" s="2" t="s">
        <v>2252</v>
      </c>
      <c r="G115" s="2">
        <v>28</v>
      </c>
      <c r="H115" s="2" t="s">
        <v>2230</v>
      </c>
      <c r="I115" s="3">
        <v>45646</v>
      </c>
      <c r="J115" s="2" t="s">
        <v>1785</v>
      </c>
      <c r="K115" s="2"/>
      <c r="L115" s="2"/>
      <c r="M115" s="2" t="s">
        <v>2291</v>
      </c>
    </row>
    <row r="116" spans="1:13" x14ac:dyDescent="0.25">
      <c r="A116" s="3" t="s">
        <v>2225</v>
      </c>
      <c r="B116" s="3">
        <v>43732</v>
      </c>
      <c r="C116" s="2" t="s">
        <v>59</v>
      </c>
      <c r="D116" s="2">
        <v>5</v>
      </c>
      <c r="E116" s="2" t="s">
        <v>2233</v>
      </c>
      <c r="F116" s="2" t="s">
        <v>2253</v>
      </c>
      <c r="G116" s="2">
        <v>18</v>
      </c>
      <c r="H116" s="2" t="s">
        <v>2230</v>
      </c>
      <c r="I116" s="3">
        <v>45646</v>
      </c>
      <c r="J116" s="2" t="s">
        <v>1785</v>
      </c>
      <c r="K116" s="2"/>
      <c r="L116" s="2"/>
      <c r="M116" s="2" t="s">
        <v>2291</v>
      </c>
    </row>
    <row r="117" spans="1:13" x14ac:dyDescent="0.25">
      <c r="A117" s="3" t="s">
        <v>2225</v>
      </c>
      <c r="B117" s="3">
        <v>43732</v>
      </c>
      <c r="C117" s="2" t="s">
        <v>59</v>
      </c>
      <c r="D117" s="2">
        <v>5</v>
      </c>
      <c r="E117" s="2" t="s">
        <v>2233</v>
      </c>
      <c r="F117" s="2" t="s">
        <v>2254</v>
      </c>
      <c r="G117" s="2">
        <v>35</v>
      </c>
      <c r="H117" s="2" t="s">
        <v>2230</v>
      </c>
      <c r="I117" s="3">
        <v>45646</v>
      </c>
      <c r="J117" s="2" t="s">
        <v>1785</v>
      </c>
      <c r="K117" s="2"/>
      <c r="L117" s="2"/>
      <c r="M117" s="2" t="s">
        <v>2291</v>
      </c>
    </row>
    <row r="118" spans="1:13" x14ac:dyDescent="0.25">
      <c r="A118" s="3" t="s">
        <v>2225</v>
      </c>
      <c r="B118" s="3">
        <v>43732</v>
      </c>
      <c r="C118" s="2" t="s">
        <v>59</v>
      </c>
      <c r="D118" s="2">
        <v>5</v>
      </c>
      <c r="E118" s="2" t="s">
        <v>2233</v>
      </c>
      <c r="F118" s="2" t="s">
        <v>2240</v>
      </c>
      <c r="G118" s="2">
        <v>32</v>
      </c>
      <c r="H118" s="2" t="s">
        <v>2230</v>
      </c>
      <c r="I118" s="3">
        <v>45646</v>
      </c>
      <c r="J118" s="2" t="s">
        <v>1785</v>
      </c>
      <c r="K118" s="2"/>
      <c r="L118" s="2"/>
      <c r="M118" s="2" t="s">
        <v>2291</v>
      </c>
    </row>
    <row r="119" spans="1:13" x14ac:dyDescent="0.25">
      <c r="A119" s="3" t="s">
        <v>2225</v>
      </c>
      <c r="B119" s="3">
        <v>43732</v>
      </c>
      <c r="C119" s="2" t="s">
        <v>59</v>
      </c>
      <c r="D119" s="2">
        <v>5</v>
      </c>
      <c r="E119" s="2" t="s">
        <v>2233</v>
      </c>
      <c r="F119" s="2" t="s">
        <v>2241</v>
      </c>
      <c r="G119" s="2">
        <v>45</v>
      </c>
      <c r="H119" s="2" t="s">
        <v>2230</v>
      </c>
      <c r="I119" s="3">
        <v>45646</v>
      </c>
      <c r="J119" s="2" t="s">
        <v>1785</v>
      </c>
      <c r="K119" s="2"/>
      <c r="L119" s="2"/>
      <c r="M119" s="2" t="s">
        <v>2291</v>
      </c>
    </row>
    <row r="120" spans="1:13" x14ac:dyDescent="0.25">
      <c r="A120" s="3" t="s">
        <v>2225</v>
      </c>
      <c r="B120" s="3">
        <v>43732</v>
      </c>
      <c r="C120" s="2" t="s">
        <v>59</v>
      </c>
      <c r="D120" s="2">
        <v>5</v>
      </c>
      <c r="E120" s="2" t="s">
        <v>2233</v>
      </c>
      <c r="F120" s="2" t="s">
        <v>2242</v>
      </c>
      <c r="G120" s="2">
        <v>12</v>
      </c>
      <c r="H120" s="2" t="s">
        <v>2230</v>
      </c>
      <c r="I120" s="3">
        <v>45646</v>
      </c>
      <c r="J120" s="2" t="s">
        <v>1785</v>
      </c>
      <c r="K120" s="2"/>
      <c r="L120" s="2"/>
      <c r="M120" s="2" t="s">
        <v>2291</v>
      </c>
    </row>
    <row r="121" spans="1:13" x14ac:dyDescent="0.25">
      <c r="A121" s="3" t="s">
        <v>2225</v>
      </c>
      <c r="B121" s="3">
        <v>43732</v>
      </c>
      <c r="C121" s="2" t="s">
        <v>59</v>
      </c>
      <c r="D121" s="2">
        <v>5</v>
      </c>
      <c r="E121" s="2" t="s">
        <v>2233</v>
      </c>
      <c r="F121" s="2" t="s">
        <v>2243</v>
      </c>
      <c r="G121" s="2">
        <v>9</v>
      </c>
      <c r="H121" s="2" t="s">
        <v>2230</v>
      </c>
      <c r="I121" s="3">
        <v>45646</v>
      </c>
      <c r="J121" s="2" t="s">
        <v>1785</v>
      </c>
      <c r="K121" s="2"/>
      <c r="L121" s="2"/>
      <c r="M121" s="2" t="s">
        <v>2291</v>
      </c>
    </row>
    <row r="122" spans="1:13" x14ac:dyDescent="0.25">
      <c r="A122" s="3" t="s">
        <v>2225</v>
      </c>
      <c r="B122" s="3">
        <v>43732</v>
      </c>
      <c r="C122" s="2" t="s">
        <v>59</v>
      </c>
      <c r="D122" s="2">
        <v>5</v>
      </c>
      <c r="E122" s="2" t="s">
        <v>2233</v>
      </c>
      <c r="F122" s="2" t="s">
        <v>2244</v>
      </c>
      <c r="G122" s="2">
        <v>35</v>
      </c>
      <c r="H122" s="2" t="s">
        <v>2230</v>
      </c>
      <c r="I122" s="3">
        <v>45646</v>
      </c>
      <c r="J122" s="2" t="s">
        <v>1785</v>
      </c>
      <c r="K122" s="2"/>
      <c r="L122" s="2"/>
      <c r="M122" s="2" t="s">
        <v>2291</v>
      </c>
    </row>
    <row r="123" spans="1:13" x14ac:dyDescent="0.25">
      <c r="A123" s="3" t="s">
        <v>2225</v>
      </c>
      <c r="B123" s="3">
        <v>43732</v>
      </c>
      <c r="C123" s="2" t="s">
        <v>59</v>
      </c>
      <c r="D123" s="2">
        <v>5</v>
      </c>
      <c r="E123" s="2" t="s">
        <v>2233</v>
      </c>
      <c r="F123" s="2" t="s">
        <v>2245</v>
      </c>
      <c r="G123" s="2">
        <v>36</v>
      </c>
      <c r="H123" s="2" t="s">
        <v>2230</v>
      </c>
      <c r="I123" s="3">
        <v>45646</v>
      </c>
      <c r="J123" s="2" t="s">
        <v>1785</v>
      </c>
      <c r="K123" s="2"/>
      <c r="L123" s="2"/>
      <c r="M123" s="2" t="s">
        <v>2291</v>
      </c>
    </row>
    <row r="124" spans="1:13" x14ac:dyDescent="0.25">
      <c r="A124" s="3" t="s">
        <v>2225</v>
      </c>
      <c r="B124" s="3">
        <v>43732</v>
      </c>
      <c r="C124" s="2" t="s">
        <v>59</v>
      </c>
      <c r="D124" s="2">
        <v>5</v>
      </c>
      <c r="E124" s="2" t="s">
        <v>2233</v>
      </c>
      <c r="F124" s="2" t="s">
        <v>2255</v>
      </c>
      <c r="G124" s="2">
        <v>21</v>
      </c>
      <c r="H124" s="2" t="s">
        <v>2230</v>
      </c>
      <c r="I124" s="3">
        <v>45646</v>
      </c>
      <c r="J124" s="2" t="s">
        <v>1785</v>
      </c>
      <c r="K124" s="2"/>
      <c r="L124" s="2"/>
      <c r="M124" s="2" t="s">
        <v>2291</v>
      </c>
    </row>
    <row r="125" spans="1:13" x14ac:dyDescent="0.25">
      <c r="A125" s="3" t="s">
        <v>2225</v>
      </c>
      <c r="B125" s="3">
        <v>43732</v>
      </c>
      <c r="C125" s="2" t="s">
        <v>59</v>
      </c>
      <c r="D125" s="2">
        <v>5</v>
      </c>
      <c r="E125" s="2" t="s">
        <v>2233</v>
      </c>
      <c r="F125" s="2" t="s">
        <v>2256</v>
      </c>
      <c r="G125" s="2">
        <v>31</v>
      </c>
      <c r="H125" s="2" t="s">
        <v>2230</v>
      </c>
      <c r="I125" s="3">
        <v>45646</v>
      </c>
      <c r="J125" s="2" t="s">
        <v>1785</v>
      </c>
      <c r="K125" s="2"/>
      <c r="L125" s="2"/>
      <c r="M125" s="2" t="s">
        <v>2291</v>
      </c>
    </row>
    <row r="126" spans="1:13" x14ac:dyDescent="0.25">
      <c r="A126" s="3" t="s">
        <v>2225</v>
      </c>
      <c r="B126" s="3">
        <v>43732</v>
      </c>
      <c r="C126" s="2" t="s">
        <v>59</v>
      </c>
      <c r="D126" s="2">
        <v>5</v>
      </c>
      <c r="E126" s="2" t="s">
        <v>2233</v>
      </c>
      <c r="F126" s="2" t="s">
        <v>2257</v>
      </c>
      <c r="G126" s="2">
        <v>13</v>
      </c>
      <c r="H126" s="2" t="s">
        <v>2230</v>
      </c>
      <c r="I126" s="3">
        <v>45646</v>
      </c>
      <c r="J126" s="2" t="s">
        <v>1785</v>
      </c>
      <c r="K126" s="2"/>
      <c r="L126" s="2"/>
      <c r="M126" s="2" t="s">
        <v>2291</v>
      </c>
    </row>
    <row r="127" spans="1:13" x14ac:dyDescent="0.25">
      <c r="A127" s="3" t="s">
        <v>2225</v>
      </c>
      <c r="B127" s="3">
        <v>43732</v>
      </c>
      <c r="C127" s="2" t="s">
        <v>59</v>
      </c>
      <c r="D127" s="2">
        <v>5</v>
      </c>
      <c r="E127" s="2" t="s">
        <v>2233</v>
      </c>
      <c r="F127" s="2" t="s">
        <v>2258</v>
      </c>
      <c r="G127" s="2">
        <v>25</v>
      </c>
      <c r="H127" s="2" t="s">
        <v>2230</v>
      </c>
      <c r="I127" s="3">
        <v>45646</v>
      </c>
      <c r="J127" s="2" t="s">
        <v>1785</v>
      </c>
      <c r="K127" s="2"/>
      <c r="L127" s="2"/>
      <c r="M127" s="2" t="s">
        <v>2291</v>
      </c>
    </row>
    <row r="128" spans="1:13" x14ac:dyDescent="0.25">
      <c r="A128" s="3" t="s">
        <v>2225</v>
      </c>
      <c r="B128" s="3">
        <v>43732</v>
      </c>
      <c r="C128" s="2" t="s">
        <v>59</v>
      </c>
      <c r="D128" s="2">
        <v>5</v>
      </c>
      <c r="E128" s="2" t="s">
        <v>2233</v>
      </c>
      <c r="F128" s="2" t="s">
        <v>2259</v>
      </c>
      <c r="G128" s="2">
        <v>12</v>
      </c>
      <c r="H128" s="2" t="s">
        <v>2230</v>
      </c>
      <c r="I128" s="3">
        <v>45646</v>
      </c>
      <c r="J128" s="2" t="s">
        <v>1785</v>
      </c>
      <c r="K128" s="2"/>
      <c r="L128" s="2"/>
      <c r="M128" s="2" t="s">
        <v>2291</v>
      </c>
    </row>
    <row r="129" spans="1:13" x14ac:dyDescent="0.25">
      <c r="A129" s="3" t="s">
        <v>2225</v>
      </c>
      <c r="B129" s="3">
        <v>43732</v>
      </c>
      <c r="C129" s="2" t="s">
        <v>59</v>
      </c>
      <c r="D129" s="2">
        <v>5</v>
      </c>
      <c r="E129" s="2" t="s">
        <v>2233</v>
      </c>
      <c r="F129" s="2" t="s">
        <v>2260</v>
      </c>
      <c r="G129" s="2">
        <v>16</v>
      </c>
      <c r="H129" s="2" t="s">
        <v>2230</v>
      </c>
      <c r="I129" s="3">
        <v>45646</v>
      </c>
      <c r="J129" s="2" t="s">
        <v>1785</v>
      </c>
      <c r="K129" s="2"/>
      <c r="L129" s="2"/>
      <c r="M129" s="2" t="s">
        <v>2291</v>
      </c>
    </row>
    <row r="130" spans="1:13" x14ac:dyDescent="0.25">
      <c r="A130" s="3" t="s">
        <v>2225</v>
      </c>
      <c r="B130" s="3">
        <v>43732</v>
      </c>
      <c r="C130" s="2" t="s">
        <v>59</v>
      </c>
      <c r="D130" s="2">
        <v>5</v>
      </c>
      <c r="E130" s="2" t="s">
        <v>2233</v>
      </c>
      <c r="F130" s="2" t="s">
        <v>2261</v>
      </c>
      <c r="G130" s="2">
        <v>11</v>
      </c>
      <c r="H130" s="2" t="s">
        <v>2230</v>
      </c>
      <c r="I130" s="3">
        <v>45646</v>
      </c>
      <c r="J130" s="2" t="s">
        <v>1785</v>
      </c>
      <c r="K130" s="2"/>
      <c r="L130" s="2"/>
      <c r="M130" s="2" t="s">
        <v>2291</v>
      </c>
    </row>
    <row r="131" spans="1:13" x14ac:dyDescent="0.25">
      <c r="A131" s="3" t="s">
        <v>2225</v>
      </c>
      <c r="B131" s="3">
        <v>43732</v>
      </c>
      <c r="C131" s="2" t="s">
        <v>59</v>
      </c>
      <c r="D131" s="2">
        <v>5</v>
      </c>
      <c r="E131" s="2" t="s">
        <v>2233</v>
      </c>
      <c r="F131" s="2" t="s">
        <v>2262</v>
      </c>
      <c r="G131" s="2">
        <v>7</v>
      </c>
      <c r="H131" s="2" t="s">
        <v>2230</v>
      </c>
      <c r="I131" s="3">
        <v>45646</v>
      </c>
      <c r="J131" s="2" t="s">
        <v>1785</v>
      </c>
      <c r="K131" s="2"/>
      <c r="L131" s="2"/>
      <c r="M131" s="2" t="s">
        <v>2291</v>
      </c>
    </row>
    <row r="132" spans="1:13" x14ac:dyDescent="0.25">
      <c r="A132" s="3" t="s">
        <v>2225</v>
      </c>
      <c r="B132" s="3">
        <v>43732</v>
      </c>
      <c r="C132" s="2" t="s">
        <v>59</v>
      </c>
      <c r="D132" s="2">
        <v>5</v>
      </c>
      <c r="E132" s="2" t="s">
        <v>2233</v>
      </c>
      <c r="F132" s="2" t="s">
        <v>2263</v>
      </c>
      <c r="G132" s="2">
        <v>5</v>
      </c>
      <c r="H132" s="2" t="s">
        <v>2230</v>
      </c>
      <c r="I132" s="3">
        <v>45646</v>
      </c>
      <c r="J132" s="2" t="s">
        <v>1785</v>
      </c>
      <c r="K132" s="2"/>
      <c r="L132" s="2"/>
      <c r="M132" s="2" t="s">
        <v>2291</v>
      </c>
    </row>
    <row r="133" spans="1:13" x14ac:dyDescent="0.25">
      <c r="A133" s="3" t="s">
        <v>2225</v>
      </c>
      <c r="B133" s="3">
        <v>43732</v>
      </c>
      <c r="C133" s="2" t="s">
        <v>59</v>
      </c>
      <c r="D133" s="2">
        <v>5</v>
      </c>
      <c r="E133" s="2" t="s">
        <v>2233</v>
      </c>
      <c r="F133" s="2" t="s">
        <v>2264</v>
      </c>
      <c r="G133" s="2">
        <v>13</v>
      </c>
      <c r="H133" s="2" t="s">
        <v>2230</v>
      </c>
      <c r="I133" s="3">
        <v>45646</v>
      </c>
      <c r="J133" s="2" t="s">
        <v>1785</v>
      </c>
      <c r="K133" s="2"/>
      <c r="L133" s="2"/>
      <c r="M133" s="2" t="s">
        <v>2291</v>
      </c>
    </row>
    <row r="134" spans="1:13" x14ac:dyDescent="0.25">
      <c r="A134" s="3" t="s">
        <v>2225</v>
      </c>
      <c r="B134" s="3">
        <v>43732</v>
      </c>
      <c r="C134" s="2" t="s">
        <v>59</v>
      </c>
      <c r="D134" s="2">
        <v>5</v>
      </c>
      <c r="E134" s="2" t="s">
        <v>2233</v>
      </c>
      <c r="F134" s="2" t="s">
        <v>2265</v>
      </c>
      <c r="G134" s="2">
        <v>10</v>
      </c>
      <c r="H134" s="2" t="s">
        <v>2230</v>
      </c>
      <c r="I134" s="3">
        <v>45646</v>
      </c>
      <c r="J134" s="2" t="s">
        <v>1785</v>
      </c>
      <c r="K134" s="2"/>
      <c r="L134" s="2"/>
      <c r="M134" s="2" t="s">
        <v>2291</v>
      </c>
    </row>
    <row r="135" spans="1:13" x14ac:dyDescent="0.25">
      <c r="A135" s="3" t="s">
        <v>2225</v>
      </c>
      <c r="B135" s="3">
        <v>43732</v>
      </c>
      <c r="C135" s="2" t="s">
        <v>59</v>
      </c>
      <c r="D135" s="2">
        <v>5</v>
      </c>
      <c r="E135" s="2" t="s">
        <v>2233</v>
      </c>
      <c r="F135" s="2" t="s">
        <v>2266</v>
      </c>
      <c r="G135" s="2">
        <v>32</v>
      </c>
      <c r="H135" s="2" t="s">
        <v>2230</v>
      </c>
      <c r="I135" s="3">
        <v>45646</v>
      </c>
      <c r="J135" s="2" t="s">
        <v>1785</v>
      </c>
      <c r="K135" s="2"/>
      <c r="L135" s="2"/>
      <c r="M135" s="2" t="s">
        <v>2291</v>
      </c>
    </row>
    <row r="136" spans="1:13" x14ac:dyDescent="0.25">
      <c r="A136" s="3" t="s">
        <v>2225</v>
      </c>
      <c r="B136" s="3">
        <v>43732</v>
      </c>
      <c r="C136" s="2" t="s">
        <v>59</v>
      </c>
      <c r="D136" s="2">
        <v>5</v>
      </c>
      <c r="E136" s="2" t="s">
        <v>2233</v>
      </c>
      <c r="F136" s="2" t="s">
        <v>2267</v>
      </c>
      <c r="G136" s="2">
        <v>20</v>
      </c>
      <c r="H136" s="2" t="s">
        <v>2230</v>
      </c>
      <c r="I136" s="3">
        <v>45646</v>
      </c>
      <c r="J136" s="2" t="s">
        <v>1785</v>
      </c>
      <c r="K136" s="2"/>
      <c r="L136" s="2"/>
      <c r="M136" s="2" t="s">
        <v>2291</v>
      </c>
    </row>
    <row r="137" spans="1:13" x14ac:dyDescent="0.25">
      <c r="A137" s="3" t="s">
        <v>2225</v>
      </c>
      <c r="B137" s="3">
        <v>43732</v>
      </c>
      <c r="C137" s="2" t="s">
        <v>59</v>
      </c>
      <c r="D137" s="2">
        <v>5</v>
      </c>
      <c r="E137" s="2" t="s">
        <v>2233</v>
      </c>
      <c r="F137" s="2" t="s">
        <v>2268</v>
      </c>
      <c r="G137" s="2">
        <v>12</v>
      </c>
      <c r="H137" s="2" t="s">
        <v>2230</v>
      </c>
      <c r="I137" s="3">
        <v>45646</v>
      </c>
      <c r="J137" s="2" t="s">
        <v>1785</v>
      </c>
      <c r="K137" s="2"/>
      <c r="L137" s="2"/>
      <c r="M137" s="2" t="s">
        <v>2291</v>
      </c>
    </row>
    <row r="138" spans="1:13" x14ac:dyDescent="0.25">
      <c r="A138" s="3" t="s">
        <v>2225</v>
      </c>
      <c r="B138" s="3">
        <v>43732</v>
      </c>
      <c r="C138" s="2" t="s">
        <v>59</v>
      </c>
      <c r="D138" s="2">
        <v>5</v>
      </c>
      <c r="E138" s="2" t="s">
        <v>2233</v>
      </c>
      <c r="F138" s="2" t="s">
        <v>2269</v>
      </c>
      <c r="G138" s="2">
        <v>15</v>
      </c>
      <c r="H138" s="2" t="s">
        <v>2230</v>
      </c>
      <c r="I138" s="3">
        <v>45646</v>
      </c>
      <c r="J138" s="2" t="s">
        <v>1785</v>
      </c>
      <c r="K138" s="2"/>
      <c r="L138" s="2"/>
      <c r="M138" s="2" t="s">
        <v>2291</v>
      </c>
    </row>
    <row r="139" spans="1:13" x14ac:dyDescent="0.25">
      <c r="A139" s="3" t="s">
        <v>2225</v>
      </c>
      <c r="B139" s="3">
        <v>43732</v>
      </c>
      <c r="C139" s="2" t="s">
        <v>59</v>
      </c>
      <c r="D139" s="2">
        <v>5</v>
      </c>
      <c r="E139" s="2" t="s">
        <v>2233</v>
      </c>
      <c r="F139" s="2" t="s">
        <v>2270</v>
      </c>
      <c r="G139" s="2">
        <v>22</v>
      </c>
      <c r="H139" s="2" t="s">
        <v>2230</v>
      </c>
      <c r="I139" s="3">
        <v>45646</v>
      </c>
      <c r="J139" s="2" t="s">
        <v>1785</v>
      </c>
      <c r="K139" s="2"/>
      <c r="L139" s="2"/>
      <c r="M139" s="2" t="s">
        <v>2291</v>
      </c>
    </row>
    <row r="140" spans="1:13" x14ac:dyDescent="0.25">
      <c r="A140" s="3" t="s">
        <v>2225</v>
      </c>
      <c r="B140" s="3">
        <v>43732</v>
      </c>
      <c r="C140" s="2" t="s">
        <v>59</v>
      </c>
      <c r="D140" s="2">
        <v>5</v>
      </c>
      <c r="E140" s="2" t="s">
        <v>2233</v>
      </c>
      <c r="F140" s="2" t="s">
        <v>2271</v>
      </c>
      <c r="G140" s="2">
        <v>7</v>
      </c>
      <c r="H140" s="2" t="s">
        <v>2230</v>
      </c>
      <c r="I140" s="3">
        <v>45646</v>
      </c>
      <c r="J140" s="2" t="s">
        <v>1785</v>
      </c>
      <c r="K140" s="2"/>
      <c r="L140" s="2"/>
      <c r="M140" s="2" t="s">
        <v>2291</v>
      </c>
    </row>
    <row r="141" spans="1:13" x14ac:dyDescent="0.25">
      <c r="A141" s="3" t="s">
        <v>2225</v>
      </c>
      <c r="B141" s="3">
        <v>43732</v>
      </c>
      <c r="C141" s="2" t="s">
        <v>59</v>
      </c>
      <c r="D141" s="2">
        <v>5</v>
      </c>
      <c r="E141" s="2" t="s">
        <v>2233</v>
      </c>
      <c r="F141" s="2" t="s">
        <v>2272</v>
      </c>
      <c r="G141" s="2">
        <v>5</v>
      </c>
      <c r="H141" s="2" t="s">
        <v>2230</v>
      </c>
      <c r="I141" s="3">
        <v>45646</v>
      </c>
      <c r="J141" s="2" t="s">
        <v>1785</v>
      </c>
      <c r="K141" s="2"/>
      <c r="L141" s="2"/>
      <c r="M141" s="2" t="s">
        <v>2291</v>
      </c>
    </row>
    <row r="142" spans="1:13" x14ac:dyDescent="0.25">
      <c r="A142" s="3" t="s">
        <v>2225</v>
      </c>
      <c r="B142" s="3">
        <v>43732</v>
      </c>
      <c r="C142" s="2" t="s">
        <v>59</v>
      </c>
      <c r="D142" s="2">
        <v>5</v>
      </c>
      <c r="E142" s="2" t="s">
        <v>2233</v>
      </c>
      <c r="F142" s="2" t="s">
        <v>2273</v>
      </c>
      <c r="G142" s="2">
        <v>31</v>
      </c>
      <c r="H142" s="2" t="s">
        <v>2230</v>
      </c>
      <c r="I142" s="3">
        <v>45646</v>
      </c>
      <c r="J142" s="2" t="s">
        <v>1785</v>
      </c>
      <c r="K142" s="2"/>
      <c r="L142" s="2"/>
      <c r="M142" s="2" t="s">
        <v>2291</v>
      </c>
    </row>
    <row r="143" spans="1:13" x14ac:dyDescent="0.25">
      <c r="A143" s="3" t="s">
        <v>2225</v>
      </c>
      <c r="B143" s="3">
        <v>43732</v>
      </c>
      <c r="C143" s="2" t="s">
        <v>59</v>
      </c>
      <c r="D143" s="2">
        <v>5</v>
      </c>
      <c r="E143" s="2" t="s">
        <v>2233</v>
      </c>
      <c r="F143" s="2" t="s">
        <v>2274</v>
      </c>
      <c r="G143" s="2">
        <v>21</v>
      </c>
      <c r="H143" s="2" t="s">
        <v>2230</v>
      </c>
      <c r="I143" s="3">
        <v>45646</v>
      </c>
      <c r="J143" s="2" t="s">
        <v>1785</v>
      </c>
      <c r="K143" s="2"/>
      <c r="L143" s="2"/>
      <c r="M143" s="2" t="s">
        <v>2291</v>
      </c>
    </row>
    <row r="144" spans="1:13" x14ac:dyDescent="0.25">
      <c r="A144" s="3" t="s">
        <v>2225</v>
      </c>
      <c r="B144" s="3">
        <v>43732</v>
      </c>
      <c r="C144" s="2" t="s">
        <v>59</v>
      </c>
      <c r="D144" s="2">
        <v>5</v>
      </c>
      <c r="E144" s="2" t="s">
        <v>2233</v>
      </c>
      <c r="F144" s="2" t="s">
        <v>2275</v>
      </c>
      <c r="G144" s="2">
        <v>8</v>
      </c>
      <c r="H144" s="2" t="s">
        <v>2230</v>
      </c>
      <c r="I144" s="3">
        <v>45646</v>
      </c>
      <c r="J144" s="2" t="s">
        <v>1785</v>
      </c>
      <c r="K144" s="2"/>
      <c r="L144" s="2"/>
      <c r="M144" s="2" t="s">
        <v>2291</v>
      </c>
    </row>
    <row r="145" spans="1:13" x14ac:dyDescent="0.25">
      <c r="A145" s="3" t="s">
        <v>2225</v>
      </c>
      <c r="B145" s="3">
        <v>43732</v>
      </c>
      <c r="C145" s="2" t="s">
        <v>59</v>
      </c>
      <c r="D145" s="2">
        <v>5</v>
      </c>
      <c r="E145" s="2" t="s">
        <v>2233</v>
      </c>
      <c r="F145" s="2" t="s">
        <v>2276</v>
      </c>
      <c r="G145" s="2">
        <v>20</v>
      </c>
      <c r="H145" s="2" t="s">
        <v>2230</v>
      </c>
      <c r="I145" s="3">
        <v>45646</v>
      </c>
      <c r="J145" s="2" t="s">
        <v>1785</v>
      </c>
      <c r="K145" s="2"/>
      <c r="L145" s="2"/>
      <c r="M145" s="2" t="s">
        <v>2291</v>
      </c>
    </row>
    <row r="146" spans="1:13" x14ac:dyDescent="0.25">
      <c r="A146" s="3" t="s">
        <v>2225</v>
      </c>
      <c r="B146" s="3">
        <v>43732</v>
      </c>
      <c r="C146" s="2" t="s">
        <v>59</v>
      </c>
      <c r="D146" s="2">
        <v>5</v>
      </c>
      <c r="E146" s="2" t="s">
        <v>2233</v>
      </c>
      <c r="F146" s="2" t="s">
        <v>2277</v>
      </c>
      <c r="G146" s="2">
        <v>10</v>
      </c>
      <c r="H146" s="2" t="s">
        <v>2230</v>
      </c>
      <c r="I146" s="3">
        <v>45646</v>
      </c>
      <c r="J146" s="2" t="s">
        <v>1785</v>
      </c>
      <c r="K146" s="2"/>
      <c r="L146" s="2"/>
      <c r="M146" s="2" t="s">
        <v>2291</v>
      </c>
    </row>
    <row r="147" spans="1:13" x14ac:dyDescent="0.25">
      <c r="A147" s="3" t="s">
        <v>2225</v>
      </c>
      <c r="B147" s="3">
        <v>43732</v>
      </c>
      <c r="C147" s="2" t="s">
        <v>59</v>
      </c>
      <c r="D147" s="2">
        <v>5</v>
      </c>
      <c r="E147" s="2" t="s">
        <v>2233</v>
      </c>
      <c r="F147" s="2" t="s">
        <v>2278</v>
      </c>
      <c r="G147" s="2">
        <v>8</v>
      </c>
      <c r="H147" s="2" t="s">
        <v>2230</v>
      </c>
      <c r="I147" s="3">
        <v>45646</v>
      </c>
      <c r="J147" s="2" t="s">
        <v>1785</v>
      </c>
      <c r="K147" s="2"/>
      <c r="L147" s="2"/>
      <c r="M147" s="2" t="s">
        <v>2291</v>
      </c>
    </row>
    <row r="148" spans="1:13" x14ac:dyDescent="0.25">
      <c r="A148" s="3" t="s">
        <v>2225</v>
      </c>
      <c r="B148" s="3">
        <v>43732</v>
      </c>
      <c r="C148" s="2" t="s">
        <v>59</v>
      </c>
      <c r="D148" s="2">
        <v>5</v>
      </c>
      <c r="E148" s="2" t="s">
        <v>2233</v>
      </c>
      <c r="F148" s="2" t="s">
        <v>2279</v>
      </c>
      <c r="G148" s="2">
        <v>13</v>
      </c>
      <c r="H148" s="2" t="s">
        <v>2230</v>
      </c>
      <c r="I148" s="3">
        <v>45646</v>
      </c>
      <c r="J148" s="2" t="s">
        <v>1785</v>
      </c>
      <c r="K148" s="2"/>
      <c r="L148" s="2"/>
      <c r="M148" s="2" t="s">
        <v>2291</v>
      </c>
    </row>
    <row r="149" spans="1:13" x14ac:dyDescent="0.25">
      <c r="A149" s="3" t="s">
        <v>2225</v>
      </c>
      <c r="B149" s="3">
        <v>43732</v>
      </c>
      <c r="C149" s="2" t="s">
        <v>59</v>
      </c>
      <c r="D149" s="2">
        <v>5</v>
      </c>
      <c r="E149" s="2" t="s">
        <v>2233</v>
      </c>
      <c r="F149" s="2" t="s">
        <v>2280</v>
      </c>
      <c r="G149" s="2">
        <v>16</v>
      </c>
      <c r="H149" s="2" t="s">
        <v>2230</v>
      </c>
      <c r="I149" s="3">
        <v>45646</v>
      </c>
      <c r="J149" s="2" t="s">
        <v>1785</v>
      </c>
      <c r="K149" s="2"/>
      <c r="L149" s="2"/>
      <c r="M149" s="2" t="s">
        <v>2291</v>
      </c>
    </row>
    <row r="150" spans="1:13" x14ac:dyDescent="0.25">
      <c r="A150" s="3" t="s">
        <v>2225</v>
      </c>
      <c r="B150" s="3">
        <v>43732</v>
      </c>
      <c r="C150" s="2" t="s">
        <v>59</v>
      </c>
      <c r="D150" s="2">
        <v>5</v>
      </c>
      <c r="E150" s="2" t="s">
        <v>2233</v>
      </c>
      <c r="F150" s="2" t="s">
        <v>2281</v>
      </c>
      <c r="G150" s="2">
        <v>30</v>
      </c>
      <c r="H150" s="2" t="s">
        <v>2230</v>
      </c>
      <c r="I150" s="3">
        <v>45646</v>
      </c>
      <c r="J150" s="2" t="s">
        <v>1785</v>
      </c>
      <c r="K150" s="2"/>
      <c r="L150" s="2"/>
      <c r="M150" s="2" t="s">
        <v>2291</v>
      </c>
    </row>
    <row r="151" spans="1:13" x14ac:dyDescent="0.25">
      <c r="A151" s="3" t="s">
        <v>2225</v>
      </c>
      <c r="B151" s="3">
        <v>43732</v>
      </c>
      <c r="C151" s="2" t="s">
        <v>59</v>
      </c>
      <c r="D151" s="2">
        <v>5</v>
      </c>
      <c r="E151" s="2" t="s">
        <v>2233</v>
      </c>
      <c r="F151" s="2" t="s">
        <v>2282</v>
      </c>
      <c r="G151" s="2">
        <v>20</v>
      </c>
      <c r="H151" s="2" t="s">
        <v>2230</v>
      </c>
      <c r="I151" s="3">
        <v>45646</v>
      </c>
      <c r="J151" s="2" t="s">
        <v>1785</v>
      </c>
      <c r="K151" s="2"/>
      <c r="L151" s="2"/>
      <c r="M151" s="2" t="s">
        <v>2291</v>
      </c>
    </row>
    <row r="152" spans="1:13" x14ac:dyDescent="0.25">
      <c r="A152" s="3" t="s">
        <v>2225</v>
      </c>
      <c r="B152" s="3">
        <v>43732</v>
      </c>
      <c r="C152" s="2" t="s">
        <v>59</v>
      </c>
      <c r="D152" s="2">
        <v>5</v>
      </c>
      <c r="E152" s="2" t="s">
        <v>2233</v>
      </c>
      <c r="F152" s="2" t="s">
        <v>2283</v>
      </c>
      <c r="G152" s="2">
        <v>15</v>
      </c>
      <c r="H152" s="2" t="s">
        <v>2230</v>
      </c>
      <c r="I152" s="3">
        <v>45646</v>
      </c>
      <c r="J152" s="2" t="s">
        <v>1785</v>
      </c>
      <c r="K152" s="2"/>
      <c r="L152" s="2"/>
      <c r="M152" s="2" t="s">
        <v>2291</v>
      </c>
    </row>
    <row r="153" spans="1:13" x14ac:dyDescent="0.25">
      <c r="A153" s="3" t="s">
        <v>2225</v>
      </c>
      <c r="B153" s="3">
        <v>43732</v>
      </c>
      <c r="C153" s="2" t="s">
        <v>59</v>
      </c>
      <c r="D153" s="2">
        <v>5</v>
      </c>
      <c r="E153" s="2" t="s">
        <v>2233</v>
      </c>
      <c r="F153" s="2" t="s">
        <v>2284</v>
      </c>
      <c r="G153" s="2">
        <v>16</v>
      </c>
      <c r="H153" s="2" t="s">
        <v>2230</v>
      </c>
      <c r="I153" s="3">
        <v>45646</v>
      </c>
      <c r="J153" s="2" t="s">
        <v>1785</v>
      </c>
      <c r="K153" s="2"/>
      <c r="L153" s="2"/>
      <c r="M153" s="2" t="s">
        <v>2291</v>
      </c>
    </row>
    <row r="154" spans="1:13" x14ac:dyDescent="0.25">
      <c r="A154" s="3" t="s">
        <v>2225</v>
      </c>
      <c r="B154" s="3">
        <v>43732</v>
      </c>
      <c r="C154" s="2" t="s">
        <v>59</v>
      </c>
      <c r="D154" s="2">
        <v>5</v>
      </c>
      <c r="E154" s="2" t="s">
        <v>2233</v>
      </c>
      <c r="F154" s="2" t="s">
        <v>2285</v>
      </c>
      <c r="G154" s="2">
        <v>22</v>
      </c>
      <c r="H154" s="2" t="s">
        <v>2230</v>
      </c>
      <c r="I154" s="3">
        <v>45646</v>
      </c>
      <c r="J154" s="2" t="s">
        <v>1785</v>
      </c>
      <c r="K154" s="2"/>
      <c r="L154" s="2"/>
      <c r="M154" s="2" t="s">
        <v>2291</v>
      </c>
    </row>
    <row r="155" spans="1:13" x14ac:dyDescent="0.25">
      <c r="A155" s="3" t="s">
        <v>2225</v>
      </c>
      <c r="B155" s="3">
        <v>43732</v>
      </c>
      <c r="C155" s="2" t="s">
        <v>59</v>
      </c>
      <c r="D155" s="2">
        <v>5</v>
      </c>
      <c r="E155" s="2" t="s">
        <v>2233</v>
      </c>
      <c r="F155" s="2" t="s">
        <v>2286</v>
      </c>
      <c r="G155" s="2">
        <v>27</v>
      </c>
      <c r="H155" s="2" t="s">
        <v>2230</v>
      </c>
      <c r="I155" s="3">
        <v>45646</v>
      </c>
      <c r="J155" s="2" t="s">
        <v>1785</v>
      </c>
      <c r="K155" s="2"/>
      <c r="L155" s="2"/>
      <c r="M155" s="2" t="s">
        <v>2291</v>
      </c>
    </row>
    <row r="156" spans="1:13" x14ac:dyDescent="0.25">
      <c r="A156" s="3" t="s">
        <v>2225</v>
      </c>
      <c r="B156" s="3">
        <v>43732</v>
      </c>
      <c r="C156" s="2" t="s">
        <v>59</v>
      </c>
      <c r="D156" s="2">
        <v>5</v>
      </c>
      <c r="E156" s="2" t="s">
        <v>2233</v>
      </c>
      <c r="F156" s="2" t="s">
        <v>2287</v>
      </c>
      <c r="G156" s="2">
        <v>11</v>
      </c>
      <c r="H156" s="2" t="s">
        <v>2230</v>
      </c>
      <c r="I156" s="3">
        <v>45646</v>
      </c>
      <c r="J156" s="2" t="s">
        <v>1785</v>
      </c>
      <c r="K156" s="2"/>
      <c r="L156" s="2"/>
      <c r="M156" s="2" t="s">
        <v>2291</v>
      </c>
    </row>
    <row r="157" spans="1:13" x14ac:dyDescent="0.25">
      <c r="A157" s="3" t="s">
        <v>2225</v>
      </c>
      <c r="B157" s="3">
        <v>43732</v>
      </c>
      <c r="C157" s="2" t="s">
        <v>59</v>
      </c>
      <c r="D157" s="2">
        <v>5</v>
      </c>
      <c r="E157" s="2" t="s">
        <v>2233</v>
      </c>
      <c r="F157" s="2" t="s">
        <v>2288</v>
      </c>
      <c r="G157" s="2">
        <v>7</v>
      </c>
      <c r="H157" s="2" t="s">
        <v>2230</v>
      </c>
      <c r="I157" s="3">
        <v>45646</v>
      </c>
      <c r="J157" s="2" t="s">
        <v>1785</v>
      </c>
      <c r="K157" s="2"/>
      <c r="L157" s="2"/>
      <c r="M157" s="2" t="s">
        <v>2291</v>
      </c>
    </row>
    <row r="158" spans="1:13" x14ac:dyDescent="0.25">
      <c r="A158" s="3" t="s">
        <v>2225</v>
      </c>
      <c r="B158" s="3">
        <v>43732</v>
      </c>
      <c r="C158" s="2" t="s">
        <v>59</v>
      </c>
      <c r="D158" s="2">
        <v>5</v>
      </c>
      <c r="E158" s="2" t="s">
        <v>2233</v>
      </c>
      <c r="F158" s="2" t="s">
        <v>2289</v>
      </c>
      <c r="G158" s="2">
        <v>30</v>
      </c>
      <c r="H158" s="2" t="s">
        <v>2230</v>
      </c>
      <c r="I158" s="3">
        <v>45646</v>
      </c>
      <c r="J158" s="2" t="s">
        <v>1785</v>
      </c>
      <c r="K158" s="2"/>
      <c r="L158" s="2"/>
      <c r="M158" s="2" t="s">
        <v>2291</v>
      </c>
    </row>
    <row r="159" spans="1:13" x14ac:dyDescent="0.25">
      <c r="A159" s="3" t="s">
        <v>2225</v>
      </c>
      <c r="B159" s="3">
        <v>43732</v>
      </c>
      <c r="C159" s="2" t="s">
        <v>59</v>
      </c>
      <c r="D159" s="2">
        <v>5</v>
      </c>
      <c r="E159" s="2" t="s">
        <v>2234</v>
      </c>
      <c r="F159" s="2" t="s">
        <v>2246</v>
      </c>
      <c r="G159" s="2">
        <v>30</v>
      </c>
      <c r="H159" s="2" t="s">
        <v>2230</v>
      </c>
      <c r="I159" s="3">
        <v>45646</v>
      </c>
      <c r="J159" s="2" t="s">
        <v>1785</v>
      </c>
      <c r="K159" s="2"/>
      <c r="L159" s="2"/>
      <c r="M159" s="2" t="s">
        <v>2291</v>
      </c>
    </row>
    <row r="160" spans="1:13" x14ac:dyDescent="0.25">
      <c r="A160" s="3" t="s">
        <v>2225</v>
      </c>
      <c r="B160" s="3">
        <v>43732</v>
      </c>
      <c r="C160" s="2" t="s">
        <v>59</v>
      </c>
      <c r="D160" s="2">
        <v>5</v>
      </c>
      <c r="E160" s="2" t="s">
        <v>2234</v>
      </c>
      <c r="F160" s="2" t="s">
        <v>2247</v>
      </c>
      <c r="G160" s="2">
        <v>28</v>
      </c>
      <c r="H160" s="2" t="s">
        <v>2230</v>
      </c>
      <c r="I160" s="3">
        <v>45646</v>
      </c>
      <c r="J160" s="2" t="s">
        <v>1785</v>
      </c>
      <c r="K160" s="2"/>
      <c r="L160" s="2"/>
      <c r="M160" s="2" t="s">
        <v>2291</v>
      </c>
    </row>
    <row r="161" spans="1:13" x14ac:dyDescent="0.25">
      <c r="A161" s="3" t="s">
        <v>2225</v>
      </c>
      <c r="B161" s="3">
        <v>43732</v>
      </c>
      <c r="C161" s="2" t="s">
        <v>59</v>
      </c>
      <c r="D161" s="2">
        <v>5</v>
      </c>
      <c r="E161" s="2" t="s">
        <v>2234</v>
      </c>
      <c r="F161" s="2" t="s">
        <v>2248</v>
      </c>
      <c r="G161" s="2">
        <v>19</v>
      </c>
      <c r="H161" s="2" t="s">
        <v>2230</v>
      </c>
      <c r="I161" s="3">
        <v>45646</v>
      </c>
      <c r="J161" s="2" t="s">
        <v>1785</v>
      </c>
      <c r="K161" s="2"/>
      <c r="L161" s="2"/>
      <c r="M161" s="2" t="s">
        <v>2291</v>
      </c>
    </row>
    <row r="162" spans="1:13" x14ac:dyDescent="0.25">
      <c r="A162" s="3" t="s">
        <v>2225</v>
      </c>
      <c r="B162" s="3">
        <v>43732</v>
      </c>
      <c r="C162" s="2" t="s">
        <v>59</v>
      </c>
      <c r="D162" s="2">
        <v>5</v>
      </c>
      <c r="E162" s="2" t="s">
        <v>2234</v>
      </c>
      <c r="F162" s="2" t="s">
        <v>2249</v>
      </c>
      <c r="G162" s="2">
        <v>42</v>
      </c>
      <c r="H162" s="2" t="s">
        <v>2230</v>
      </c>
      <c r="I162" s="3">
        <v>45646</v>
      </c>
      <c r="J162" s="2" t="s">
        <v>1785</v>
      </c>
      <c r="K162" s="2"/>
      <c r="L162" s="2"/>
      <c r="M162" s="2" t="s">
        <v>2291</v>
      </c>
    </row>
    <row r="163" spans="1:13" x14ac:dyDescent="0.25">
      <c r="A163" s="3" t="s">
        <v>2225</v>
      </c>
      <c r="B163" s="3">
        <v>43732</v>
      </c>
      <c r="C163" s="2" t="s">
        <v>59</v>
      </c>
      <c r="D163" s="2">
        <v>5</v>
      </c>
      <c r="E163" s="2" t="s">
        <v>2234</v>
      </c>
      <c r="F163" s="2" t="s">
        <v>2250</v>
      </c>
      <c r="G163" s="2">
        <v>60</v>
      </c>
      <c r="H163" s="2" t="s">
        <v>2230</v>
      </c>
      <c r="I163" s="3">
        <v>45646</v>
      </c>
      <c r="J163" s="2" t="s">
        <v>1785</v>
      </c>
      <c r="K163" s="2"/>
      <c r="L163" s="2"/>
      <c r="M163" s="2" t="s">
        <v>2291</v>
      </c>
    </row>
    <row r="164" spans="1:13" x14ac:dyDescent="0.25">
      <c r="A164" s="3" t="s">
        <v>2225</v>
      </c>
      <c r="B164" s="3">
        <v>43732</v>
      </c>
      <c r="C164" s="2" t="s">
        <v>59</v>
      </c>
      <c r="D164" s="2">
        <v>5</v>
      </c>
      <c r="E164" s="2" t="s">
        <v>2234</v>
      </c>
      <c r="F164" s="2" t="s">
        <v>2251</v>
      </c>
      <c r="G164" s="2">
        <v>52</v>
      </c>
      <c r="H164" s="2" t="s">
        <v>2230</v>
      </c>
      <c r="I164" s="3">
        <v>45646</v>
      </c>
      <c r="J164" s="2" t="s">
        <v>1785</v>
      </c>
      <c r="K164" s="2"/>
      <c r="L164" s="2"/>
      <c r="M164" s="2" t="s">
        <v>2291</v>
      </c>
    </row>
    <row r="165" spans="1:13" x14ac:dyDescent="0.25">
      <c r="A165" s="3" t="s">
        <v>2225</v>
      </c>
      <c r="B165" s="3">
        <v>43732</v>
      </c>
      <c r="C165" s="2" t="s">
        <v>59</v>
      </c>
      <c r="D165" s="2">
        <v>5</v>
      </c>
      <c r="E165" s="2" t="s">
        <v>2234</v>
      </c>
      <c r="F165" s="2" t="s">
        <v>2252</v>
      </c>
      <c r="G165" s="2">
        <v>30</v>
      </c>
      <c r="H165" s="2" t="s">
        <v>2230</v>
      </c>
      <c r="I165" s="3">
        <v>45646</v>
      </c>
      <c r="J165" s="2" t="s">
        <v>1785</v>
      </c>
      <c r="K165" s="2"/>
      <c r="L165" s="2"/>
      <c r="M165" s="2" t="s">
        <v>2291</v>
      </c>
    </row>
    <row r="166" spans="1:13" x14ac:dyDescent="0.25">
      <c r="A166" s="3" t="s">
        <v>2225</v>
      </c>
      <c r="B166" s="3">
        <v>43732</v>
      </c>
      <c r="C166" s="2" t="s">
        <v>59</v>
      </c>
      <c r="D166" s="2">
        <v>5</v>
      </c>
      <c r="E166" s="2" t="s">
        <v>2234</v>
      </c>
      <c r="F166" s="2" t="s">
        <v>2253</v>
      </c>
      <c r="G166" s="2">
        <v>5</v>
      </c>
      <c r="H166" s="2" t="s">
        <v>2230</v>
      </c>
      <c r="I166" s="3">
        <v>45646</v>
      </c>
      <c r="J166" s="2" t="s">
        <v>1785</v>
      </c>
      <c r="K166" s="2"/>
      <c r="L166" s="2"/>
      <c r="M166" s="2" t="s">
        <v>2291</v>
      </c>
    </row>
    <row r="167" spans="1:13" x14ac:dyDescent="0.25">
      <c r="A167" s="3" t="s">
        <v>2225</v>
      </c>
      <c r="B167" s="3">
        <v>43732</v>
      </c>
      <c r="C167" s="2" t="s">
        <v>59</v>
      </c>
      <c r="D167" s="2">
        <v>5</v>
      </c>
      <c r="E167" s="2" t="s">
        <v>2234</v>
      </c>
      <c r="F167" s="2" t="s">
        <v>2254</v>
      </c>
      <c r="G167" s="2">
        <v>20</v>
      </c>
      <c r="H167" s="2" t="s">
        <v>2230</v>
      </c>
      <c r="I167" s="3">
        <v>45646</v>
      </c>
      <c r="J167" s="2" t="s">
        <v>1785</v>
      </c>
      <c r="K167" s="2"/>
      <c r="L167" s="2"/>
      <c r="M167" s="2" t="s">
        <v>2291</v>
      </c>
    </row>
    <row r="168" spans="1:13" x14ac:dyDescent="0.25">
      <c r="A168" s="3" t="s">
        <v>2225</v>
      </c>
      <c r="B168" s="3">
        <v>43732</v>
      </c>
      <c r="C168" s="2" t="s">
        <v>59</v>
      </c>
      <c r="D168" s="2">
        <v>5</v>
      </c>
      <c r="E168" s="2" t="s">
        <v>2234</v>
      </c>
      <c r="F168" s="2" t="s">
        <v>2240</v>
      </c>
      <c r="G168" s="2">
        <v>20</v>
      </c>
      <c r="H168" s="2" t="s">
        <v>2230</v>
      </c>
      <c r="I168" s="3">
        <v>45646</v>
      </c>
      <c r="J168" s="2" t="s">
        <v>1785</v>
      </c>
      <c r="K168" s="2"/>
      <c r="L168" s="2"/>
      <c r="M168" s="2" t="s">
        <v>2291</v>
      </c>
    </row>
    <row r="169" spans="1:13" x14ac:dyDescent="0.25">
      <c r="A169" s="3" t="s">
        <v>2225</v>
      </c>
      <c r="B169" s="3">
        <v>43732</v>
      </c>
      <c r="C169" s="2" t="s">
        <v>59</v>
      </c>
      <c r="D169" s="2">
        <v>5</v>
      </c>
      <c r="E169" s="2" t="s">
        <v>2234</v>
      </c>
      <c r="F169" s="2" t="s">
        <v>2241</v>
      </c>
      <c r="G169" s="2">
        <v>12</v>
      </c>
      <c r="H169" s="2" t="s">
        <v>2230</v>
      </c>
      <c r="I169" s="3">
        <v>45646</v>
      </c>
      <c r="J169" s="2" t="s">
        <v>1785</v>
      </c>
      <c r="K169" s="2"/>
      <c r="L169" s="2"/>
      <c r="M169" s="2" t="s">
        <v>2291</v>
      </c>
    </row>
    <row r="170" spans="1:13" x14ac:dyDescent="0.25">
      <c r="A170" s="3" t="s">
        <v>2225</v>
      </c>
      <c r="B170" s="3">
        <v>43732</v>
      </c>
      <c r="C170" s="2" t="s">
        <v>59</v>
      </c>
      <c r="D170" s="2">
        <v>5</v>
      </c>
      <c r="E170" s="2" t="s">
        <v>2234</v>
      </c>
      <c r="F170" s="2" t="s">
        <v>2242</v>
      </c>
      <c r="G170" s="2">
        <v>51</v>
      </c>
      <c r="H170" s="2" t="s">
        <v>2230</v>
      </c>
      <c r="I170" s="3">
        <v>45646</v>
      </c>
      <c r="J170" s="2" t="s">
        <v>1785</v>
      </c>
      <c r="K170" s="2"/>
      <c r="L170" s="2"/>
      <c r="M170" s="2" t="s">
        <v>2291</v>
      </c>
    </row>
    <row r="171" spans="1:13" x14ac:dyDescent="0.25">
      <c r="A171" s="3" t="s">
        <v>2225</v>
      </c>
      <c r="B171" s="3">
        <v>43732</v>
      </c>
      <c r="C171" s="2" t="s">
        <v>59</v>
      </c>
      <c r="D171" s="2">
        <v>5</v>
      </c>
      <c r="E171" s="2" t="s">
        <v>2234</v>
      </c>
      <c r="F171" s="2" t="s">
        <v>2243</v>
      </c>
      <c r="G171" s="2">
        <v>33</v>
      </c>
      <c r="H171" s="2" t="s">
        <v>2230</v>
      </c>
      <c r="I171" s="3">
        <v>45646</v>
      </c>
      <c r="J171" s="2" t="s">
        <v>1785</v>
      </c>
      <c r="K171" s="2"/>
      <c r="L171" s="2"/>
      <c r="M171" s="2" t="s">
        <v>2291</v>
      </c>
    </row>
    <row r="172" spans="1:13" x14ac:dyDescent="0.25">
      <c r="A172" s="3" t="s">
        <v>2225</v>
      </c>
      <c r="B172" s="3">
        <v>43732</v>
      </c>
      <c r="C172" s="2" t="s">
        <v>59</v>
      </c>
      <c r="D172" s="2">
        <v>5</v>
      </c>
      <c r="E172" s="2" t="s">
        <v>2234</v>
      </c>
      <c r="F172" s="2" t="s">
        <v>2244</v>
      </c>
      <c r="G172" s="2">
        <v>12</v>
      </c>
      <c r="H172" s="2" t="s">
        <v>2230</v>
      </c>
      <c r="I172" s="3">
        <v>45646</v>
      </c>
      <c r="J172" s="2" t="s">
        <v>1785</v>
      </c>
      <c r="K172" s="2"/>
      <c r="L172" s="2"/>
      <c r="M172" s="2" t="s">
        <v>2291</v>
      </c>
    </row>
    <row r="173" spans="1:13" x14ac:dyDescent="0.25">
      <c r="A173" s="3" t="s">
        <v>2225</v>
      </c>
      <c r="B173" s="3">
        <v>43732</v>
      </c>
      <c r="C173" s="2" t="s">
        <v>59</v>
      </c>
      <c r="D173" s="2">
        <v>5</v>
      </c>
      <c r="E173" s="2" t="s">
        <v>2234</v>
      </c>
      <c r="F173" s="2" t="s">
        <v>2245</v>
      </c>
      <c r="G173" s="2">
        <v>9</v>
      </c>
      <c r="H173" s="2" t="s">
        <v>2230</v>
      </c>
      <c r="I173" s="3">
        <v>45646</v>
      </c>
      <c r="J173" s="2" t="s">
        <v>1785</v>
      </c>
      <c r="K173" s="2"/>
      <c r="L173" s="2"/>
      <c r="M173" s="2" t="s">
        <v>2291</v>
      </c>
    </row>
    <row r="174" spans="1:13" x14ac:dyDescent="0.25">
      <c r="A174" s="3" t="s">
        <v>2225</v>
      </c>
      <c r="B174" s="3">
        <v>43732</v>
      </c>
      <c r="C174" s="2" t="s">
        <v>59</v>
      </c>
      <c r="D174" s="2">
        <v>5</v>
      </c>
      <c r="E174" s="2" t="s">
        <v>2234</v>
      </c>
      <c r="F174" s="2" t="s">
        <v>2255</v>
      </c>
      <c r="G174" s="2">
        <v>68</v>
      </c>
      <c r="H174" s="2" t="s">
        <v>2230</v>
      </c>
      <c r="I174" s="3">
        <v>45646</v>
      </c>
      <c r="J174" s="2" t="s">
        <v>1785</v>
      </c>
      <c r="K174" s="2"/>
      <c r="L174" s="2"/>
      <c r="M174" s="2" t="s">
        <v>2291</v>
      </c>
    </row>
    <row r="175" spans="1:13" x14ac:dyDescent="0.25">
      <c r="A175" s="3" t="s">
        <v>2225</v>
      </c>
      <c r="B175" s="3">
        <v>43732</v>
      </c>
      <c r="C175" s="2" t="s">
        <v>59</v>
      </c>
      <c r="D175" s="2">
        <v>5</v>
      </c>
      <c r="E175" s="2" t="s">
        <v>2234</v>
      </c>
      <c r="F175" s="2" t="s">
        <v>2256</v>
      </c>
      <c r="G175" s="2">
        <v>76</v>
      </c>
      <c r="H175" s="2" t="s">
        <v>2230</v>
      </c>
      <c r="I175" s="3">
        <v>45646</v>
      </c>
      <c r="J175" s="2" t="s">
        <v>1785</v>
      </c>
      <c r="K175" s="2"/>
      <c r="L175" s="2"/>
      <c r="M175" s="2" t="s">
        <v>2291</v>
      </c>
    </row>
    <row r="176" spans="1:13" x14ac:dyDescent="0.25">
      <c r="A176" s="3" t="s">
        <v>2225</v>
      </c>
      <c r="B176" s="3">
        <v>43732</v>
      </c>
      <c r="C176" s="2" t="s">
        <v>59</v>
      </c>
      <c r="D176" s="2">
        <v>5</v>
      </c>
      <c r="E176" s="2" t="s">
        <v>2234</v>
      </c>
      <c r="F176" s="2" t="s">
        <v>2257</v>
      </c>
      <c r="G176" s="2">
        <v>24</v>
      </c>
      <c r="H176" s="2" t="s">
        <v>2230</v>
      </c>
      <c r="I176" s="3">
        <v>45646</v>
      </c>
      <c r="J176" s="2" t="s">
        <v>1785</v>
      </c>
      <c r="K176" s="2"/>
      <c r="L176" s="2"/>
      <c r="M176" s="2" t="s">
        <v>2291</v>
      </c>
    </row>
    <row r="177" spans="1:13" x14ac:dyDescent="0.25">
      <c r="A177" s="3" t="s">
        <v>2225</v>
      </c>
      <c r="B177" s="3">
        <v>43732</v>
      </c>
      <c r="C177" s="2" t="s">
        <v>59</v>
      </c>
      <c r="D177" s="2">
        <v>5</v>
      </c>
      <c r="E177" s="2" t="s">
        <v>2234</v>
      </c>
      <c r="F177" s="2" t="s">
        <v>2258</v>
      </c>
      <c r="G177" s="2">
        <v>13</v>
      </c>
      <c r="H177" s="2" t="s">
        <v>2230</v>
      </c>
      <c r="I177" s="3">
        <v>45646</v>
      </c>
      <c r="J177" s="2" t="s">
        <v>1785</v>
      </c>
      <c r="K177" s="2"/>
      <c r="L177" s="2"/>
      <c r="M177" s="2" t="s">
        <v>2291</v>
      </c>
    </row>
    <row r="178" spans="1:13" x14ac:dyDescent="0.25">
      <c r="A178" s="3" t="s">
        <v>2225</v>
      </c>
      <c r="B178" s="3">
        <v>43732</v>
      </c>
      <c r="C178" s="2" t="s">
        <v>59</v>
      </c>
      <c r="D178" s="2">
        <v>5</v>
      </c>
      <c r="E178" s="2" t="s">
        <v>2234</v>
      </c>
      <c r="F178" s="2" t="s">
        <v>2259</v>
      </c>
      <c r="G178" s="2">
        <v>14</v>
      </c>
      <c r="H178" s="2" t="s">
        <v>2230</v>
      </c>
      <c r="I178" s="3">
        <v>45646</v>
      </c>
      <c r="J178" s="2" t="s">
        <v>1785</v>
      </c>
      <c r="K178" s="2"/>
      <c r="L178" s="2"/>
      <c r="M178" s="2" t="s">
        <v>2291</v>
      </c>
    </row>
    <row r="179" spans="1:13" x14ac:dyDescent="0.25">
      <c r="A179" s="3" t="s">
        <v>2225</v>
      </c>
      <c r="B179" s="3">
        <v>43732</v>
      </c>
      <c r="C179" s="2" t="s">
        <v>59</v>
      </c>
      <c r="D179" s="2">
        <v>5</v>
      </c>
      <c r="E179" s="2" t="s">
        <v>2234</v>
      </c>
      <c r="F179" s="2" t="s">
        <v>2260</v>
      </c>
      <c r="G179" s="2">
        <v>7</v>
      </c>
      <c r="H179" s="2" t="s">
        <v>2230</v>
      </c>
      <c r="I179" s="3">
        <v>45646</v>
      </c>
      <c r="J179" s="2" t="s">
        <v>1785</v>
      </c>
      <c r="K179" s="2"/>
      <c r="L179" s="2"/>
      <c r="M179" s="2" t="s">
        <v>2291</v>
      </c>
    </row>
    <row r="180" spans="1:13" x14ac:dyDescent="0.25">
      <c r="A180" s="3" t="s">
        <v>2225</v>
      </c>
      <c r="B180" s="3">
        <v>43732</v>
      </c>
      <c r="C180" s="2" t="s">
        <v>59</v>
      </c>
      <c r="D180" s="2">
        <v>5</v>
      </c>
      <c r="E180" s="2" t="s">
        <v>2234</v>
      </c>
      <c r="F180" s="2" t="s">
        <v>2261</v>
      </c>
      <c r="G180" s="2">
        <v>8</v>
      </c>
      <c r="H180" s="2" t="s">
        <v>2230</v>
      </c>
      <c r="I180" s="3">
        <v>45646</v>
      </c>
      <c r="J180" s="2" t="s">
        <v>1785</v>
      </c>
      <c r="K180" s="2"/>
      <c r="L180" s="2"/>
      <c r="M180" s="2" t="s">
        <v>2291</v>
      </c>
    </row>
    <row r="181" spans="1:13" x14ac:dyDescent="0.25">
      <c r="A181" s="3" t="s">
        <v>2225</v>
      </c>
      <c r="B181" s="3">
        <v>43732</v>
      </c>
      <c r="C181" s="2" t="s">
        <v>59</v>
      </c>
      <c r="D181" s="2">
        <v>5</v>
      </c>
      <c r="E181" s="2" t="s">
        <v>2234</v>
      </c>
      <c r="F181" s="2" t="s">
        <v>2262</v>
      </c>
      <c r="G181" s="2">
        <v>7</v>
      </c>
      <c r="H181" s="2" t="s">
        <v>2230</v>
      </c>
      <c r="I181" s="3">
        <v>45646</v>
      </c>
      <c r="J181" s="2" t="s">
        <v>1785</v>
      </c>
      <c r="K181" s="2"/>
      <c r="L181" s="2"/>
      <c r="M181" s="2" t="s">
        <v>2291</v>
      </c>
    </row>
    <row r="182" spans="1:13" x14ac:dyDescent="0.25">
      <c r="A182" s="3" t="s">
        <v>2225</v>
      </c>
      <c r="B182" s="3">
        <v>43732</v>
      </c>
      <c r="C182" s="2" t="s">
        <v>59</v>
      </c>
      <c r="D182" s="2">
        <v>5</v>
      </c>
      <c r="E182" s="2" t="s">
        <v>2234</v>
      </c>
      <c r="F182" s="2" t="s">
        <v>2263</v>
      </c>
      <c r="G182" s="2">
        <v>15</v>
      </c>
      <c r="H182" s="2" t="s">
        <v>2230</v>
      </c>
      <c r="I182" s="3">
        <v>45646</v>
      </c>
      <c r="J182" s="2" t="s">
        <v>1785</v>
      </c>
      <c r="K182" s="2"/>
      <c r="L182" s="2"/>
      <c r="M182" s="2" t="s">
        <v>2291</v>
      </c>
    </row>
    <row r="183" spans="1:13" x14ac:dyDescent="0.25">
      <c r="A183" s="3" t="s">
        <v>2225</v>
      </c>
      <c r="B183" s="3">
        <v>43732</v>
      </c>
      <c r="C183" s="2" t="s">
        <v>59</v>
      </c>
      <c r="D183" s="2">
        <v>5</v>
      </c>
      <c r="E183" s="2" t="s">
        <v>2234</v>
      </c>
      <c r="F183" s="2" t="s">
        <v>2264</v>
      </c>
      <c r="G183" s="2">
        <v>7</v>
      </c>
      <c r="H183" s="2" t="s">
        <v>2230</v>
      </c>
      <c r="I183" s="3">
        <v>45646</v>
      </c>
      <c r="J183" s="2" t="s">
        <v>1785</v>
      </c>
      <c r="K183" s="2"/>
      <c r="L183" s="2"/>
      <c r="M183" s="2" t="s">
        <v>2291</v>
      </c>
    </row>
    <row r="184" spans="1:13" x14ac:dyDescent="0.25">
      <c r="A184" s="3" t="s">
        <v>2225</v>
      </c>
      <c r="B184" s="3">
        <v>43732</v>
      </c>
      <c r="C184" s="2" t="s">
        <v>59</v>
      </c>
      <c r="D184" s="2">
        <v>5</v>
      </c>
      <c r="E184" s="2" t="s">
        <v>2234</v>
      </c>
      <c r="F184" s="2" t="s">
        <v>2265</v>
      </c>
      <c r="G184" s="2">
        <v>6</v>
      </c>
      <c r="H184" s="2" t="s">
        <v>2230</v>
      </c>
      <c r="I184" s="3">
        <v>45646</v>
      </c>
      <c r="J184" s="2" t="s">
        <v>1785</v>
      </c>
      <c r="K184" s="2"/>
      <c r="L184" s="2"/>
      <c r="M184" s="2" t="s">
        <v>2291</v>
      </c>
    </row>
    <row r="185" spans="1:13" x14ac:dyDescent="0.25">
      <c r="A185" s="3" t="s">
        <v>2225</v>
      </c>
      <c r="B185" s="3">
        <v>43732</v>
      </c>
      <c r="C185" s="2" t="s">
        <v>59</v>
      </c>
      <c r="D185" s="2">
        <v>5</v>
      </c>
      <c r="E185" s="2" t="s">
        <v>2234</v>
      </c>
      <c r="F185" s="2" t="s">
        <v>2266</v>
      </c>
      <c r="G185" s="2">
        <v>22</v>
      </c>
      <c r="H185" s="2" t="s">
        <v>2230</v>
      </c>
      <c r="I185" s="3">
        <v>45646</v>
      </c>
      <c r="J185" s="2" t="s">
        <v>1785</v>
      </c>
      <c r="K185" s="2"/>
      <c r="L185" s="2"/>
      <c r="M185" s="2" t="s">
        <v>2291</v>
      </c>
    </row>
    <row r="186" spans="1:13" x14ac:dyDescent="0.25">
      <c r="A186" s="3" t="s">
        <v>2225</v>
      </c>
      <c r="B186" s="3">
        <v>43732</v>
      </c>
      <c r="C186" s="2" t="s">
        <v>59</v>
      </c>
      <c r="D186" s="2">
        <v>5</v>
      </c>
      <c r="E186" s="2" t="s">
        <v>2234</v>
      </c>
      <c r="F186" s="2" t="s">
        <v>2267</v>
      </c>
      <c r="G186" s="2">
        <v>12</v>
      </c>
      <c r="H186" s="2" t="s">
        <v>2230</v>
      </c>
      <c r="I186" s="3">
        <v>45646</v>
      </c>
      <c r="J186" s="2" t="s">
        <v>1785</v>
      </c>
      <c r="K186" s="2"/>
      <c r="L186" s="2"/>
      <c r="M186" s="2" t="s">
        <v>2291</v>
      </c>
    </row>
    <row r="187" spans="1:13" x14ac:dyDescent="0.25">
      <c r="A187" s="3" t="s">
        <v>2225</v>
      </c>
      <c r="B187" s="3">
        <v>43732</v>
      </c>
      <c r="C187" s="2" t="s">
        <v>59</v>
      </c>
      <c r="D187" s="2">
        <v>5</v>
      </c>
      <c r="E187" s="2" t="s">
        <v>2234</v>
      </c>
      <c r="F187" s="2" t="s">
        <v>2268</v>
      </c>
      <c r="G187" s="2">
        <v>17</v>
      </c>
      <c r="H187" s="2" t="s">
        <v>2230</v>
      </c>
      <c r="I187" s="3">
        <v>45646</v>
      </c>
      <c r="J187" s="2" t="s">
        <v>1785</v>
      </c>
      <c r="K187" s="2"/>
      <c r="L187" s="2"/>
      <c r="M187" s="2" t="s">
        <v>2291</v>
      </c>
    </row>
    <row r="188" spans="1:13" x14ac:dyDescent="0.25">
      <c r="A188" s="3" t="s">
        <v>2225</v>
      </c>
      <c r="B188" s="3">
        <v>43732</v>
      </c>
      <c r="C188" s="2" t="s">
        <v>59</v>
      </c>
      <c r="D188" s="2">
        <v>5</v>
      </c>
      <c r="E188" s="2" t="s">
        <v>2234</v>
      </c>
      <c r="F188" s="2" t="s">
        <v>2269</v>
      </c>
      <c r="G188" s="2">
        <v>6</v>
      </c>
      <c r="H188" s="2" t="s">
        <v>2230</v>
      </c>
      <c r="I188" s="3">
        <v>45646</v>
      </c>
      <c r="J188" s="2" t="s">
        <v>1785</v>
      </c>
      <c r="K188" s="2"/>
      <c r="L188" s="2"/>
      <c r="M188" s="2" t="s">
        <v>2291</v>
      </c>
    </row>
    <row r="189" spans="1:13" x14ac:dyDescent="0.25">
      <c r="A189" s="3" t="s">
        <v>2225</v>
      </c>
      <c r="B189" s="3">
        <v>43732</v>
      </c>
      <c r="C189" s="2" t="s">
        <v>59</v>
      </c>
      <c r="D189" s="2">
        <v>5</v>
      </c>
      <c r="E189" s="2" t="s">
        <v>2234</v>
      </c>
      <c r="F189" s="2" t="s">
        <v>2270</v>
      </c>
      <c r="G189" s="2">
        <v>12</v>
      </c>
      <c r="H189" s="2" t="s">
        <v>2230</v>
      </c>
      <c r="I189" s="3">
        <v>45646</v>
      </c>
      <c r="J189" s="2" t="s">
        <v>1785</v>
      </c>
      <c r="K189" s="2"/>
      <c r="L189" s="2"/>
      <c r="M189" s="2" t="s">
        <v>2291</v>
      </c>
    </row>
    <row r="190" spans="1:13" x14ac:dyDescent="0.25">
      <c r="A190" s="3" t="s">
        <v>2225</v>
      </c>
      <c r="B190" s="3">
        <v>43732</v>
      </c>
      <c r="C190" s="2" t="s">
        <v>59</v>
      </c>
      <c r="D190" s="2">
        <v>5</v>
      </c>
      <c r="E190" s="2" t="s">
        <v>2234</v>
      </c>
      <c r="F190" s="2" t="s">
        <v>2271</v>
      </c>
      <c r="G190" s="2">
        <v>18</v>
      </c>
      <c r="H190" s="2" t="s">
        <v>2230</v>
      </c>
      <c r="I190" s="3">
        <v>45646</v>
      </c>
      <c r="J190" s="2" t="s">
        <v>1785</v>
      </c>
      <c r="K190" s="2"/>
      <c r="L190" s="2"/>
      <c r="M190" s="2" t="s">
        <v>2291</v>
      </c>
    </row>
    <row r="191" spans="1:13" x14ac:dyDescent="0.25">
      <c r="A191" s="3" t="s">
        <v>2225</v>
      </c>
      <c r="B191" s="3">
        <v>43732</v>
      </c>
      <c r="C191" s="2" t="s">
        <v>59</v>
      </c>
      <c r="D191" s="2">
        <v>5</v>
      </c>
      <c r="E191" s="2" t="s">
        <v>2234</v>
      </c>
      <c r="F191" s="2" t="s">
        <v>2272</v>
      </c>
      <c r="G191" s="2">
        <v>10</v>
      </c>
      <c r="H191" s="2" t="s">
        <v>2230</v>
      </c>
      <c r="I191" s="3">
        <v>45646</v>
      </c>
      <c r="J191" s="2" t="s">
        <v>1785</v>
      </c>
      <c r="K191" s="2"/>
      <c r="L191" s="2"/>
      <c r="M191" s="2" t="s">
        <v>2291</v>
      </c>
    </row>
    <row r="192" spans="1:13" x14ac:dyDescent="0.25">
      <c r="A192" s="3" t="s">
        <v>2225</v>
      </c>
      <c r="B192" s="3">
        <v>43732</v>
      </c>
      <c r="C192" s="2" t="s">
        <v>59</v>
      </c>
      <c r="D192" s="2">
        <v>5</v>
      </c>
      <c r="E192" s="2" t="s">
        <v>2234</v>
      </c>
      <c r="F192" s="2" t="s">
        <v>2273</v>
      </c>
      <c r="G192" s="2">
        <v>26</v>
      </c>
      <c r="H192" s="2" t="s">
        <v>2230</v>
      </c>
      <c r="I192" s="3">
        <v>45646</v>
      </c>
      <c r="J192" s="2" t="s">
        <v>1785</v>
      </c>
      <c r="K192" s="2"/>
      <c r="L192" s="2"/>
      <c r="M192" s="2" t="s">
        <v>2291</v>
      </c>
    </row>
    <row r="193" spans="1:13" x14ac:dyDescent="0.25">
      <c r="A193" s="3" t="s">
        <v>2225</v>
      </c>
      <c r="B193" s="3">
        <v>43732</v>
      </c>
      <c r="C193" s="2" t="s">
        <v>59</v>
      </c>
      <c r="D193" s="2">
        <v>5</v>
      </c>
      <c r="E193" s="2" t="s">
        <v>2234</v>
      </c>
      <c r="F193" s="2" t="s">
        <v>2274</v>
      </c>
      <c r="G193" s="2">
        <v>5</v>
      </c>
      <c r="H193" s="2" t="s">
        <v>2230</v>
      </c>
      <c r="I193" s="3">
        <v>45646</v>
      </c>
      <c r="J193" s="2" t="s">
        <v>1785</v>
      </c>
      <c r="K193" s="2"/>
      <c r="L193" s="2"/>
      <c r="M193" s="2" t="s">
        <v>2291</v>
      </c>
    </row>
    <row r="194" spans="1:13" x14ac:dyDescent="0.25">
      <c r="A194" s="3" t="s">
        <v>2225</v>
      </c>
      <c r="B194" s="3">
        <v>43732</v>
      </c>
      <c r="C194" s="2" t="s">
        <v>59</v>
      </c>
      <c r="D194" s="2">
        <v>5</v>
      </c>
      <c r="E194" s="2" t="s">
        <v>2234</v>
      </c>
      <c r="F194" s="2" t="s">
        <v>2275</v>
      </c>
      <c r="G194" s="2">
        <v>56</v>
      </c>
      <c r="H194" s="2" t="s">
        <v>2230</v>
      </c>
      <c r="I194" s="3">
        <v>45646</v>
      </c>
      <c r="J194" s="2" t="s">
        <v>1785</v>
      </c>
      <c r="K194" s="2"/>
      <c r="L194" s="2"/>
      <c r="M194" s="2" t="s">
        <v>2291</v>
      </c>
    </row>
    <row r="195" spans="1:13" x14ac:dyDescent="0.25">
      <c r="A195" s="3" t="s">
        <v>2225</v>
      </c>
      <c r="B195" s="3">
        <v>43732</v>
      </c>
      <c r="C195" s="2" t="s">
        <v>59</v>
      </c>
      <c r="D195" s="2">
        <v>5</v>
      </c>
      <c r="E195" s="2" t="s">
        <v>2234</v>
      </c>
      <c r="F195" s="2" t="s">
        <v>2276</v>
      </c>
      <c r="G195" s="2">
        <v>35</v>
      </c>
      <c r="H195" s="2" t="s">
        <v>2230</v>
      </c>
      <c r="I195" s="3">
        <v>45646</v>
      </c>
      <c r="J195" s="2" t="s">
        <v>1785</v>
      </c>
      <c r="K195" s="2"/>
      <c r="L195" s="2"/>
      <c r="M195" s="2" t="s">
        <v>2291</v>
      </c>
    </row>
    <row r="196" spans="1:13" x14ac:dyDescent="0.25">
      <c r="A196" s="3" t="s">
        <v>2225</v>
      </c>
      <c r="B196" s="3">
        <v>43732</v>
      </c>
      <c r="C196" s="2" t="s">
        <v>59</v>
      </c>
      <c r="D196" s="2">
        <v>5</v>
      </c>
      <c r="E196" s="2" t="s">
        <v>2234</v>
      </c>
      <c r="F196" s="2" t="s">
        <v>2277</v>
      </c>
      <c r="G196" s="2">
        <v>20</v>
      </c>
      <c r="H196" s="2" t="s">
        <v>2230</v>
      </c>
      <c r="I196" s="3">
        <v>45646</v>
      </c>
      <c r="J196" s="2" t="s">
        <v>1785</v>
      </c>
      <c r="K196" s="2"/>
      <c r="L196" s="2"/>
      <c r="M196" s="2" t="s">
        <v>2291</v>
      </c>
    </row>
    <row r="197" spans="1:13" x14ac:dyDescent="0.25">
      <c r="A197" s="3" t="s">
        <v>2225</v>
      </c>
      <c r="B197" s="3">
        <v>43732</v>
      </c>
      <c r="C197" s="2" t="s">
        <v>59</v>
      </c>
      <c r="D197" s="2">
        <v>5</v>
      </c>
      <c r="E197" s="2" t="s">
        <v>2234</v>
      </c>
      <c r="F197" s="2" t="s">
        <v>2278</v>
      </c>
      <c r="G197" s="2">
        <v>25</v>
      </c>
      <c r="H197" s="2" t="s">
        <v>2230</v>
      </c>
      <c r="I197" s="3">
        <v>45646</v>
      </c>
      <c r="J197" s="2" t="s">
        <v>1785</v>
      </c>
      <c r="K197" s="2"/>
      <c r="L197" s="2"/>
      <c r="M197" s="2" t="s">
        <v>2291</v>
      </c>
    </row>
    <row r="198" spans="1:13" x14ac:dyDescent="0.25">
      <c r="A198" s="3" t="s">
        <v>2225</v>
      </c>
      <c r="B198" s="3">
        <v>43732</v>
      </c>
      <c r="C198" s="2" t="s">
        <v>59</v>
      </c>
      <c r="D198" s="2">
        <v>5</v>
      </c>
      <c r="E198" s="2" t="s">
        <v>2234</v>
      </c>
      <c r="F198" s="2" t="s">
        <v>2279</v>
      </c>
      <c r="G198" s="2">
        <v>28</v>
      </c>
      <c r="H198" s="2" t="s">
        <v>2230</v>
      </c>
      <c r="I198" s="3">
        <v>45646</v>
      </c>
      <c r="J198" s="2" t="s">
        <v>1785</v>
      </c>
      <c r="K198" s="2"/>
      <c r="L198" s="2"/>
      <c r="M198" s="2" t="s">
        <v>2291</v>
      </c>
    </row>
    <row r="199" spans="1:13" x14ac:dyDescent="0.25">
      <c r="A199" s="3" t="s">
        <v>2225</v>
      </c>
      <c r="B199" s="3">
        <v>43732</v>
      </c>
      <c r="C199" s="2" t="s">
        <v>59</v>
      </c>
      <c r="D199" s="2">
        <v>5</v>
      </c>
      <c r="E199" s="2" t="s">
        <v>2234</v>
      </c>
      <c r="F199" s="2" t="s">
        <v>2280</v>
      </c>
      <c r="G199" s="2">
        <v>11</v>
      </c>
      <c r="H199" s="2" t="s">
        <v>2230</v>
      </c>
      <c r="I199" s="3">
        <v>45646</v>
      </c>
      <c r="J199" s="2" t="s">
        <v>1785</v>
      </c>
      <c r="K199" s="2"/>
      <c r="L199" s="2"/>
      <c r="M199" s="2" t="s">
        <v>2291</v>
      </c>
    </row>
    <row r="200" spans="1:13" x14ac:dyDescent="0.25">
      <c r="A200" s="3" t="s">
        <v>2225</v>
      </c>
      <c r="B200" s="3">
        <v>43732</v>
      </c>
      <c r="C200" s="2" t="s">
        <v>59</v>
      </c>
      <c r="D200" s="2">
        <v>5</v>
      </c>
      <c r="E200" s="2" t="s">
        <v>2234</v>
      </c>
      <c r="F200" s="2" t="s">
        <v>2281</v>
      </c>
      <c r="G200" s="2">
        <v>13</v>
      </c>
      <c r="H200" s="2" t="s">
        <v>2230</v>
      </c>
      <c r="I200" s="3">
        <v>45646</v>
      </c>
      <c r="J200" s="2" t="s">
        <v>1785</v>
      </c>
      <c r="K200" s="2"/>
      <c r="L200" s="2"/>
      <c r="M200" s="2" t="s">
        <v>2291</v>
      </c>
    </row>
    <row r="201" spans="1:13" x14ac:dyDescent="0.25">
      <c r="A201" s="3" t="s">
        <v>2225</v>
      </c>
      <c r="B201" s="3">
        <v>43732</v>
      </c>
      <c r="C201" s="2" t="s">
        <v>59</v>
      </c>
      <c r="D201" s="2">
        <v>5</v>
      </c>
      <c r="E201" s="2" t="s">
        <v>2234</v>
      </c>
      <c r="F201" s="2" t="s">
        <v>2282</v>
      </c>
      <c r="G201" s="2">
        <v>11</v>
      </c>
      <c r="H201" s="2" t="s">
        <v>2230</v>
      </c>
      <c r="I201" s="3">
        <v>45646</v>
      </c>
      <c r="J201" s="2" t="s">
        <v>1785</v>
      </c>
      <c r="K201" s="2"/>
      <c r="L201" s="2"/>
      <c r="M201" s="2" t="s">
        <v>2291</v>
      </c>
    </row>
    <row r="202" spans="1:13" x14ac:dyDescent="0.25">
      <c r="A202" s="3" t="s">
        <v>2225</v>
      </c>
      <c r="B202" s="3">
        <v>43732</v>
      </c>
      <c r="C202" s="2" t="s">
        <v>59</v>
      </c>
      <c r="D202" s="2">
        <v>5</v>
      </c>
      <c r="E202" s="2" t="s">
        <v>2234</v>
      </c>
      <c r="F202" s="2" t="s">
        <v>2283</v>
      </c>
      <c r="G202" s="2">
        <v>24</v>
      </c>
      <c r="H202" s="2" t="s">
        <v>2230</v>
      </c>
      <c r="I202" s="3">
        <v>45646</v>
      </c>
      <c r="J202" s="2" t="s">
        <v>1785</v>
      </c>
      <c r="K202" s="2"/>
      <c r="L202" s="2"/>
      <c r="M202" s="2" t="s">
        <v>2291</v>
      </c>
    </row>
    <row r="203" spans="1:13" x14ac:dyDescent="0.25">
      <c r="A203" s="3" t="s">
        <v>2225</v>
      </c>
      <c r="B203" s="3">
        <v>43732</v>
      </c>
      <c r="C203" s="2" t="s">
        <v>59</v>
      </c>
      <c r="D203" s="2">
        <v>5</v>
      </c>
      <c r="E203" s="2" t="s">
        <v>2234</v>
      </c>
      <c r="F203" s="2" t="s">
        <v>2284</v>
      </c>
      <c r="G203" s="2">
        <v>21</v>
      </c>
      <c r="H203" s="2" t="s">
        <v>2230</v>
      </c>
      <c r="I203" s="3">
        <v>45646</v>
      </c>
      <c r="J203" s="2" t="s">
        <v>1785</v>
      </c>
      <c r="K203" s="2"/>
      <c r="L203" s="2"/>
      <c r="M203" s="2" t="s">
        <v>2291</v>
      </c>
    </row>
    <row r="204" spans="1:13" x14ac:dyDescent="0.25">
      <c r="A204" s="3" t="s">
        <v>2225</v>
      </c>
      <c r="B204" s="3">
        <v>43732</v>
      </c>
      <c r="C204" s="2" t="s">
        <v>59</v>
      </c>
      <c r="D204" s="2">
        <v>5</v>
      </c>
      <c r="E204" s="2" t="s">
        <v>2234</v>
      </c>
      <c r="F204" s="2" t="s">
        <v>2285</v>
      </c>
      <c r="G204" s="2">
        <v>18</v>
      </c>
      <c r="H204" s="2" t="s">
        <v>2230</v>
      </c>
      <c r="I204" s="3">
        <v>45646</v>
      </c>
      <c r="J204" s="2" t="s">
        <v>1785</v>
      </c>
      <c r="K204" s="2"/>
      <c r="L204" s="2"/>
      <c r="M204" s="2" t="s">
        <v>2291</v>
      </c>
    </row>
    <row r="205" spans="1:13" x14ac:dyDescent="0.25">
      <c r="A205" s="3" t="s">
        <v>2225</v>
      </c>
      <c r="B205" s="3">
        <v>43732</v>
      </c>
      <c r="C205" s="2" t="s">
        <v>59</v>
      </c>
      <c r="D205" s="2">
        <v>5</v>
      </c>
      <c r="E205" s="2" t="s">
        <v>2234</v>
      </c>
      <c r="F205" s="2" t="s">
        <v>2286</v>
      </c>
      <c r="G205" s="2">
        <v>15</v>
      </c>
      <c r="H205" s="2" t="s">
        <v>2230</v>
      </c>
      <c r="I205" s="3">
        <v>45646</v>
      </c>
      <c r="J205" s="2" t="s">
        <v>1785</v>
      </c>
      <c r="K205" s="2"/>
      <c r="L205" s="2"/>
      <c r="M205" s="2" t="s">
        <v>2291</v>
      </c>
    </row>
    <row r="206" spans="1:13" x14ac:dyDescent="0.25">
      <c r="A206" s="3" t="s">
        <v>2225</v>
      </c>
      <c r="B206" s="3">
        <v>43732</v>
      </c>
      <c r="C206" s="2" t="s">
        <v>59</v>
      </c>
      <c r="D206" s="2">
        <v>5</v>
      </c>
      <c r="E206" s="2" t="s">
        <v>2234</v>
      </c>
      <c r="F206" s="2" t="s">
        <v>2287</v>
      </c>
      <c r="G206" s="2">
        <v>20</v>
      </c>
      <c r="H206" s="2" t="s">
        <v>2230</v>
      </c>
      <c r="I206" s="3">
        <v>45646</v>
      </c>
      <c r="J206" s="2" t="s">
        <v>1785</v>
      </c>
      <c r="K206" s="2"/>
      <c r="L206" s="2"/>
      <c r="M206" s="2" t="s">
        <v>2291</v>
      </c>
    </row>
    <row r="207" spans="1:13" x14ac:dyDescent="0.25">
      <c r="A207" s="3" t="s">
        <v>2225</v>
      </c>
      <c r="B207" s="3">
        <v>43732</v>
      </c>
      <c r="C207" s="2" t="s">
        <v>59</v>
      </c>
      <c r="D207" s="2">
        <v>5</v>
      </c>
      <c r="E207" s="2" t="s">
        <v>2234</v>
      </c>
      <c r="F207" s="2" t="s">
        <v>2288</v>
      </c>
      <c r="G207" s="2">
        <v>12</v>
      </c>
      <c r="H207" s="2" t="s">
        <v>2230</v>
      </c>
      <c r="I207" s="3">
        <v>45646</v>
      </c>
      <c r="J207" s="2" t="s">
        <v>1785</v>
      </c>
      <c r="K207" s="2"/>
      <c r="L207" s="2"/>
      <c r="M207" s="2" t="s">
        <v>2291</v>
      </c>
    </row>
    <row r="208" spans="1:13" x14ac:dyDescent="0.25">
      <c r="A208" s="3" t="s">
        <v>2225</v>
      </c>
      <c r="B208" s="3">
        <v>43732</v>
      </c>
      <c r="C208" s="2" t="s">
        <v>59</v>
      </c>
      <c r="D208" s="2">
        <v>5</v>
      </c>
      <c r="E208" s="2" t="s">
        <v>2234</v>
      </c>
      <c r="F208" s="2" t="s">
        <v>2289</v>
      </c>
      <c r="G208" s="2">
        <v>11</v>
      </c>
      <c r="H208" s="2" t="s">
        <v>2230</v>
      </c>
      <c r="I208" s="3">
        <v>45646</v>
      </c>
      <c r="J208" s="2" t="s">
        <v>1785</v>
      </c>
      <c r="K208" s="2"/>
      <c r="L208" s="2"/>
      <c r="M208" s="2" t="s">
        <v>2291</v>
      </c>
    </row>
    <row r="209" spans="1:13" x14ac:dyDescent="0.25">
      <c r="A209" s="3" t="s">
        <v>2225</v>
      </c>
      <c r="B209" s="3">
        <v>43732</v>
      </c>
      <c r="C209" s="2" t="s">
        <v>59</v>
      </c>
      <c r="D209" s="2">
        <v>5</v>
      </c>
      <c r="E209" s="2" t="s">
        <v>2235</v>
      </c>
      <c r="F209" s="2" t="s">
        <v>2246</v>
      </c>
      <c r="G209" s="2">
        <v>53</v>
      </c>
      <c r="H209" s="2" t="s">
        <v>2230</v>
      </c>
      <c r="I209" s="3">
        <v>45646</v>
      </c>
      <c r="J209" s="2" t="s">
        <v>1785</v>
      </c>
      <c r="K209" s="2"/>
      <c r="L209" s="2"/>
      <c r="M209" s="2" t="s">
        <v>2291</v>
      </c>
    </row>
    <row r="210" spans="1:13" x14ac:dyDescent="0.25">
      <c r="A210" s="3" t="s">
        <v>2225</v>
      </c>
      <c r="B210" s="3">
        <v>43732</v>
      </c>
      <c r="C210" s="2" t="s">
        <v>59</v>
      </c>
      <c r="D210" s="2">
        <v>5</v>
      </c>
      <c r="E210" s="2" t="s">
        <v>2235</v>
      </c>
      <c r="F210" s="2" t="s">
        <v>2247</v>
      </c>
      <c r="G210" s="2">
        <v>26</v>
      </c>
      <c r="H210" s="2" t="s">
        <v>2230</v>
      </c>
      <c r="I210" s="3">
        <v>45646</v>
      </c>
      <c r="J210" s="2" t="s">
        <v>1785</v>
      </c>
      <c r="K210" s="2"/>
      <c r="L210" s="2"/>
      <c r="M210" s="2" t="s">
        <v>2291</v>
      </c>
    </row>
    <row r="211" spans="1:13" x14ac:dyDescent="0.25">
      <c r="A211" s="3" t="s">
        <v>2225</v>
      </c>
      <c r="B211" s="3">
        <v>43732</v>
      </c>
      <c r="C211" s="2" t="s">
        <v>59</v>
      </c>
      <c r="D211" s="2">
        <v>5</v>
      </c>
      <c r="E211" s="2" t="s">
        <v>2235</v>
      </c>
      <c r="F211" s="2" t="s">
        <v>2248</v>
      </c>
      <c r="G211" s="2">
        <v>67</v>
      </c>
      <c r="H211" s="2" t="s">
        <v>2230</v>
      </c>
      <c r="I211" s="3">
        <v>45646</v>
      </c>
      <c r="J211" s="2" t="s">
        <v>1785</v>
      </c>
      <c r="K211" s="2"/>
      <c r="L211" s="2"/>
      <c r="M211" s="2" t="s">
        <v>2291</v>
      </c>
    </row>
    <row r="212" spans="1:13" x14ac:dyDescent="0.25">
      <c r="A212" s="3" t="s">
        <v>2225</v>
      </c>
      <c r="B212" s="3">
        <v>43732</v>
      </c>
      <c r="C212" s="2" t="s">
        <v>59</v>
      </c>
      <c r="D212" s="2">
        <v>5</v>
      </c>
      <c r="E212" s="2" t="s">
        <v>2235</v>
      </c>
      <c r="F212" s="2" t="s">
        <v>2249</v>
      </c>
      <c r="G212" s="2">
        <v>22</v>
      </c>
      <c r="H212" s="2" t="s">
        <v>2230</v>
      </c>
      <c r="I212" s="3">
        <v>45646</v>
      </c>
      <c r="J212" s="2" t="s">
        <v>1785</v>
      </c>
      <c r="K212" s="2"/>
      <c r="L212" s="2"/>
      <c r="M212" s="2" t="s">
        <v>2291</v>
      </c>
    </row>
    <row r="213" spans="1:13" x14ac:dyDescent="0.25">
      <c r="A213" s="3" t="s">
        <v>2225</v>
      </c>
      <c r="B213" s="3">
        <v>43732</v>
      </c>
      <c r="C213" s="2" t="s">
        <v>59</v>
      </c>
      <c r="D213" s="2">
        <v>5</v>
      </c>
      <c r="E213" s="2" t="s">
        <v>2235</v>
      </c>
      <c r="F213" s="2" t="s">
        <v>2250</v>
      </c>
      <c r="G213" s="2">
        <v>33</v>
      </c>
      <c r="H213" s="2" t="s">
        <v>2230</v>
      </c>
      <c r="I213" s="3">
        <v>45646</v>
      </c>
      <c r="J213" s="2" t="s">
        <v>1785</v>
      </c>
      <c r="K213" s="2"/>
      <c r="L213" s="2"/>
      <c r="M213" s="2" t="s">
        <v>2291</v>
      </c>
    </row>
    <row r="214" spans="1:13" x14ac:dyDescent="0.25">
      <c r="A214" s="3" t="s">
        <v>2225</v>
      </c>
      <c r="B214" s="3">
        <v>43732</v>
      </c>
      <c r="C214" s="2" t="s">
        <v>59</v>
      </c>
      <c r="D214" s="2">
        <v>5</v>
      </c>
      <c r="E214" s="2" t="s">
        <v>2235</v>
      </c>
      <c r="F214" s="2" t="s">
        <v>2251</v>
      </c>
      <c r="G214" s="2">
        <v>23</v>
      </c>
      <c r="H214" s="2" t="s">
        <v>2230</v>
      </c>
      <c r="I214" s="3">
        <v>45646</v>
      </c>
      <c r="J214" s="2" t="s">
        <v>1785</v>
      </c>
      <c r="K214" s="2"/>
      <c r="L214" s="2"/>
      <c r="M214" s="2" t="s">
        <v>2291</v>
      </c>
    </row>
    <row r="215" spans="1:13" x14ac:dyDescent="0.25">
      <c r="A215" s="3" t="s">
        <v>2225</v>
      </c>
      <c r="B215" s="3">
        <v>43732</v>
      </c>
      <c r="C215" s="2" t="s">
        <v>59</v>
      </c>
      <c r="D215" s="2">
        <v>5</v>
      </c>
      <c r="E215" s="2" t="s">
        <v>2235</v>
      </c>
      <c r="F215" s="2" t="s">
        <v>2252</v>
      </c>
      <c r="G215" s="2">
        <v>36</v>
      </c>
      <c r="H215" s="2" t="s">
        <v>2230</v>
      </c>
      <c r="I215" s="3">
        <v>45646</v>
      </c>
      <c r="J215" s="2" t="s">
        <v>1785</v>
      </c>
      <c r="K215" s="2"/>
      <c r="L215" s="2"/>
      <c r="M215" s="2" t="s">
        <v>2291</v>
      </c>
    </row>
    <row r="216" spans="1:13" x14ac:dyDescent="0.25">
      <c r="A216" s="3" t="s">
        <v>2225</v>
      </c>
      <c r="B216" s="3">
        <v>43732</v>
      </c>
      <c r="C216" s="2" t="s">
        <v>59</v>
      </c>
      <c r="D216" s="2">
        <v>5</v>
      </c>
      <c r="E216" s="2" t="s">
        <v>2235</v>
      </c>
      <c r="F216" s="2" t="s">
        <v>2253</v>
      </c>
      <c r="G216" s="2">
        <v>18</v>
      </c>
      <c r="H216" s="2" t="s">
        <v>2230</v>
      </c>
      <c r="I216" s="3">
        <v>45646</v>
      </c>
      <c r="J216" s="2" t="s">
        <v>1785</v>
      </c>
      <c r="K216" s="2"/>
      <c r="L216" s="2"/>
      <c r="M216" s="2" t="s">
        <v>2291</v>
      </c>
    </row>
    <row r="217" spans="1:13" x14ac:dyDescent="0.25">
      <c r="A217" s="3" t="s">
        <v>2225</v>
      </c>
      <c r="B217" s="3">
        <v>43732</v>
      </c>
      <c r="C217" s="2" t="s">
        <v>59</v>
      </c>
      <c r="D217" s="2">
        <v>5</v>
      </c>
      <c r="E217" s="2" t="s">
        <v>2235</v>
      </c>
      <c r="F217" s="2" t="s">
        <v>2254</v>
      </c>
      <c r="G217" s="2">
        <v>28</v>
      </c>
      <c r="H217" s="2" t="s">
        <v>2230</v>
      </c>
      <c r="I217" s="3">
        <v>45646</v>
      </c>
      <c r="J217" s="2" t="s">
        <v>1785</v>
      </c>
      <c r="K217" s="2"/>
      <c r="L217" s="2"/>
      <c r="M217" s="2" t="s">
        <v>2291</v>
      </c>
    </row>
    <row r="218" spans="1:13" x14ac:dyDescent="0.25">
      <c r="A218" s="3" t="s">
        <v>2225</v>
      </c>
      <c r="B218" s="3">
        <v>43732</v>
      </c>
      <c r="C218" s="2" t="s">
        <v>59</v>
      </c>
      <c r="D218" s="2">
        <v>5</v>
      </c>
      <c r="E218" s="2" t="s">
        <v>2235</v>
      </c>
      <c r="F218" s="2" t="s">
        <v>2240</v>
      </c>
      <c r="G218" s="2">
        <v>14</v>
      </c>
      <c r="H218" s="2" t="s">
        <v>2230</v>
      </c>
      <c r="I218" s="3">
        <v>45646</v>
      </c>
      <c r="J218" s="2" t="s">
        <v>1785</v>
      </c>
      <c r="K218" s="2"/>
      <c r="L218" s="2"/>
      <c r="M218" s="2" t="s">
        <v>2291</v>
      </c>
    </row>
    <row r="219" spans="1:13" x14ac:dyDescent="0.25">
      <c r="A219" s="3" t="s">
        <v>2225</v>
      </c>
      <c r="B219" s="3">
        <v>43732</v>
      </c>
      <c r="C219" s="2" t="s">
        <v>59</v>
      </c>
      <c r="D219" s="2">
        <v>5</v>
      </c>
      <c r="E219" s="2" t="s">
        <v>2235</v>
      </c>
      <c r="F219" s="2" t="s">
        <v>2241</v>
      </c>
      <c r="G219" s="2">
        <v>65</v>
      </c>
      <c r="H219" s="2" t="s">
        <v>2230</v>
      </c>
      <c r="I219" s="3">
        <v>45646</v>
      </c>
      <c r="J219" s="2" t="s">
        <v>1785</v>
      </c>
      <c r="K219" s="2"/>
      <c r="L219" s="2"/>
      <c r="M219" s="2" t="s">
        <v>2291</v>
      </c>
    </row>
    <row r="220" spans="1:13" x14ac:dyDescent="0.25">
      <c r="A220" s="3" t="s">
        <v>2225</v>
      </c>
      <c r="B220" s="3">
        <v>43732</v>
      </c>
      <c r="C220" s="2" t="s">
        <v>59</v>
      </c>
      <c r="D220" s="2">
        <v>5</v>
      </c>
      <c r="E220" s="2" t="s">
        <v>2235</v>
      </c>
      <c r="F220" s="2" t="s">
        <v>2242</v>
      </c>
      <c r="G220" s="2">
        <v>36</v>
      </c>
      <c r="H220" s="2" t="s">
        <v>2230</v>
      </c>
      <c r="I220" s="3">
        <v>45646</v>
      </c>
      <c r="J220" s="2" t="s">
        <v>1785</v>
      </c>
      <c r="K220" s="2"/>
      <c r="L220" s="2"/>
      <c r="M220" s="2" t="s">
        <v>2291</v>
      </c>
    </row>
    <row r="221" spans="1:13" x14ac:dyDescent="0.25">
      <c r="A221" s="3" t="s">
        <v>2225</v>
      </c>
      <c r="B221" s="3">
        <v>43732</v>
      </c>
      <c r="C221" s="2" t="s">
        <v>59</v>
      </c>
      <c r="D221" s="2">
        <v>5</v>
      </c>
      <c r="E221" s="2" t="s">
        <v>2235</v>
      </c>
      <c r="F221" s="2" t="s">
        <v>2243</v>
      </c>
      <c r="G221" s="2">
        <v>34</v>
      </c>
      <c r="H221" s="2" t="s">
        <v>2230</v>
      </c>
      <c r="I221" s="3">
        <v>45646</v>
      </c>
      <c r="J221" s="2" t="s">
        <v>1785</v>
      </c>
      <c r="K221" s="2"/>
      <c r="L221" s="2"/>
      <c r="M221" s="2" t="s">
        <v>2291</v>
      </c>
    </row>
    <row r="222" spans="1:13" x14ac:dyDescent="0.25">
      <c r="A222" s="3" t="s">
        <v>2225</v>
      </c>
      <c r="B222" s="3">
        <v>43732</v>
      </c>
      <c r="C222" s="2" t="s">
        <v>59</v>
      </c>
      <c r="D222" s="2">
        <v>5</v>
      </c>
      <c r="E222" s="2" t="s">
        <v>2235</v>
      </c>
      <c r="F222" s="2" t="s">
        <v>2244</v>
      </c>
      <c r="G222" s="2">
        <v>32</v>
      </c>
      <c r="H222" s="2" t="s">
        <v>2230</v>
      </c>
      <c r="I222" s="3">
        <v>45646</v>
      </c>
      <c r="J222" s="2" t="s">
        <v>1785</v>
      </c>
      <c r="K222" s="2"/>
      <c r="L222" s="2"/>
      <c r="M222" s="2" t="s">
        <v>2291</v>
      </c>
    </row>
    <row r="223" spans="1:13" x14ac:dyDescent="0.25">
      <c r="A223" s="3" t="s">
        <v>2225</v>
      </c>
      <c r="B223" s="3">
        <v>43732</v>
      </c>
      <c r="C223" s="2" t="s">
        <v>59</v>
      </c>
      <c r="D223" s="2">
        <v>5</v>
      </c>
      <c r="E223" s="2" t="s">
        <v>2235</v>
      </c>
      <c r="F223" s="2" t="s">
        <v>2245</v>
      </c>
      <c r="G223" s="2">
        <v>31</v>
      </c>
      <c r="H223" s="2" t="s">
        <v>2230</v>
      </c>
      <c r="I223" s="3">
        <v>45646</v>
      </c>
      <c r="J223" s="2" t="s">
        <v>1785</v>
      </c>
      <c r="K223" s="2"/>
      <c r="L223" s="2"/>
      <c r="M223" s="2" t="s">
        <v>2291</v>
      </c>
    </row>
    <row r="224" spans="1:13" x14ac:dyDescent="0.25">
      <c r="A224" s="3" t="s">
        <v>2225</v>
      </c>
      <c r="B224" s="3">
        <v>43732</v>
      </c>
      <c r="C224" s="2" t="s">
        <v>59</v>
      </c>
      <c r="D224" s="2">
        <v>5</v>
      </c>
      <c r="E224" s="2" t="s">
        <v>2235</v>
      </c>
      <c r="F224" s="2" t="s">
        <v>2255</v>
      </c>
      <c r="G224" s="2">
        <v>32</v>
      </c>
      <c r="H224" s="2" t="s">
        <v>2230</v>
      </c>
      <c r="I224" s="3">
        <v>45646</v>
      </c>
      <c r="J224" s="2" t="s">
        <v>1785</v>
      </c>
      <c r="K224" s="2"/>
      <c r="L224" s="2"/>
      <c r="M224" s="2" t="s">
        <v>2291</v>
      </c>
    </row>
    <row r="225" spans="1:13" x14ac:dyDescent="0.25">
      <c r="A225" s="3" t="s">
        <v>2225</v>
      </c>
      <c r="B225" s="3">
        <v>43732</v>
      </c>
      <c r="C225" s="2" t="s">
        <v>59</v>
      </c>
      <c r="D225" s="2">
        <v>5</v>
      </c>
      <c r="E225" s="2" t="s">
        <v>2235</v>
      </c>
      <c r="F225" s="2" t="s">
        <v>2256</v>
      </c>
      <c r="G225" s="2">
        <v>26</v>
      </c>
      <c r="H225" s="2" t="s">
        <v>2230</v>
      </c>
      <c r="I225" s="3">
        <v>45646</v>
      </c>
      <c r="J225" s="2" t="s">
        <v>1785</v>
      </c>
      <c r="K225" s="2"/>
      <c r="L225" s="2"/>
      <c r="M225" s="2" t="s">
        <v>2291</v>
      </c>
    </row>
    <row r="226" spans="1:13" x14ac:dyDescent="0.25">
      <c r="A226" s="3" t="s">
        <v>2225</v>
      </c>
      <c r="B226" s="3">
        <v>43732</v>
      </c>
      <c r="C226" s="2" t="s">
        <v>59</v>
      </c>
      <c r="D226" s="2">
        <v>5</v>
      </c>
      <c r="E226" s="2" t="s">
        <v>2235</v>
      </c>
      <c r="F226" s="2" t="s">
        <v>2257</v>
      </c>
      <c r="G226" s="2">
        <v>55</v>
      </c>
      <c r="H226" s="2" t="s">
        <v>2230</v>
      </c>
      <c r="I226" s="3">
        <v>45646</v>
      </c>
      <c r="J226" s="2" t="s">
        <v>1785</v>
      </c>
      <c r="K226" s="2"/>
      <c r="L226" s="2"/>
      <c r="M226" s="2" t="s">
        <v>2291</v>
      </c>
    </row>
    <row r="227" spans="1:13" x14ac:dyDescent="0.25">
      <c r="A227" s="3" t="s">
        <v>2225</v>
      </c>
      <c r="B227" s="3">
        <v>43732</v>
      </c>
      <c r="C227" s="2" t="s">
        <v>59</v>
      </c>
      <c r="D227" s="2">
        <v>5</v>
      </c>
      <c r="E227" s="2" t="s">
        <v>2235</v>
      </c>
      <c r="F227" s="2" t="s">
        <v>2258</v>
      </c>
      <c r="G227" s="2">
        <v>15</v>
      </c>
      <c r="H227" s="2" t="s">
        <v>2230</v>
      </c>
      <c r="I227" s="3">
        <v>45646</v>
      </c>
      <c r="J227" s="2" t="s">
        <v>1785</v>
      </c>
      <c r="K227" s="2"/>
      <c r="L227" s="2"/>
      <c r="M227" s="2" t="s">
        <v>2291</v>
      </c>
    </row>
    <row r="228" spans="1:13" x14ac:dyDescent="0.25">
      <c r="A228" s="3" t="s">
        <v>2225</v>
      </c>
      <c r="B228" s="3">
        <v>43732</v>
      </c>
      <c r="C228" s="2" t="s">
        <v>59</v>
      </c>
      <c r="D228" s="2">
        <v>5</v>
      </c>
      <c r="E228" s="2" t="s">
        <v>2235</v>
      </c>
      <c r="F228" s="2" t="s">
        <v>2259</v>
      </c>
      <c r="G228" s="2">
        <v>23</v>
      </c>
      <c r="H228" s="2" t="s">
        <v>2230</v>
      </c>
      <c r="I228" s="3">
        <v>45646</v>
      </c>
      <c r="J228" s="2" t="s">
        <v>1785</v>
      </c>
      <c r="K228" s="2"/>
      <c r="L228" s="2"/>
      <c r="M228" s="2" t="s">
        <v>2291</v>
      </c>
    </row>
    <row r="229" spans="1:13" x14ac:dyDescent="0.25">
      <c r="A229" s="3" t="s">
        <v>2225</v>
      </c>
      <c r="B229" s="3">
        <v>43732</v>
      </c>
      <c r="C229" s="2" t="s">
        <v>59</v>
      </c>
      <c r="D229" s="2">
        <v>5</v>
      </c>
      <c r="E229" s="2" t="s">
        <v>2235</v>
      </c>
      <c r="F229" s="2" t="s">
        <v>2260</v>
      </c>
      <c r="G229" s="2">
        <v>30</v>
      </c>
      <c r="H229" s="2" t="s">
        <v>2230</v>
      </c>
      <c r="I229" s="3">
        <v>45646</v>
      </c>
      <c r="J229" s="2" t="s">
        <v>1785</v>
      </c>
      <c r="K229" s="2"/>
      <c r="L229" s="2"/>
      <c r="M229" s="2" t="s">
        <v>2291</v>
      </c>
    </row>
    <row r="230" spans="1:13" x14ac:dyDescent="0.25">
      <c r="A230" s="3" t="s">
        <v>2225</v>
      </c>
      <c r="B230" s="3">
        <v>43732</v>
      </c>
      <c r="C230" s="2" t="s">
        <v>59</v>
      </c>
      <c r="D230" s="2">
        <v>5</v>
      </c>
      <c r="E230" s="2" t="s">
        <v>2235</v>
      </c>
      <c r="F230" s="2" t="s">
        <v>2261</v>
      </c>
      <c r="G230" s="2">
        <v>24</v>
      </c>
      <c r="H230" s="2" t="s">
        <v>2230</v>
      </c>
      <c r="I230" s="3">
        <v>45646</v>
      </c>
      <c r="J230" s="2" t="s">
        <v>1785</v>
      </c>
      <c r="K230" s="2"/>
      <c r="L230" s="2"/>
      <c r="M230" s="2" t="s">
        <v>2291</v>
      </c>
    </row>
    <row r="231" spans="1:13" x14ac:dyDescent="0.25">
      <c r="A231" s="3" t="s">
        <v>2225</v>
      </c>
      <c r="B231" s="3">
        <v>43732</v>
      </c>
      <c r="C231" s="2" t="s">
        <v>59</v>
      </c>
      <c r="D231" s="2">
        <v>5</v>
      </c>
      <c r="E231" s="2" t="s">
        <v>2235</v>
      </c>
      <c r="F231" s="2" t="s">
        <v>2262</v>
      </c>
      <c r="G231" s="2">
        <v>16</v>
      </c>
      <c r="H231" s="2" t="s">
        <v>2230</v>
      </c>
      <c r="I231" s="3">
        <v>45646</v>
      </c>
      <c r="J231" s="2" t="s">
        <v>1785</v>
      </c>
      <c r="K231" s="2"/>
      <c r="L231" s="2"/>
      <c r="M231" s="2" t="s">
        <v>2291</v>
      </c>
    </row>
    <row r="232" spans="1:13" x14ac:dyDescent="0.25">
      <c r="A232" s="3" t="s">
        <v>2225</v>
      </c>
      <c r="B232" s="3">
        <v>43732</v>
      </c>
      <c r="C232" s="2" t="s">
        <v>59</v>
      </c>
      <c r="D232" s="2">
        <v>5</v>
      </c>
      <c r="E232" s="2" t="s">
        <v>2235</v>
      </c>
      <c r="F232" s="2" t="s">
        <v>2263</v>
      </c>
      <c r="G232" s="2">
        <v>13</v>
      </c>
      <c r="H232" s="2" t="s">
        <v>2230</v>
      </c>
      <c r="I232" s="3">
        <v>45646</v>
      </c>
      <c r="J232" s="2" t="s">
        <v>1785</v>
      </c>
      <c r="K232" s="2"/>
      <c r="L232" s="2"/>
      <c r="M232" s="2" t="s">
        <v>2291</v>
      </c>
    </row>
    <row r="233" spans="1:13" x14ac:dyDescent="0.25">
      <c r="A233" s="3" t="s">
        <v>2225</v>
      </c>
      <c r="B233" s="3">
        <v>43732</v>
      </c>
      <c r="C233" s="2" t="s">
        <v>59</v>
      </c>
      <c r="D233" s="2">
        <v>5</v>
      </c>
      <c r="E233" s="2" t="s">
        <v>2235</v>
      </c>
      <c r="F233" s="2" t="s">
        <v>2264</v>
      </c>
      <c r="G233" s="2">
        <v>60</v>
      </c>
      <c r="H233" s="2" t="s">
        <v>2230</v>
      </c>
      <c r="I233" s="3">
        <v>45646</v>
      </c>
      <c r="J233" s="2" t="s">
        <v>1785</v>
      </c>
      <c r="K233" s="2"/>
      <c r="L233" s="2"/>
      <c r="M233" s="2" t="s">
        <v>2291</v>
      </c>
    </row>
    <row r="234" spans="1:13" x14ac:dyDescent="0.25">
      <c r="A234" s="3" t="s">
        <v>2225</v>
      </c>
      <c r="B234" s="3">
        <v>43732</v>
      </c>
      <c r="C234" s="2" t="s">
        <v>59</v>
      </c>
      <c r="D234" s="2">
        <v>5</v>
      </c>
      <c r="E234" s="2" t="s">
        <v>2235</v>
      </c>
      <c r="F234" s="2" t="s">
        <v>2265</v>
      </c>
      <c r="G234" s="2">
        <v>47</v>
      </c>
      <c r="H234" s="2" t="s">
        <v>2230</v>
      </c>
      <c r="I234" s="3">
        <v>45646</v>
      </c>
      <c r="J234" s="2" t="s">
        <v>1785</v>
      </c>
      <c r="K234" s="2"/>
      <c r="L234" s="2"/>
      <c r="M234" s="2" t="s">
        <v>2291</v>
      </c>
    </row>
    <row r="235" spans="1:13" x14ac:dyDescent="0.25">
      <c r="A235" s="3" t="s">
        <v>2225</v>
      </c>
      <c r="B235" s="3">
        <v>43732</v>
      </c>
      <c r="C235" s="2" t="s">
        <v>59</v>
      </c>
      <c r="D235" s="2">
        <v>5</v>
      </c>
      <c r="E235" s="2" t="s">
        <v>2235</v>
      </c>
      <c r="F235" s="2" t="s">
        <v>2266</v>
      </c>
      <c r="G235" s="2">
        <v>30</v>
      </c>
      <c r="H235" s="2" t="s">
        <v>2230</v>
      </c>
      <c r="I235" s="3">
        <v>45646</v>
      </c>
      <c r="J235" s="2" t="s">
        <v>1785</v>
      </c>
      <c r="K235" s="2"/>
      <c r="L235" s="2"/>
      <c r="M235" s="2" t="s">
        <v>2291</v>
      </c>
    </row>
    <row r="236" spans="1:13" x14ac:dyDescent="0.25">
      <c r="A236" s="3" t="s">
        <v>2225</v>
      </c>
      <c r="B236" s="3">
        <v>43732</v>
      </c>
      <c r="C236" s="2" t="s">
        <v>59</v>
      </c>
      <c r="D236" s="2">
        <v>5</v>
      </c>
      <c r="E236" s="2" t="s">
        <v>2235</v>
      </c>
      <c r="F236" s="2" t="s">
        <v>2267</v>
      </c>
      <c r="G236" s="2">
        <v>18</v>
      </c>
      <c r="H236" s="2" t="s">
        <v>2230</v>
      </c>
      <c r="I236" s="3">
        <v>45646</v>
      </c>
      <c r="J236" s="2" t="s">
        <v>1785</v>
      </c>
      <c r="K236" s="2"/>
      <c r="L236" s="2"/>
      <c r="M236" s="2" t="s">
        <v>2291</v>
      </c>
    </row>
    <row r="237" spans="1:13" x14ac:dyDescent="0.25">
      <c r="A237" s="3" t="s">
        <v>2225</v>
      </c>
      <c r="B237" s="3">
        <v>43732</v>
      </c>
      <c r="C237" s="2" t="s">
        <v>59</v>
      </c>
      <c r="D237" s="2">
        <v>5</v>
      </c>
      <c r="E237" s="2" t="s">
        <v>2235</v>
      </c>
      <c r="F237" s="2" t="s">
        <v>2268</v>
      </c>
      <c r="G237" s="2">
        <v>16</v>
      </c>
      <c r="H237" s="2" t="s">
        <v>2230</v>
      </c>
      <c r="I237" s="3">
        <v>45646</v>
      </c>
      <c r="J237" s="2" t="s">
        <v>1785</v>
      </c>
      <c r="K237" s="2"/>
      <c r="L237" s="2"/>
      <c r="M237" s="2" t="s">
        <v>2291</v>
      </c>
    </row>
    <row r="238" spans="1:13" x14ac:dyDescent="0.25">
      <c r="A238" s="3" t="s">
        <v>2225</v>
      </c>
      <c r="B238" s="3">
        <v>43732</v>
      </c>
      <c r="C238" s="2" t="s">
        <v>59</v>
      </c>
      <c r="D238" s="2">
        <v>5</v>
      </c>
      <c r="E238" s="2" t="s">
        <v>2235</v>
      </c>
      <c r="F238" s="2" t="s">
        <v>2269</v>
      </c>
      <c r="G238" s="2">
        <v>30</v>
      </c>
      <c r="H238" s="2" t="s">
        <v>2230</v>
      </c>
      <c r="I238" s="3">
        <v>45646</v>
      </c>
      <c r="J238" s="2" t="s">
        <v>1785</v>
      </c>
      <c r="K238" s="2"/>
      <c r="L238" s="2"/>
      <c r="M238" s="2" t="s">
        <v>2291</v>
      </c>
    </row>
    <row r="239" spans="1:13" x14ac:dyDescent="0.25">
      <c r="A239" s="3" t="s">
        <v>2225</v>
      </c>
      <c r="B239" s="3">
        <v>43732</v>
      </c>
      <c r="C239" s="2" t="s">
        <v>59</v>
      </c>
      <c r="D239" s="2">
        <v>5</v>
      </c>
      <c r="E239" s="2" t="s">
        <v>2235</v>
      </c>
      <c r="F239" s="2" t="s">
        <v>2270</v>
      </c>
      <c r="G239" s="2">
        <v>82</v>
      </c>
      <c r="H239" s="2" t="s">
        <v>2230</v>
      </c>
      <c r="I239" s="3">
        <v>45646</v>
      </c>
      <c r="J239" s="2" t="s">
        <v>1785</v>
      </c>
      <c r="K239" s="2"/>
      <c r="L239" s="2"/>
      <c r="M239" s="2" t="s">
        <v>2291</v>
      </c>
    </row>
    <row r="240" spans="1:13" x14ac:dyDescent="0.25">
      <c r="A240" s="3" t="s">
        <v>2225</v>
      </c>
      <c r="B240" s="3">
        <v>43732</v>
      </c>
      <c r="C240" s="2" t="s">
        <v>59</v>
      </c>
      <c r="D240" s="2">
        <v>5</v>
      </c>
      <c r="E240" s="2" t="s">
        <v>2235</v>
      </c>
      <c r="F240" s="2" t="s">
        <v>2271</v>
      </c>
      <c r="G240" s="2">
        <v>45</v>
      </c>
      <c r="H240" s="2" t="s">
        <v>2230</v>
      </c>
      <c r="I240" s="3">
        <v>45646</v>
      </c>
      <c r="J240" s="2" t="s">
        <v>1785</v>
      </c>
      <c r="K240" s="2"/>
      <c r="L240" s="2"/>
      <c r="M240" s="2" t="s">
        <v>2291</v>
      </c>
    </row>
    <row r="241" spans="1:13" x14ac:dyDescent="0.25">
      <c r="A241" s="3" t="s">
        <v>2225</v>
      </c>
      <c r="B241" s="3">
        <v>43732</v>
      </c>
      <c r="C241" s="2" t="s">
        <v>59</v>
      </c>
      <c r="D241" s="2">
        <v>5</v>
      </c>
      <c r="E241" s="2" t="s">
        <v>2235</v>
      </c>
      <c r="F241" s="2" t="s">
        <v>2272</v>
      </c>
      <c r="G241" s="2">
        <v>12</v>
      </c>
      <c r="H241" s="2" t="s">
        <v>2230</v>
      </c>
      <c r="I241" s="3">
        <v>45646</v>
      </c>
      <c r="J241" s="2" t="s">
        <v>1785</v>
      </c>
      <c r="K241" s="2"/>
      <c r="L241" s="2"/>
      <c r="M241" s="2" t="s">
        <v>2291</v>
      </c>
    </row>
    <row r="242" spans="1:13" x14ac:dyDescent="0.25">
      <c r="A242" s="3" t="s">
        <v>2225</v>
      </c>
      <c r="B242" s="3">
        <v>43732</v>
      </c>
      <c r="C242" s="2" t="s">
        <v>59</v>
      </c>
      <c r="D242" s="2">
        <v>5</v>
      </c>
      <c r="E242" s="2" t="s">
        <v>2235</v>
      </c>
      <c r="F242" s="2" t="s">
        <v>2273</v>
      </c>
      <c r="G242" s="2">
        <v>36</v>
      </c>
      <c r="H242" s="2" t="s">
        <v>2230</v>
      </c>
      <c r="I242" s="3">
        <v>45646</v>
      </c>
      <c r="J242" s="2" t="s">
        <v>1785</v>
      </c>
      <c r="K242" s="2"/>
      <c r="L242" s="2"/>
      <c r="M242" s="2" t="s">
        <v>2291</v>
      </c>
    </row>
    <row r="243" spans="1:13" x14ac:dyDescent="0.25">
      <c r="A243" s="3" t="s">
        <v>2225</v>
      </c>
      <c r="B243" s="3">
        <v>43732</v>
      </c>
      <c r="C243" s="2" t="s">
        <v>59</v>
      </c>
      <c r="D243" s="2">
        <v>5</v>
      </c>
      <c r="E243" s="2" t="s">
        <v>2235</v>
      </c>
      <c r="F243" s="2" t="s">
        <v>2274</v>
      </c>
      <c r="G243" s="2">
        <v>15</v>
      </c>
      <c r="H243" s="2" t="s">
        <v>2230</v>
      </c>
      <c r="I243" s="3">
        <v>45646</v>
      </c>
      <c r="J243" s="2" t="s">
        <v>1785</v>
      </c>
      <c r="K243" s="2"/>
      <c r="L243" s="2"/>
      <c r="M243" s="2" t="s">
        <v>2291</v>
      </c>
    </row>
    <row r="244" spans="1:13" x14ac:dyDescent="0.25">
      <c r="A244" s="3" t="s">
        <v>2225</v>
      </c>
      <c r="B244" s="3">
        <v>43732</v>
      </c>
      <c r="C244" s="2" t="s">
        <v>59</v>
      </c>
      <c r="D244" s="2">
        <v>5</v>
      </c>
      <c r="E244" s="2" t="s">
        <v>2235</v>
      </c>
      <c r="F244" s="2" t="s">
        <v>2275</v>
      </c>
      <c r="G244" s="2">
        <v>11</v>
      </c>
      <c r="H244" s="2" t="s">
        <v>2230</v>
      </c>
      <c r="I244" s="3">
        <v>45646</v>
      </c>
      <c r="J244" s="2" t="s">
        <v>1785</v>
      </c>
      <c r="K244" s="2"/>
      <c r="L244" s="2"/>
      <c r="M244" s="2" t="s">
        <v>2291</v>
      </c>
    </row>
    <row r="245" spans="1:13" x14ac:dyDescent="0.25">
      <c r="A245" s="3" t="s">
        <v>2225</v>
      </c>
      <c r="B245" s="3">
        <v>43732</v>
      </c>
      <c r="C245" s="2" t="s">
        <v>59</v>
      </c>
      <c r="D245" s="2">
        <v>5</v>
      </c>
      <c r="E245" s="2" t="s">
        <v>2235</v>
      </c>
      <c r="F245" s="2" t="s">
        <v>2276</v>
      </c>
      <c r="G245" s="2">
        <v>22</v>
      </c>
      <c r="H245" s="2" t="s">
        <v>2230</v>
      </c>
      <c r="I245" s="3">
        <v>45646</v>
      </c>
      <c r="J245" s="2" t="s">
        <v>1785</v>
      </c>
      <c r="K245" s="2"/>
      <c r="L245" s="2"/>
      <c r="M245" s="2" t="s">
        <v>2291</v>
      </c>
    </row>
    <row r="246" spans="1:13" x14ac:dyDescent="0.25">
      <c r="A246" s="3" t="s">
        <v>2225</v>
      </c>
      <c r="B246" s="3">
        <v>43732</v>
      </c>
      <c r="C246" s="2" t="s">
        <v>59</v>
      </c>
      <c r="D246" s="2">
        <v>5</v>
      </c>
      <c r="E246" s="2" t="s">
        <v>2235</v>
      </c>
      <c r="F246" s="2" t="s">
        <v>2277</v>
      </c>
      <c r="G246" s="2">
        <v>12</v>
      </c>
      <c r="H246" s="2" t="s">
        <v>2230</v>
      </c>
      <c r="I246" s="3">
        <v>45646</v>
      </c>
      <c r="J246" s="2" t="s">
        <v>1785</v>
      </c>
      <c r="K246" s="2"/>
      <c r="L246" s="2"/>
      <c r="M246" s="2" t="s">
        <v>2291</v>
      </c>
    </row>
    <row r="247" spans="1:13" x14ac:dyDescent="0.25">
      <c r="A247" s="3" t="s">
        <v>2225</v>
      </c>
      <c r="B247" s="3">
        <v>43732</v>
      </c>
      <c r="C247" s="2" t="s">
        <v>59</v>
      </c>
      <c r="D247" s="2">
        <v>5</v>
      </c>
      <c r="E247" s="2" t="s">
        <v>2235</v>
      </c>
      <c r="F247" s="2" t="s">
        <v>2278</v>
      </c>
      <c r="G247" s="2">
        <v>42</v>
      </c>
      <c r="H247" s="2" t="s">
        <v>2230</v>
      </c>
      <c r="I247" s="3">
        <v>45646</v>
      </c>
      <c r="J247" s="2" t="s">
        <v>1785</v>
      </c>
      <c r="K247" s="2"/>
      <c r="L247" s="2"/>
      <c r="M247" s="2" t="s">
        <v>2291</v>
      </c>
    </row>
    <row r="248" spans="1:13" x14ac:dyDescent="0.25">
      <c r="A248" s="3" t="s">
        <v>2225</v>
      </c>
      <c r="B248" s="3">
        <v>43732</v>
      </c>
      <c r="C248" s="2" t="s">
        <v>59</v>
      </c>
      <c r="D248" s="2">
        <v>5</v>
      </c>
      <c r="E248" s="2" t="s">
        <v>2235</v>
      </c>
      <c r="F248" s="2" t="s">
        <v>2279</v>
      </c>
      <c r="G248" s="2">
        <v>36</v>
      </c>
      <c r="H248" s="2" t="s">
        <v>2230</v>
      </c>
      <c r="I248" s="3">
        <v>45646</v>
      </c>
      <c r="J248" s="2" t="s">
        <v>1785</v>
      </c>
      <c r="K248" s="2"/>
      <c r="L248" s="2"/>
      <c r="M248" s="2" t="s">
        <v>2291</v>
      </c>
    </row>
    <row r="249" spans="1:13" x14ac:dyDescent="0.25">
      <c r="A249" s="3" t="s">
        <v>2225</v>
      </c>
      <c r="B249" s="3">
        <v>43732</v>
      </c>
      <c r="C249" s="2" t="s">
        <v>59</v>
      </c>
      <c r="D249" s="2">
        <v>5</v>
      </c>
      <c r="E249" s="2" t="s">
        <v>2235</v>
      </c>
      <c r="F249" s="2" t="s">
        <v>2280</v>
      </c>
      <c r="G249" s="2">
        <v>23</v>
      </c>
      <c r="H249" s="2" t="s">
        <v>2230</v>
      </c>
      <c r="I249" s="3">
        <v>45646</v>
      </c>
      <c r="J249" s="2" t="s">
        <v>1785</v>
      </c>
      <c r="K249" s="2"/>
      <c r="L249" s="2"/>
      <c r="M249" s="2" t="s">
        <v>2291</v>
      </c>
    </row>
    <row r="250" spans="1:13" x14ac:dyDescent="0.25">
      <c r="A250" s="3" t="s">
        <v>2225</v>
      </c>
      <c r="B250" s="3">
        <v>43732</v>
      </c>
      <c r="C250" s="2" t="s">
        <v>59</v>
      </c>
      <c r="D250" s="2">
        <v>5</v>
      </c>
      <c r="E250" s="2" t="s">
        <v>2235</v>
      </c>
      <c r="F250" s="2" t="s">
        <v>2281</v>
      </c>
      <c r="G250" s="2">
        <v>15</v>
      </c>
      <c r="H250" s="2" t="s">
        <v>2230</v>
      </c>
      <c r="I250" s="3">
        <v>45646</v>
      </c>
      <c r="J250" s="2" t="s">
        <v>1785</v>
      </c>
      <c r="K250" s="2"/>
      <c r="L250" s="2"/>
      <c r="M250" s="2" t="s">
        <v>2291</v>
      </c>
    </row>
    <row r="251" spans="1:13" x14ac:dyDescent="0.25">
      <c r="A251" s="3" t="s">
        <v>2225</v>
      </c>
      <c r="B251" s="3">
        <v>43732</v>
      </c>
      <c r="C251" s="2" t="s">
        <v>59</v>
      </c>
      <c r="D251" s="2">
        <v>5</v>
      </c>
      <c r="E251" s="2" t="s">
        <v>2235</v>
      </c>
      <c r="F251" s="2" t="s">
        <v>2282</v>
      </c>
      <c r="G251" s="2">
        <v>20</v>
      </c>
      <c r="H251" s="2" t="s">
        <v>2230</v>
      </c>
      <c r="I251" s="3">
        <v>45646</v>
      </c>
      <c r="J251" s="2" t="s">
        <v>1785</v>
      </c>
      <c r="K251" s="2"/>
      <c r="L251" s="2"/>
      <c r="M251" s="2" t="s">
        <v>2291</v>
      </c>
    </row>
    <row r="252" spans="1:13" x14ac:dyDescent="0.25">
      <c r="A252" s="3" t="s">
        <v>2225</v>
      </c>
      <c r="B252" s="3">
        <v>43732</v>
      </c>
      <c r="C252" s="2" t="s">
        <v>59</v>
      </c>
      <c r="D252" s="2">
        <v>5</v>
      </c>
      <c r="E252" s="2" t="s">
        <v>2235</v>
      </c>
      <c r="F252" s="2" t="s">
        <v>2283</v>
      </c>
      <c r="G252" s="2">
        <v>32</v>
      </c>
      <c r="H252" s="2" t="s">
        <v>2230</v>
      </c>
      <c r="I252" s="3">
        <v>45646</v>
      </c>
      <c r="J252" s="2" t="s">
        <v>1785</v>
      </c>
      <c r="K252" s="2"/>
      <c r="L252" s="2"/>
      <c r="M252" s="2" t="s">
        <v>2291</v>
      </c>
    </row>
    <row r="253" spans="1:13" x14ac:dyDescent="0.25">
      <c r="A253" s="3" t="s">
        <v>2225</v>
      </c>
      <c r="B253" s="3">
        <v>43732</v>
      </c>
      <c r="C253" s="2" t="s">
        <v>59</v>
      </c>
      <c r="D253" s="2">
        <v>5</v>
      </c>
      <c r="E253" s="2" t="s">
        <v>2235</v>
      </c>
      <c r="F253" s="2" t="s">
        <v>2284</v>
      </c>
      <c r="G253" s="2">
        <v>20</v>
      </c>
      <c r="H253" s="2" t="s">
        <v>2230</v>
      </c>
      <c r="I253" s="3">
        <v>45646</v>
      </c>
      <c r="J253" s="2" t="s">
        <v>1785</v>
      </c>
      <c r="K253" s="2"/>
      <c r="L253" s="2"/>
      <c r="M253" s="2" t="s">
        <v>2291</v>
      </c>
    </row>
    <row r="254" spans="1:13" x14ac:dyDescent="0.25">
      <c r="A254" s="3" t="s">
        <v>2225</v>
      </c>
      <c r="B254" s="3">
        <v>43732</v>
      </c>
      <c r="C254" s="2" t="s">
        <v>59</v>
      </c>
      <c r="D254" s="2">
        <v>5</v>
      </c>
      <c r="E254" s="2" t="s">
        <v>2235</v>
      </c>
      <c r="F254" s="2" t="s">
        <v>2285</v>
      </c>
      <c r="G254" s="2">
        <v>21</v>
      </c>
      <c r="H254" s="2" t="s">
        <v>2230</v>
      </c>
      <c r="I254" s="3">
        <v>45646</v>
      </c>
      <c r="J254" s="2" t="s">
        <v>1785</v>
      </c>
      <c r="K254" s="2"/>
      <c r="L254" s="2"/>
      <c r="M254" s="2" t="s">
        <v>2291</v>
      </c>
    </row>
    <row r="255" spans="1:13" x14ac:dyDescent="0.25">
      <c r="A255" s="3" t="s">
        <v>2225</v>
      </c>
      <c r="B255" s="3">
        <v>43732</v>
      </c>
      <c r="C255" s="2" t="s">
        <v>59</v>
      </c>
      <c r="D255" s="2">
        <v>5</v>
      </c>
      <c r="E255" s="2" t="s">
        <v>2235</v>
      </c>
      <c r="F255" s="2" t="s">
        <v>2286</v>
      </c>
      <c r="G255" s="2">
        <v>34</v>
      </c>
      <c r="H255" s="2" t="s">
        <v>2230</v>
      </c>
      <c r="I255" s="3">
        <v>45646</v>
      </c>
      <c r="J255" s="2" t="s">
        <v>1785</v>
      </c>
      <c r="K255" s="2"/>
      <c r="L255" s="2"/>
      <c r="M255" s="2" t="s">
        <v>2291</v>
      </c>
    </row>
    <row r="256" spans="1:13" x14ac:dyDescent="0.25">
      <c r="A256" s="3" t="s">
        <v>2225</v>
      </c>
      <c r="B256" s="3">
        <v>43732</v>
      </c>
      <c r="C256" s="2" t="s">
        <v>59</v>
      </c>
      <c r="D256" s="2">
        <v>5</v>
      </c>
      <c r="E256" s="2" t="s">
        <v>2235</v>
      </c>
      <c r="F256" s="2" t="s">
        <v>2287</v>
      </c>
      <c r="G256" s="2">
        <v>22</v>
      </c>
      <c r="H256" s="2" t="s">
        <v>2230</v>
      </c>
      <c r="I256" s="3">
        <v>45646</v>
      </c>
      <c r="J256" s="2" t="s">
        <v>1785</v>
      </c>
      <c r="K256" s="2"/>
      <c r="L256" s="2"/>
      <c r="M256" s="2" t="s">
        <v>2291</v>
      </c>
    </row>
    <row r="257" spans="1:13" x14ac:dyDescent="0.25">
      <c r="A257" s="3" t="s">
        <v>2225</v>
      </c>
      <c r="B257" s="3">
        <v>43732</v>
      </c>
      <c r="C257" s="2" t="s">
        <v>59</v>
      </c>
      <c r="D257" s="2">
        <v>5</v>
      </c>
      <c r="E257" s="2" t="s">
        <v>2235</v>
      </c>
      <c r="F257" s="2" t="s">
        <v>2288</v>
      </c>
      <c r="G257" s="2">
        <v>25</v>
      </c>
      <c r="H257" s="2" t="s">
        <v>2230</v>
      </c>
      <c r="I257" s="3">
        <v>45646</v>
      </c>
      <c r="J257" s="2" t="s">
        <v>1785</v>
      </c>
      <c r="K257" s="2"/>
      <c r="L257" s="2"/>
      <c r="M257" s="2" t="s">
        <v>2291</v>
      </c>
    </row>
    <row r="258" spans="1:13" x14ac:dyDescent="0.25">
      <c r="A258" s="3" t="s">
        <v>2225</v>
      </c>
      <c r="B258" s="3">
        <v>43732</v>
      </c>
      <c r="C258" s="2" t="s">
        <v>59</v>
      </c>
      <c r="D258" s="2">
        <v>5</v>
      </c>
      <c r="E258" s="2" t="s">
        <v>2235</v>
      </c>
      <c r="F258" s="2" t="s">
        <v>2289</v>
      </c>
      <c r="G258" s="2">
        <v>26</v>
      </c>
      <c r="H258" s="2" t="s">
        <v>2230</v>
      </c>
      <c r="I258" s="3">
        <v>45646</v>
      </c>
      <c r="J258" s="2" t="s">
        <v>1785</v>
      </c>
      <c r="K258" s="2"/>
      <c r="L258" s="2"/>
      <c r="M258" s="2" t="s">
        <v>2291</v>
      </c>
    </row>
    <row r="259" spans="1:13" x14ac:dyDescent="0.25">
      <c r="A259" s="3" t="s">
        <v>2225</v>
      </c>
      <c r="B259" s="3">
        <v>43732</v>
      </c>
      <c r="C259" s="2" t="s">
        <v>59</v>
      </c>
      <c r="D259" s="2">
        <v>5</v>
      </c>
      <c r="E259" s="2" t="s">
        <v>2236</v>
      </c>
      <c r="F259" s="2" t="s">
        <v>2246</v>
      </c>
      <c r="G259" s="2">
        <v>40</v>
      </c>
      <c r="H259" s="2" t="s">
        <v>2230</v>
      </c>
      <c r="I259" s="3">
        <v>45646</v>
      </c>
      <c r="J259" s="2" t="s">
        <v>1785</v>
      </c>
      <c r="K259" s="2"/>
      <c r="L259" s="2"/>
      <c r="M259" s="2" t="s">
        <v>2291</v>
      </c>
    </row>
    <row r="260" spans="1:13" x14ac:dyDescent="0.25">
      <c r="A260" s="3" t="s">
        <v>2225</v>
      </c>
      <c r="B260" s="3">
        <v>43732</v>
      </c>
      <c r="C260" s="2" t="s">
        <v>59</v>
      </c>
      <c r="D260" s="2">
        <v>5</v>
      </c>
      <c r="E260" s="2" t="s">
        <v>2236</v>
      </c>
      <c r="F260" s="2" t="s">
        <v>2247</v>
      </c>
      <c r="G260" s="2">
        <v>32</v>
      </c>
      <c r="H260" s="2" t="s">
        <v>2230</v>
      </c>
      <c r="I260" s="3">
        <v>45646</v>
      </c>
      <c r="J260" s="2" t="s">
        <v>1785</v>
      </c>
      <c r="K260" s="2"/>
      <c r="L260" s="2"/>
      <c r="M260" s="2" t="s">
        <v>2291</v>
      </c>
    </row>
    <row r="261" spans="1:13" x14ac:dyDescent="0.25">
      <c r="A261" s="3" t="s">
        <v>2225</v>
      </c>
      <c r="B261" s="3">
        <v>43732</v>
      </c>
      <c r="C261" s="2" t="s">
        <v>59</v>
      </c>
      <c r="D261" s="2">
        <v>5</v>
      </c>
      <c r="E261" s="2" t="s">
        <v>2236</v>
      </c>
      <c r="F261" s="2" t="s">
        <v>2248</v>
      </c>
      <c r="G261" s="2">
        <v>30</v>
      </c>
      <c r="H261" s="2" t="s">
        <v>2230</v>
      </c>
      <c r="I261" s="3">
        <v>45646</v>
      </c>
      <c r="J261" s="2" t="s">
        <v>1785</v>
      </c>
      <c r="K261" s="2"/>
      <c r="L261" s="2"/>
      <c r="M261" s="2" t="s">
        <v>2291</v>
      </c>
    </row>
    <row r="262" spans="1:13" x14ac:dyDescent="0.25">
      <c r="A262" s="3" t="s">
        <v>2225</v>
      </c>
      <c r="B262" s="3">
        <v>43732</v>
      </c>
      <c r="C262" s="2" t="s">
        <v>59</v>
      </c>
      <c r="D262" s="2">
        <v>5</v>
      </c>
      <c r="E262" s="2" t="s">
        <v>2236</v>
      </c>
      <c r="F262" s="2" t="s">
        <v>2249</v>
      </c>
      <c r="G262" s="2">
        <v>10</v>
      </c>
      <c r="H262" s="2" t="s">
        <v>2230</v>
      </c>
      <c r="I262" s="3">
        <v>45646</v>
      </c>
      <c r="J262" s="2" t="s">
        <v>1785</v>
      </c>
      <c r="K262" s="2"/>
      <c r="L262" s="2"/>
      <c r="M262" s="2" t="s">
        <v>2291</v>
      </c>
    </row>
    <row r="263" spans="1:13" x14ac:dyDescent="0.25">
      <c r="A263" s="3" t="s">
        <v>2225</v>
      </c>
      <c r="B263" s="3">
        <v>43732</v>
      </c>
      <c r="C263" s="2" t="s">
        <v>59</v>
      </c>
      <c r="D263" s="2">
        <v>5</v>
      </c>
      <c r="E263" s="2" t="s">
        <v>2236</v>
      </c>
      <c r="F263" s="2" t="s">
        <v>2250</v>
      </c>
      <c r="G263" s="2">
        <v>18</v>
      </c>
      <c r="H263" s="2" t="s">
        <v>2230</v>
      </c>
      <c r="I263" s="3">
        <v>45646</v>
      </c>
      <c r="J263" s="2" t="s">
        <v>1785</v>
      </c>
      <c r="K263" s="2"/>
      <c r="L263" s="2"/>
      <c r="M263" s="2" t="s">
        <v>2291</v>
      </c>
    </row>
    <row r="264" spans="1:13" x14ac:dyDescent="0.25">
      <c r="A264" s="3" t="s">
        <v>2225</v>
      </c>
      <c r="B264" s="3">
        <v>43732</v>
      </c>
      <c r="C264" s="2" t="s">
        <v>59</v>
      </c>
      <c r="D264" s="2">
        <v>5</v>
      </c>
      <c r="E264" s="2" t="s">
        <v>2236</v>
      </c>
      <c r="F264" s="2" t="s">
        <v>2251</v>
      </c>
      <c r="G264" s="2">
        <v>22</v>
      </c>
      <c r="H264" s="2" t="s">
        <v>2230</v>
      </c>
      <c r="I264" s="3">
        <v>45646</v>
      </c>
      <c r="J264" s="2" t="s">
        <v>1785</v>
      </c>
      <c r="K264" s="2"/>
      <c r="L264" s="2"/>
      <c r="M264" s="2" t="s">
        <v>2291</v>
      </c>
    </row>
    <row r="265" spans="1:13" x14ac:dyDescent="0.25">
      <c r="A265" s="3" t="s">
        <v>2225</v>
      </c>
      <c r="B265" s="3">
        <v>43732</v>
      </c>
      <c r="C265" s="2" t="s">
        <v>59</v>
      </c>
      <c r="D265" s="2">
        <v>5</v>
      </c>
      <c r="E265" s="2" t="s">
        <v>2236</v>
      </c>
      <c r="F265" s="2" t="s">
        <v>2252</v>
      </c>
      <c r="G265" s="2">
        <v>15</v>
      </c>
      <c r="H265" s="2" t="s">
        <v>2230</v>
      </c>
      <c r="I265" s="3">
        <v>45646</v>
      </c>
      <c r="J265" s="2" t="s">
        <v>1785</v>
      </c>
      <c r="K265" s="2"/>
      <c r="L265" s="2"/>
      <c r="M265" s="2" t="s">
        <v>2291</v>
      </c>
    </row>
    <row r="266" spans="1:13" x14ac:dyDescent="0.25">
      <c r="A266" s="3" t="s">
        <v>2225</v>
      </c>
      <c r="B266" s="3">
        <v>43732</v>
      </c>
      <c r="C266" s="2" t="s">
        <v>59</v>
      </c>
      <c r="D266" s="2">
        <v>5</v>
      </c>
      <c r="E266" s="2" t="s">
        <v>2236</v>
      </c>
      <c r="F266" s="2" t="s">
        <v>2253</v>
      </c>
      <c r="G266" s="2">
        <v>12</v>
      </c>
      <c r="H266" s="2" t="s">
        <v>2230</v>
      </c>
      <c r="I266" s="3">
        <v>45646</v>
      </c>
      <c r="J266" s="2" t="s">
        <v>1785</v>
      </c>
      <c r="K266" s="2"/>
      <c r="L266" s="2"/>
      <c r="M266" s="2" t="s">
        <v>2291</v>
      </c>
    </row>
    <row r="267" spans="1:13" x14ac:dyDescent="0.25">
      <c r="A267" s="3" t="s">
        <v>2225</v>
      </c>
      <c r="B267" s="3">
        <v>43732</v>
      </c>
      <c r="C267" s="2" t="s">
        <v>59</v>
      </c>
      <c r="D267" s="2">
        <v>5</v>
      </c>
      <c r="E267" s="2" t="s">
        <v>2236</v>
      </c>
      <c r="F267" s="2" t="s">
        <v>2254</v>
      </c>
      <c r="G267" s="2">
        <v>7</v>
      </c>
      <c r="H267" s="2" t="s">
        <v>2230</v>
      </c>
      <c r="I267" s="3">
        <v>45646</v>
      </c>
      <c r="J267" s="2" t="s">
        <v>1785</v>
      </c>
      <c r="K267" s="2"/>
      <c r="L267" s="2"/>
      <c r="M267" s="2" t="s">
        <v>2291</v>
      </c>
    </row>
    <row r="268" spans="1:13" x14ac:dyDescent="0.25">
      <c r="A268" s="3" t="s">
        <v>2225</v>
      </c>
      <c r="B268" s="3">
        <v>43732</v>
      </c>
      <c r="C268" s="2" t="s">
        <v>59</v>
      </c>
      <c r="D268" s="2">
        <v>5</v>
      </c>
      <c r="E268" s="2" t="s">
        <v>2236</v>
      </c>
      <c r="F268" s="2" t="s">
        <v>2240</v>
      </c>
      <c r="G268" s="2">
        <v>41</v>
      </c>
      <c r="H268" s="2" t="s">
        <v>2230</v>
      </c>
      <c r="I268" s="3">
        <v>45646</v>
      </c>
      <c r="J268" s="2" t="s">
        <v>1785</v>
      </c>
      <c r="K268" s="2"/>
      <c r="L268" s="2"/>
      <c r="M268" s="2" t="s">
        <v>2291</v>
      </c>
    </row>
    <row r="269" spans="1:13" x14ac:dyDescent="0.25">
      <c r="A269" s="3" t="s">
        <v>2225</v>
      </c>
      <c r="B269" s="3">
        <v>43732</v>
      </c>
      <c r="C269" s="2" t="s">
        <v>59</v>
      </c>
      <c r="D269" s="2">
        <v>5</v>
      </c>
      <c r="E269" s="2" t="s">
        <v>2236</v>
      </c>
      <c r="F269" s="2" t="s">
        <v>2241</v>
      </c>
      <c r="G269" s="2">
        <v>20</v>
      </c>
      <c r="H269" s="2" t="s">
        <v>2230</v>
      </c>
      <c r="I269" s="3">
        <v>45646</v>
      </c>
      <c r="J269" s="2" t="s">
        <v>1785</v>
      </c>
      <c r="K269" s="2"/>
      <c r="L269" s="2"/>
      <c r="M269" s="2" t="s">
        <v>2291</v>
      </c>
    </row>
    <row r="270" spans="1:13" x14ac:dyDescent="0.25">
      <c r="A270" s="3" t="s">
        <v>2225</v>
      </c>
      <c r="B270" s="3">
        <v>43732</v>
      </c>
      <c r="C270" s="2" t="s">
        <v>59</v>
      </c>
      <c r="D270" s="2">
        <v>5</v>
      </c>
      <c r="E270" s="2" t="s">
        <v>2236</v>
      </c>
      <c r="F270" s="2" t="s">
        <v>2242</v>
      </c>
      <c r="G270" s="2">
        <v>18</v>
      </c>
      <c r="H270" s="2" t="s">
        <v>2230</v>
      </c>
      <c r="I270" s="3">
        <v>45646</v>
      </c>
      <c r="J270" s="2" t="s">
        <v>1785</v>
      </c>
      <c r="K270" s="2"/>
      <c r="L270" s="2"/>
      <c r="M270" s="2" t="s">
        <v>2291</v>
      </c>
    </row>
    <row r="271" spans="1:13" x14ac:dyDescent="0.25">
      <c r="A271" s="3" t="s">
        <v>2225</v>
      </c>
      <c r="B271" s="3">
        <v>43732</v>
      </c>
      <c r="C271" s="2" t="s">
        <v>59</v>
      </c>
      <c r="D271" s="2">
        <v>5</v>
      </c>
      <c r="E271" s="2" t="s">
        <v>2236</v>
      </c>
      <c r="F271" s="2" t="s">
        <v>2243</v>
      </c>
      <c r="G271" s="2">
        <v>8</v>
      </c>
      <c r="H271" s="2" t="s">
        <v>2230</v>
      </c>
      <c r="I271" s="3">
        <v>45646</v>
      </c>
      <c r="J271" s="2" t="s">
        <v>1785</v>
      </c>
      <c r="K271" s="2"/>
      <c r="L271" s="2"/>
      <c r="M271" s="2" t="s">
        <v>2291</v>
      </c>
    </row>
    <row r="272" spans="1:13" x14ac:dyDescent="0.25">
      <c r="A272" s="3" t="s">
        <v>2225</v>
      </c>
      <c r="B272" s="3">
        <v>43732</v>
      </c>
      <c r="C272" s="2" t="s">
        <v>59</v>
      </c>
      <c r="D272" s="2">
        <v>5</v>
      </c>
      <c r="E272" s="2" t="s">
        <v>2236</v>
      </c>
      <c r="F272" s="2" t="s">
        <v>2244</v>
      </c>
      <c r="G272" s="2">
        <v>32</v>
      </c>
      <c r="H272" s="2" t="s">
        <v>2230</v>
      </c>
      <c r="I272" s="3">
        <v>45646</v>
      </c>
      <c r="J272" s="2" t="s">
        <v>1785</v>
      </c>
      <c r="K272" s="2"/>
      <c r="L272" s="2"/>
      <c r="M272" s="2" t="s">
        <v>2291</v>
      </c>
    </row>
    <row r="273" spans="1:13" x14ac:dyDescent="0.25">
      <c r="A273" s="3" t="s">
        <v>2225</v>
      </c>
      <c r="B273" s="3">
        <v>43732</v>
      </c>
      <c r="C273" s="2" t="s">
        <v>59</v>
      </c>
      <c r="D273" s="2">
        <v>5</v>
      </c>
      <c r="E273" s="2" t="s">
        <v>2236</v>
      </c>
      <c r="F273" s="2" t="s">
        <v>2245</v>
      </c>
      <c r="G273" s="2">
        <v>18</v>
      </c>
      <c r="H273" s="2" t="s">
        <v>2230</v>
      </c>
      <c r="I273" s="3">
        <v>45646</v>
      </c>
      <c r="J273" s="2" t="s">
        <v>1785</v>
      </c>
      <c r="K273" s="2"/>
      <c r="L273" s="2"/>
      <c r="M273" s="2" t="s">
        <v>2291</v>
      </c>
    </row>
    <row r="274" spans="1:13" x14ac:dyDescent="0.25">
      <c r="A274" s="3" t="s">
        <v>2225</v>
      </c>
      <c r="B274" s="3">
        <v>43732</v>
      </c>
      <c r="C274" s="2" t="s">
        <v>59</v>
      </c>
      <c r="D274" s="2">
        <v>5</v>
      </c>
      <c r="E274" s="2" t="s">
        <v>2236</v>
      </c>
      <c r="F274" s="2" t="s">
        <v>2255</v>
      </c>
      <c r="G274" s="2">
        <v>5</v>
      </c>
      <c r="H274" s="2" t="s">
        <v>2230</v>
      </c>
      <c r="I274" s="3">
        <v>45646</v>
      </c>
      <c r="J274" s="2" t="s">
        <v>1785</v>
      </c>
      <c r="K274" s="2"/>
      <c r="L274" s="2"/>
      <c r="M274" s="2" t="s">
        <v>2291</v>
      </c>
    </row>
    <row r="275" spans="1:13" x14ac:dyDescent="0.25">
      <c r="A275" s="3" t="s">
        <v>2225</v>
      </c>
      <c r="B275" s="3">
        <v>43732</v>
      </c>
      <c r="C275" s="2" t="s">
        <v>59</v>
      </c>
      <c r="D275" s="2">
        <v>5</v>
      </c>
      <c r="E275" s="2" t="s">
        <v>2236</v>
      </c>
      <c r="F275" s="2" t="s">
        <v>2256</v>
      </c>
      <c r="G275" s="2">
        <v>5</v>
      </c>
      <c r="H275" s="2" t="s">
        <v>2230</v>
      </c>
      <c r="I275" s="3">
        <v>45646</v>
      </c>
      <c r="J275" s="2" t="s">
        <v>1785</v>
      </c>
      <c r="K275" s="2"/>
      <c r="L275" s="2"/>
      <c r="M275" s="2" t="s">
        <v>2291</v>
      </c>
    </row>
    <row r="276" spans="1:13" x14ac:dyDescent="0.25">
      <c r="A276" s="3" t="s">
        <v>2225</v>
      </c>
      <c r="B276" s="3">
        <v>43732</v>
      </c>
      <c r="C276" s="2" t="s">
        <v>59</v>
      </c>
      <c r="D276" s="2">
        <v>5</v>
      </c>
      <c r="E276" s="2" t="s">
        <v>2236</v>
      </c>
      <c r="F276" s="2" t="s">
        <v>2257</v>
      </c>
      <c r="G276" s="2">
        <v>5</v>
      </c>
      <c r="H276" s="2" t="s">
        <v>2230</v>
      </c>
      <c r="I276" s="3">
        <v>45646</v>
      </c>
      <c r="J276" s="2" t="s">
        <v>1785</v>
      </c>
      <c r="K276" s="2"/>
      <c r="L276" s="2"/>
      <c r="M276" s="2" t="s">
        <v>2291</v>
      </c>
    </row>
    <row r="277" spans="1:13" x14ac:dyDescent="0.25">
      <c r="A277" s="3" t="s">
        <v>2225</v>
      </c>
      <c r="B277" s="3">
        <v>43732</v>
      </c>
      <c r="C277" s="2" t="s">
        <v>59</v>
      </c>
      <c r="D277" s="2">
        <v>5</v>
      </c>
      <c r="E277" s="2" t="s">
        <v>2236</v>
      </c>
      <c r="F277" s="2" t="s">
        <v>2258</v>
      </c>
      <c r="G277" s="2">
        <v>54</v>
      </c>
      <c r="H277" s="2" t="s">
        <v>2230</v>
      </c>
      <c r="I277" s="3">
        <v>45646</v>
      </c>
      <c r="J277" s="2" t="s">
        <v>1785</v>
      </c>
      <c r="K277" s="2"/>
      <c r="L277" s="2"/>
      <c r="M277" s="2" t="s">
        <v>2291</v>
      </c>
    </row>
    <row r="278" spans="1:13" x14ac:dyDescent="0.25">
      <c r="A278" s="3" t="s">
        <v>2225</v>
      </c>
      <c r="B278" s="3">
        <v>43732</v>
      </c>
      <c r="C278" s="2" t="s">
        <v>59</v>
      </c>
      <c r="D278" s="2">
        <v>5</v>
      </c>
      <c r="E278" s="2" t="s">
        <v>2236</v>
      </c>
      <c r="F278" s="2" t="s">
        <v>2259</v>
      </c>
      <c r="G278" s="2">
        <v>18</v>
      </c>
      <c r="H278" s="2" t="s">
        <v>2230</v>
      </c>
      <c r="I278" s="3">
        <v>45646</v>
      </c>
      <c r="J278" s="2" t="s">
        <v>1785</v>
      </c>
      <c r="K278" s="2"/>
      <c r="L278" s="2"/>
      <c r="M278" s="2" t="s">
        <v>2291</v>
      </c>
    </row>
    <row r="279" spans="1:13" x14ac:dyDescent="0.25">
      <c r="A279" s="3" t="s">
        <v>2225</v>
      </c>
      <c r="B279" s="3">
        <v>43732</v>
      </c>
      <c r="C279" s="2" t="s">
        <v>59</v>
      </c>
      <c r="D279" s="2">
        <v>5</v>
      </c>
      <c r="E279" s="2" t="s">
        <v>2236</v>
      </c>
      <c r="F279" s="2" t="s">
        <v>2260</v>
      </c>
      <c r="G279" s="2">
        <v>49</v>
      </c>
      <c r="H279" s="2" t="s">
        <v>2230</v>
      </c>
      <c r="I279" s="3">
        <v>45646</v>
      </c>
      <c r="J279" s="2" t="s">
        <v>1785</v>
      </c>
      <c r="K279" s="2"/>
      <c r="L279" s="2"/>
      <c r="M279" s="2" t="s">
        <v>2291</v>
      </c>
    </row>
    <row r="280" spans="1:13" x14ac:dyDescent="0.25">
      <c r="A280" s="3" t="s">
        <v>2225</v>
      </c>
      <c r="B280" s="3">
        <v>43732</v>
      </c>
      <c r="C280" s="2" t="s">
        <v>59</v>
      </c>
      <c r="D280" s="2">
        <v>5</v>
      </c>
      <c r="E280" s="2" t="s">
        <v>2236</v>
      </c>
      <c r="F280" s="2" t="s">
        <v>2261</v>
      </c>
      <c r="G280" s="2">
        <v>18</v>
      </c>
      <c r="H280" s="2" t="s">
        <v>2230</v>
      </c>
      <c r="I280" s="3">
        <v>45646</v>
      </c>
      <c r="J280" s="2" t="s">
        <v>1785</v>
      </c>
      <c r="K280" s="2"/>
      <c r="L280" s="2"/>
      <c r="M280" s="2" t="s">
        <v>2291</v>
      </c>
    </row>
    <row r="281" spans="1:13" x14ac:dyDescent="0.25">
      <c r="A281" s="3" t="s">
        <v>2225</v>
      </c>
      <c r="B281" s="3">
        <v>43732</v>
      </c>
      <c r="C281" s="2" t="s">
        <v>59</v>
      </c>
      <c r="D281" s="2">
        <v>5</v>
      </c>
      <c r="E281" s="2" t="s">
        <v>2236</v>
      </c>
      <c r="F281" s="2" t="s">
        <v>2262</v>
      </c>
      <c r="G281" s="2">
        <v>17</v>
      </c>
      <c r="H281" s="2" t="s">
        <v>2230</v>
      </c>
      <c r="I281" s="3">
        <v>45646</v>
      </c>
      <c r="J281" s="2" t="s">
        <v>1785</v>
      </c>
      <c r="K281" s="2"/>
      <c r="L281" s="2"/>
      <c r="M281" s="2" t="s">
        <v>2291</v>
      </c>
    </row>
    <row r="282" spans="1:13" x14ac:dyDescent="0.25">
      <c r="A282" s="3" t="s">
        <v>2225</v>
      </c>
      <c r="B282" s="3">
        <v>43732</v>
      </c>
      <c r="C282" s="2" t="s">
        <v>59</v>
      </c>
      <c r="D282" s="2">
        <v>5</v>
      </c>
      <c r="E282" s="2" t="s">
        <v>2236</v>
      </c>
      <c r="F282" s="2" t="s">
        <v>2263</v>
      </c>
      <c r="G282" s="2">
        <v>16</v>
      </c>
      <c r="H282" s="2" t="s">
        <v>2230</v>
      </c>
      <c r="I282" s="3">
        <v>45646</v>
      </c>
      <c r="J282" s="2" t="s">
        <v>1785</v>
      </c>
      <c r="K282" s="2"/>
      <c r="L282" s="2"/>
      <c r="M282" s="2" t="s">
        <v>2291</v>
      </c>
    </row>
    <row r="283" spans="1:13" x14ac:dyDescent="0.25">
      <c r="A283" s="3" t="s">
        <v>2225</v>
      </c>
      <c r="B283" s="3">
        <v>43732</v>
      </c>
      <c r="C283" s="2" t="s">
        <v>59</v>
      </c>
      <c r="D283" s="2">
        <v>5</v>
      </c>
      <c r="E283" s="2" t="s">
        <v>2236</v>
      </c>
      <c r="F283" s="2" t="s">
        <v>2264</v>
      </c>
      <c r="G283" s="2">
        <v>15</v>
      </c>
      <c r="H283" s="2" t="s">
        <v>2230</v>
      </c>
      <c r="I283" s="3">
        <v>45646</v>
      </c>
      <c r="J283" s="2" t="s">
        <v>1785</v>
      </c>
      <c r="K283" s="2"/>
      <c r="L283" s="2"/>
      <c r="M283" s="2" t="s">
        <v>2291</v>
      </c>
    </row>
    <row r="284" spans="1:13" x14ac:dyDescent="0.25">
      <c r="A284" s="3" t="s">
        <v>2225</v>
      </c>
      <c r="B284" s="3">
        <v>43732</v>
      </c>
      <c r="C284" s="2" t="s">
        <v>59</v>
      </c>
      <c r="D284" s="2">
        <v>5</v>
      </c>
      <c r="E284" s="2" t="s">
        <v>2236</v>
      </c>
      <c r="F284" s="2" t="s">
        <v>2265</v>
      </c>
      <c r="G284" s="2">
        <v>18</v>
      </c>
      <c r="H284" s="2" t="s">
        <v>2230</v>
      </c>
      <c r="I284" s="3">
        <v>45646</v>
      </c>
      <c r="J284" s="2" t="s">
        <v>1785</v>
      </c>
      <c r="K284" s="2"/>
      <c r="L284" s="2"/>
      <c r="M284" s="2" t="s">
        <v>2291</v>
      </c>
    </row>
    <row r="285" spans="1:13" x14ac:dyDescent="0.25">
      <c r="A285" s="3" t="s">
        <v>2225</v>
      </c>
      <c r="B285" s="3">
        <v>43732</v>
      </c>
      <c r="C285" s="2" t="s">
        <v>59</v>
      </c>
      <c r="D285" s="2">
        <v>5</v>
      </c>
      <c r="E285" s="2" t="s">
        <v>2236</v>
      </c>
      <c r="F285" s="2" t="s">
        <v>2266</v>
      </c>
      <c r="G285" s="2">
        <v>20</v>
      </c>
      <c r="H285" s="2" t="s">
        <v>2230</v>
      </c>
      <c r="I285" s="3">
        <v>45646</v>
      </c>
      <c r="J285" s="2" t="s">
        <v>1785</v>
      </c>
      <c r="K285" s="2"/>
      <c r="L285" s="2"/>
      <c r="M285" s="2" t="s">
        <v>2291</v>
      </c>
    </row>
    <row r="286" spans="1:13" x14ac:dyDescent="0.25">
      <c r="A286" s="3" t="s">
        <v>2225</v>
      </c>
      <c r="B286" s="3">
        <v>43732</v>
      </c>
      <c r="C286" s="2" t="s">
        <v>59</v>
      </c>
      <c r="D286" s="2">
        <v>5</v>
      </c>
      <c r="E286" s="2" t="s">
        <v>2236</v>
      </c>
      <c r="F286" s="2" t="s">
        <v>2267</v>
      </c>
      <c r="G286" s="2">
        <v>12</v>
      </c>
      <c r="H286" s="2" t="s">
        <v>2230</v>
      </c>
      <c r="I286" s="3">
        <v>45646</v>
      </c>
      <c r="J286" s="2" t="s">
        <v>1785</v>
      </c>
      <c r="K286" s="2"/>
      <c r="L286" s="2"/>
      <c r="M286" s="2" t="s">
        <v>2291</v>
      </c>
    </row>
    <row r="287" spans="1:13" x14ac:dyDescent="0.25">
      <c r="A287" s="3" t="s">
        <v>2225</v>
      </c>
      <c r="B287" s="3">
        <v>43732</v>
      </c>
      <c r="C287" s="2" t="s">
        <v>59</v>
      </c>
      <c r="D287" s="2">
        <v>5</v>
      </c>
      <c r="E287" s="2" t="s">
        <v>2236</v>
      </c>
      <c r="F287" s="2" t="s">
        <v>2268</v>
      </c>
      <c r="G287" s="2">
        <v>17</v>
      </c>
      <c r="H287" s="2" t="s">
        <v>2230</v>
      </c>
      <c r="I287" s="3">
        <v>45646</v>
      </c>
      <c r="J287" s="2" t="s">
        <v>1785</v>
      </c>
      <c r="K287" s="2"/>
      <c r="L287" s="2"/>
      <c r="M287" s="2" t="s">
        <v>2291</v>
      </c>
    </row>
    <row r="288" spans="1:13" x14ac:dyDescent="0.25">
      <c r="A288" s="3" t="s">
        <v>2225</v>
      </c>
      <c r="B288" s="3">
        <v>43732</v>
      </c>
      <c r="C288" s="2" t="s">
        <v>59</v>
      </c>
      <c r="D288" s="2">
        <v>5</v>
      </c>
      <c r="E288" s="2" t="s">
        <v>2236</v>
      </c>
      <c r="F288" s="2" t="s">
        <v>2269</v>
      </c>
      <c r="G288" s="2">
        <v>12</v>
      </c>
      <c r="H288" s="2" t="s">
        <v>2230</v>
      </c>
      <c r="I288" s="3">
        <v>45646</v>
      </c>
      <c r="J288" s="2" t="s">
        <v>1785</v>
      </c>
      <c r="K288" s="2"/>
      <c r="L288" s="2"/>
      <c r="M288" s="2" t="s">
        <v>2291</v>
      </c>
    </row>
    <row r="289" spans="1:13" x14ac:dyDescent="0.25">
      <c r="A289" s="3" t="s">
        <v>2225</v>
      </c>
      <c r="B289" s="3">
        <v>43732</v>
      </c>
      <c r="C289" s="2" t="s">
        <v>59</v>
      </c>
      <c r="D289" s="2">
        <v>5</v>
      </c>
      <c r="E289" s="2" t="s">
        <v>2236</v>
      </c>
      <c r="F289" s="2" t="s">
        <v>2270</v>
      </c>
      <c r="G289" s="2">
        <v>10</v>
      </c>
      <c r="H289" s="2" t="s">
        <v>2230</v>
      </c>
      <c r="I289" s="3">
        <v>45646</v>
      </c>
      <c r="J289" s="2" t="s">
        <v>1785</v>
      </c>
      <c r="K289" s="2"/>
      <c r="L289" s="2"/>
      <c r="M289" s="2" t="s">
        <v>2291</v>
      </c>
    </row>
    <row r="290" spans="1:13" x14ac:dyDescent="0.25">
      <c r="A290" s="3" t="s">
        <v>2225</v>
      </c>
      <c r="B290" s="3">
        <v>43732</v>
      </c>
      <c r="C290" s="2" t="s">
        <v>59</v>
      </c>
      <c r="D290" s="2">
        <v>5</v>
      </c>
      <c r="E290" s="2" t="s">
        <v>2236</v>
      </c>
      <c r="F290" s="2" t="s">
        <v>2271</v>
      </c>
      <c r="G290" s="2">
        <v>23</v>
      </c>
      <c r="H290" s="2" t="s">
        <v>2230</v>
      </c>
      <c r="I290" s="3">
        <v>45646</v>
      </c>
      <c r="J290" s="2" t="s">
        <v>1785</v>
      </c>
      <c r="K290" s="2"/>
      <c r="L290" s="2"/>
      <c r="M290" s="2" t="s">
        <v>2291</v>
      </c>
    </row>
    <row r="291" spans="1:13" x14ac:dyDescent="0.25">
      <c r="A291" s="3" t="s">
        <v>2225</v>
      </c>
      <c r="B291" s="3">
        <v>43732</v>
      </c>
      <c r="C291" s="2" t="s">
        <v>59</v>
      </c>
      <c r="D291" s="2">
        <v>5</v>
      </c>
      <c r="E291" s="2" t="s">
        <v>2236</v>
      </c>
      <c r="F291" s="2" t="s">
        <v>2272</v>
      </c>
      <c r="G291" s="2">
        <v>8</v>
      </c>
      <c r="H291" s="2" t="s">
        <v>2230</v>
      </c>
      <c r="I291" s="3">
        <v>45646</v>
      </c>
      <c r="J291" s="2" t="s">
        <v>1785</v>
      </c>
      <c r="K291" s="2"/>
      <c r="L291" s="2"/>
      <c r="M291" s="2" t="s">
        <v>2291</v>
      </c>
    </row>
    <row r="292" spans="1:13" x14ac:dyDescent="0.25">
      <c r="A292" s="3" t="s">
        <v>2225</v>
      </c>
      <c r="B292" s="3">
        <v>43732</v>
      </c>
      <c r="C292" s="2" t="s">
        <v>59</v>
      </c>
      <c r="D292" s="2">
        <v>5</v>
      </c>
      <c r="E292" s="2" t="s">
        <v>2236</v>
      </c>
      <c r="F292" s="2" t="s">
        <v>2273</v>
      </c>
      <c r="G292" s="2">
        <v>11</v>
      </c>
      <c r="H292" s="2" t="s">
        <v>2230</v>
      </c>
      <c r="I292" s="3">
        <v>45646</v>
      </c>
      <c r="J292" s="2" t="s">
        <v>1785</v>
      </c>
      <c r="K292" s="2"/>
      <c r="L292" s="2"/>
      <c r="M292" s="2" t="s">
        <v>2291</v>
      </c>
    </row>
    <row r="293" spans="1:13" x14ac:dyDescent="0.25">
      <c r="A293" s="3" t="s">
        <v>2225</v>
      </c>
      <c r="B293" s="3">
        <v>43732</v>
      </c>
      <c r="C293" s="2" t="s">
        <v>59</v>
      </c>
      <c r="D293" s="2">
        <v>5</v>
      </c>
      <c r="E293" s="2" t="s">
        <v>2236</v>
      </c>
      <c r="F293" s="2" t="s">
        <v>2274</v>
      </c>
      <c r="G293" s="2">
        <v>20</v>
      </c>
      <c r="H293" s="2" t="s">
        <v>2230</v>
      </c>
      <c r="I293" s="3">
        <v>45646</v>
      </c>
      <c r="J293" s="2" t="s">
        <v>1785</v>
      </c>
      <c r="K293" s="2"/>
      <c r="L293" s="2"/>
      <c r="M293" s="2" t="s">
        <v>2291</v>
      </c>
    </row>
    <row r="294" spans="1:13" x14ac:dyDescent="0.25">
      <c r="A294" s="3" t="s">
        <v>2225</v>
      </c>
      <c r="B294" s="3">
        <v>43732</v>
      </c>
      <c r="C294" s="2" t="s">
        <v>59</v>
      </c>
      <c r="D294" s="2">
        <v>5</v>
      </c>
      <c r="E294" s="2" t="s">
        <v>2236</v>
      </c>
      <c r="F294" s="2" t="s">
        <v>2275</v>
      </c>
      <c r="G294" s="2">
        <v>23</v>
      </c>
      <c r="H294" s="2" t="s">
        <v>2230</v>
      </c>
      <c r="I294" s="3">
        <v>45646</v>
      </c>
      <c r="J294" s="2" t="s">
        <v>1785</v>
      </c>
      <c r="K294" s="2"/>
      <c r="L294" s="2"/>
      <c r="M294" s="2" t="s">
        <v>2291</v>
      </c>
    </row>
    <row r="295" spans="1:13" x14ac:dyDescent="0.25">
      <c r="A295" s="3" t="s">
        <v>2225</v>
      </c>
      <c r="B295" s="3">
        <v>43732</v>
      </c>
      <c r="C295" s="2" t="s">
        <v>59</v>
      </c>
      <c r="D295" s="2">
        <v>5</v>
      </c>
      <c r="E295" s="2" t="s">
        <v>2236</v>
      </c>
      <c r="F295" s="2" t="s">
        <v>2276</v>
      </c>
      <c r="G295" s="2">
        <v>34</v>
      </c>
      <c r="H295" s="2" t="s">
        <v>2230</v>
      </c>
      <c r="I295" s="3">
        <v>45646</v>
      </c>
      <c r="J295" s="2" t="s">
        <v>1785</v>
      </c>
      <c r="K295" s="2"/>
      <c r="L295" s="2"/>
      <c r="M295" s="2" t="s">
        <v>2291</v>
      </c>
    </row>
    <row r="296" spans="1:13" x14ac:dyDescent="0.25">
      <c r="A296" s="3" t="s">
        <v>2225</v>
      </c>
      <c r="B296" s="3">
        <v>43732</v>
      </c>
      <c r="C296" s="2" t="s">
        <v>59</v>
      </c>
      <c r="D296" s="2">
        <v>5</v>
      </c>
      <c r="E296" s="2" t="s">
        <v>2236</v>
      </c>
      <c r="F296" s="2" t="s">
        <v>2277</v>
      </c>
      <c r="G296" s="2">
        <v>14</v>
      </c>
      <c r="H296" s="2" t="s">
        <v>2230</v>
      </c>
      <c r="I296" s="3">
        <v>45646</v>
      </c>
      <c r="J296" s="2" t="s">
        <v>1785</v>
      </c>
      <c r="K296" s="2"/>
      <c r="L296" s="2"/>
      <c r="M296" s="2" t="s">
        <v>2291</v>
      </c>
    </row>
    <row r="297" spans="1:13" x14ac:dyDescent="0.25">
      <c r="A297" s="3" t="s">
        <v>2225</v>
      </c>
      <c r="B297" s="3">
        <v>43732</v>
      </c>
      <c r="C297" s="2" t="s">
        <v>59</v>
      </c>
      <c r="D297" s="2">
        <v>5</v>
      </c>
      <c r="E297" s="2" t="s">
        <v>2236</v>
      </c>
      <c r="F297" s="2" t="s">
        <v>2278</v>
      </c>
      <c r="G297" s="2">
        <v>15</v>
      </c>
      <c r="H297" s="2" t="s">
        <v>2230</v>
      </c>
      <c r="I297" s="3">
        <v>45646</v>
      </c>
      <c r="J297" s="2" t="s">
        <v>1785</v>
      </c>
      <c r="K297" s="2"/>
      <c r="L297" s="2"/>
      <c r="M297" s="2" t="s">
        <v>2291</v>
      </c>
    </row>
    <row r="298" spans="1:13" x14ac:dyDescent="0.25">
      <c r="A298" s="3" t="s">
        <v>2225</v>
      </c>
      <c r="B298" s="3">
        <v>43732</v>
      </c>
      <c r="C298" s="2" t="s">
        <v>59</v>
      </c>
      <c r="D298" s="2">
        <v>5</v>
      </c>
      <c r="E298" s="2" t="s">
        <v>2236</v>
      </c>
      <c r="F298" s="2" t="s">
        <v>2279</v>
      </c>
      <c r="G298" s="2">
        <v>34</v>
      </c>
      <c r="H298" s="2" t="s">
        <v>2230</v>
      </c>
      <c r="I298" s="3">
        <v>45646</v>
      </c>
      <c r="J298" s="2" t="s">
        <v>1785</v>
      </c>
      <c r="K298" s="2"/>
      <c r="L298" s="2"/>
      <c r="M298" s="2" t="s">
        <v>2291</v>
      </c>
    </row>
    <row r="299" spans="1:13" x14ac:dyDescent="0.25">
      <c r="A299" s="3" t="s">
        <v>2225</v>
      </c>
      <c r="B299" s="3">
        <v>43732</v>
      </c>
      <c r="C299" s="2" t="s">
        <v>59</v>
      </c>
      <c r="D299" s="2">
        <v>5</v>
      </c>
      <c r="E299" s="2" t="s">
        <v>2236</v>
      </c>
      <c r="F299" s="2" t="s">
        <v>2280</v>
      </c>
      <c r="G299" s="2">
        <v>27</v>
      </c>
      <c r="H299" s="2" t="s">
        <v>2230</v>
      </c>
      <c r="I299" s="3">
        <v>45646</v>
      </c>
      <c r="J299" s="2" t="s">
        <v>1785</v>
      </c>
      <c r="K299" s="2"/>
      <c r="L299" s="2"/>
      <c r="M299" s="2" t="s">
        <v>2291</v>
      </c>
    </row>
    <row r="300" spans="1:13" x14ac:dyDescent="0.25">
      <c r="A300" s="3" t="s">
        <v>2225</v>
      </c>
      <c r="B300" s="3">
        <v>43732</v>
      </c>
      <c r="C300" s="2" t="s">
        <v>59</v>
      </c>
      <c r="D300" s="2">
        <v>5</v>
      </c>
      <c r="E300" s="2" t="s">
        <v>2236</v>
      </c>
      <c r="F300" s="2" t="s">
        <v>2281</v>
      </c>
      <c r="G300" s="2">
        <v>33</v>
      </c>
      <c r="H300" s="2" t="s">
        <v>2230</v>
      </c>
      <c r="I300" s="3">
        <v>45646</v>
      </c>
      <c r="J300" s="2" t="s">
        <v>1785</v>
      </c>
      <c r="K300" s="2"/>
      <c r="L300" s="2"/>
      <c r="M300" s="2" t="s">
        <v>2291</v>
      </c>
    </row>
    <row r="301" spans="1:13" x14ac:dyDescent="0.25">
      <c r="A301" s="3" t="s">
        <v>2225</v>
      </c>
      <c r="B301" s="3">
        <v>43732</v>
      </c>
      <c r="C301" s="2" t="s">
        <v>59</v>
      </c>
      <c r="D301" s="2">
        <v>5</v>
      </c>
      <c r="E301" s="2" t="s">
        <v>2236</v>
      </c>
      <c r="F301" s="2" t="s">
        <v>2282</v>
      </c>
      <c r="G301" s="2">
        <v>30</v>
      </c>
      <c r="H301" s="2" t="s">
        <v>2230</v>
      </c>
      <c r="I301" s="3">
        <v>45646</v>
      </c>
      <c r="J301" s="2" t="s">
        <v>1785</v>
      </c>
      <c r="K301" s="2"/>
      <c r="L301" s="2"/>
      <c r="M301" s="2" t="s">
        <v>2291</v>
      </c>
    </row>
    <row r="302" spans="1:13" x14ac:dyDescent="0.25">
      <c r="A302" s="3" t="s">
        <v>2225</v>
      </c>
      <c r="B302" s="3">
        <v>43732</v>
      </c>
      <c r="C302" s="2" t="s">
        <v>59</v>
      </c>
      <c r="D302" s="2">
        <v>5</v>
      </c>
      <c r="E302" s="2" t="s">
        <v>2236</v>
      </c>
      <c r="F302" s="2" t="s">
        <v>2283</v>
      </c>
      <c r="G302" s="2">
        <v>34</v>
      </c>
      <c r="H302" s="2" t="s">
        <v>2230</v>
      </c>
      <c r="I302" s="3">
        <v>45646</v>
      </c>
      <c r="J302" s="2" t="s">
        <v>1785</v>
      </c>
      <c r="K302" s="2"/>
      <c r="L302" s="2"/>
      <c r="M302" s="2" t="s">
        <v>2291</v>
      </c>
    </row>
    <row r="303" spans="1:13" x14ac:dyDescent="0.25">
      <c r="A303" s="3" t="s">
        <v>2225</v>
      </c>
      <c r="B303" s="3">
        <v>43732</v>
      </c>
      <c r="C303" s="2" t="s">
        <v>59</v>
      </c>
      <c r="D303" s="2">
        <v>5</v>
      </c>
      <c r="E303" s="2" t="s">
        <v>2236</v>
      </c>
      <c r="F303" s="2" t="s">
        <v>2284</v>
      </c>
      <c r="G303" s="2">
        <v>24</v>
      </c>
      <c r="H303" s="2" t="s">
        <v>2230</v>
      </c>
      <c r="I303" s="3">
        <v>45646</v>
      </c>
      <c r="J303" s="2" t="s">
        <v>1785</v>
      </c>
      <c r="K303" s="2"/>
      <c r="L303" s="2"/>
      <c r="M303" s="2" t="s">
        <v>2291</v>
      </c>
    </row>
    <row r="304" spans="1:13" x14ac:dyDescent="0.25">
      <c r="A304" s="3" t="s">
        <v>2225</v>
      </c>
      <c r="B304" s="3">
        <v>43732</v>
      </c>
      <c r="C304" s="2" t="s">
        <v>59</v>
      </c>
      <c r="D304" s="2">
        <v>5</v>
      </c>
      <c r="E304" s="2" t="s">
        <v>2236</v>
      </c>
      <c r="F304" s="2" t="s">
        <v>2285</v>
      </c>
      <c r="G304" s="2">
        <v>12</v>
      </c>
      <c r="H304" s="2" t="s">
        <v>2230</v>
      </c>
      <c r="I304" s="3">
        <v>45646</v>
      </c>
      <c r="J304" s="2" t="s">
        <v>1785</v>
      </c>
      <c r="K304" s="2"/>
      <c r="L304" s="2"/>
      <c r="M304" s="2" t="s">
        <v>2291</v>
      </c>
    </row>
    <row r="305" spans="1:13" x14ac:dyDescent="0.25">
      <c r="A305" s="3" t="s">
        <v>2225</v>
      </c>
      <c r="B305" s="3">
        <v>43732</v>
      </c>
      <c r="C305" s="2" t="s">
        <v>59</v>
      </c>
      <c r="D305" s="2">
        <v>5</v>
      </c>
      <c r="E305" s="2" t="s">
        <v>2236</v>
      </c>
      <c r="F305" s="2" t="s">
        <v>2286</v>
      </c>
      <c r="G305" s="2">
        <v>14</v>
      </c>
      <c r="H305" s="2" t="s">
        <v>2230</v>
      </c>
      <c r="I305" s="3">
        <v>45646</v>
      </c>
      <c r="J305" s="2" t="s">
        <v>1785</v>
      </c>
      <c r="K305" s="2"/>
      <c r="L305" s="2"/>
      <c r="M305" s="2" t="s">
        <v>2291</v>
      </c>
    </row>
    <row r="306" spans="1:13" x14ac:dyDescent="0.25">
      <c r="A306" s="3" t="s">
        <v>2225</v>
      </c>
      <c r="B306" s="3">
        <v>43732</v>
      </c>
      <c r="C306" s="2" t="s">
        <v>59</v>
      </c>
      <c r="D306" s="2">
        <v>5</v>
      </c>
      <c r="E306" s="2" t="s">
        <v>2236</v>
      </c>
      <c r="F306" s="2" t="s">
        <v>2287</v>
      </c>
      <c r="G306" s="2">
        <v>9</v>
      </c>
      <c r="H306" s="2" t="s">
        <v>2230</v>
      </c>
      <c r="I306" s="3">
        <v>45646</v>
      </c>
      <c r="J306" s="2" t="s">
        <v>1785</v>
      </c>
      <c r="K306" s="2"/>
      <c r="L306" s="2"/>
      <c r="M306" s="2" t="s">
        <v>2291</v>
      </c>
    </row>
    <row r="307" spans="1:13" x14ac:dyDescent="0.25">
      <c r="A307" s="3" t="s">
        <v>2225</v>
      </c>
      <c r="B307" s="3">
        <v>43732</v>
      </c>
      <c r="C307" s="2" t="s">
        <v>59</v>
      </c>
      <c r="D307" s="2">
        <v>5</v>
      </c>
      <c r="E307" s="2" t="s">
        <v>2236</v>
      </c>
      <c r="F307" s="2" t="s">
        <v>2288</v>
      </c>
      <c r="G307" s="2">
        <v>4</v>
      </c>
      <c r="H307" s="2" t="s">
        <v>2230</v>
      </c>
      <c r="I307" s="3">
        <v>45646</v>
      </c>
      <c r="J307" s="2" t="s">
        <v>1785</v>
      </c>
      <c r="K307" s="2"/>
      <c r="L307" s="2"/>
      <c r="M307" s="2" t="s">
        <v>2291</v>
      </c>
    </row>
    <row r="308" spans="1:13" x14ac:dyDescent="0.25">
      <c r="A308" s="3" t="s">
        <v>2225</v>
      </c>
      <c r="B308" s="3">
        <v>43732</v>
      </c>
      <c r="C308" s="2" t="s">
        <v>59</v>
      </c>
      <c r="D308" s="2">
        <v>5</v>
      </c>
      <c r="E308" s="2" t="s">
        <v>2236</v>
      </c>
      <c r="F308" s="2" t="s">
        <v>2289</v>
      </c>
      <c r="G308" s="2">
        <v>4</v>
      </c>
      <c r="H308" s="2" t="s">
        <v>2230</v>
      </c>
      <c r="I308" s="3">
        <v>45646</v>
      </c>
      <c r="J308" s="2" t="s">
        <v>1785</v>
      </c>
      <c r="K308" s="2"/>
      <c r="L308" s="2"/>
      <c r="M308" s="2" t="s">
        <v>2291</v>
      </c>
    </row>
    <row r="309" spans="1:13" x14ac:dyDescent="0.25">
      <c r="A309" s="3" t="s">
        <v>2225</v>
      </c>
      <c r="B309" s="3">
        <v>43732</v>
      </c>
      <c r="C309" s="2" t="s">
        <v>59</v>
      </c>
      <c r="D309" s="2">
        <v>5</v>
      </c>
      <c r="E309" s="2" t="s">
        <v>2237</v>
      </c>
      <c r="F309" s="2" t="s">
        <v>2246</v>
      </c>
      <c r="G309" s="2">
        <v>43</v>
      </c>
      <c r="H309" s="2" t="s">
        <v>2230</v>
      </c>
      <c r="I309" s="3">
        <v>45646</v>
      </c>
      <c r="J309" s="2" t="s">
        <v>1785</v>
      </c>
      <c r="K309" s="2"/>
      <c r="L309" s="2"/>
      <c r="M309" s="2" t="s">
        <v>2291</v>
      </c>
    </row>
    <row r="310" spans="1:13" x14ac:dyDescent="0.25">
      <c r="A310" s="3" t="s">
        <v>2225</v>
      </c>
      <c r="B310" s="3">
        <v>43732</v>
      </c>
      <c r="C310" s="2" t="s">
        <v>59</v>
      </c>
      <c r="D310" s="2">
        <v>5</v>
      </c>
      <c r="E310" s="2" t="s">
        <v>2237</v>
      </c>
      <c r="F310" s="2" t="s">
        <v>2247</v>
      </c>
      <c r="G310" s="2">
        <v>62</v>
      </c>
      <c r="H310" s="2" t="s">
        <v>2230</v>
      </c>
      <c r="I310" s="3">
        <v>45646</v>
      </c>
      <c r="J310" s="2" t="s">
        <v>1785</v>
      </c>
      <c r="K310" s="2"/>
      <c r="L310" s="2"/>
      <c r="M310" s="2" t="s">
        <v>2291</v>
      </c>
    </row>
    <row r="311" spans="1:13" x14ac:dyDescent="0.25">
      <c r="A311" s="3" t="s">
        <v>2225</v>
      </c>
      <c r="B311" s="3">
        <v>43732</v>
      </c>
      <c r="C311" s="2" t="s">
        <v>59</v>
      </c>
      <c r="D311" s="2">
        <v>5</v>
      </c>
      <c r="E311" s="2" t="s">
        <v>2237</v>
      </c>
      <c r="F311" s="2" t="s">
        <v>2248</v>
      </c>
      <c r="G311" s="2">
        <v>66</v>
      </c>
      <c r="H311" s="2" t="s">
        <v>2230</v>
      </c>
      <c r="I311" s="3">
        <v>45646</v>
      </c>
      <c r="J311" s="2" t="s">
        <v>1785</v>
      </c>
      <c r="K311" s="2"/>
      <c r="L311" s="2"/>
      <c r="M311" s="2" t="s">
        <v>2291</v>
      </c>
    </row>
    <row r="312" spans="1:13" x14ac:dyDescent="0.25">
      <c r="A312" s="3" t="s">
        <v>2225</v>
      </c>
      <c r="B312" s="3">
        <v>43732</v>
      </c>
      <c r="C312" s="2" t="s">
        <v>59</v>
      </c>
      <c r="D312" s="2">
        <v>5</v>
      </c>
      <c r="E312" s="2" t="s">
        <v>2237</v>
      </c>
      <c r="F312" s="2" t="s">
        <v>2249</v>
      </c>
      <c r="G312" s="2">
        <v>11</v>
      </c>
      <c r="H312" s="2" t="s">
        <v>2230</v>
      </c>
      <c r="I312" s="3">
        <v>45646</v>
      </c>
      <c r="J312" s="2" t="s">
        <v>1785</v>
      </c>
      <c r="K312" s="2"/>
      <c r="L312" s="2"/>
      <c r="M312" s="2" t="s">
        <v>2291</v>
      </c>
    </row>
    <row r="313" spans="1:13" x14ac:dyDescent="0.25">
      <c r="A313" s="3" t="s">
        <v>2225</v>
      </c>
      <c r="B313" s="3">
        <v>43732</v>
      </c>
      <c r="C313" s="2" t="s">
        <v>59</v>
      </c>
      <c r="D313" s="2">
        <v>5</v>
      </c>
      <c r="E313" s="2" t="s">
        <v>2237</v>
      </c>
      <c r="F313" s="2" t="s">
        <v>2250</v>
      </c>
      <c r="G313" s="2">
        <v>37</v>
      </c>
      <c r="H313" s="2" t="s">
        <v>2230</v>
      </c>
      <c r="I313" s="3">
        <v>45646</v>
      </c>
      <c r="J313" s="2" t="s">
        <v>1785</v>
      </c>
      <c r="K313" s="2"/>
      <c r="L313" s="2"/>
      <c r="M313" s="2" t="s">
        <v>2291</v>
      </c>
    </row>
    <row r="314" spans="1:13" x14ac:dyDescent="0.25">
      <c r="A314" s="3" t="s">
        <v>2225</v>
      </c>
      <c r="B314" s="3">
        <v>43732</v>
      </c>
      <c r="C314" s="2" t="s">
        <v>59</v>
      </c>
      <c r="D314" s="2">
        <v>5</v>
      </c>
      <c r="E314" s="2" t="s">
        <v>2237</v>
      </c>
      <c r="F314" s="2" t="s">
        <v>2251</v>
      </c>
      <c r="G314" s="2">
        <v>35</v>
      </c>
      <c r="H314" s="2" t="s">
        <v>2230</v>
      </c>
      <c r="I314" s="3">
        <v>45646</v>
      </c>
      <c r="J314" s="2" t="s">
        <v>1785</v>
      </c>
      <c r="K314" s="2"/>
      <c r="L314" s="2"/>
      <c r="M314" s="2" t="s">
        <v>2291</v>
      </c>
    </row>
    <row r="315" spans="1:13" x14ac:dyDescent="0.25">
      <c r="A315" s="3" t="s">
        <v>2225</v>
      </c>
      <c r="B315" s="3">
        <v>43732</v>
      </c>
      <c r="C315" s="2" t="s">
        <v>59</v>
      </c>
      <c r="D315" s="2">
        <v>5</v>
      </c>
      <c r="E315" s="2" t="s">
        <v>2237</v>
      </c>
      <c r="F315" s="2" t="s">
        <v>2252</v>
      </c>
      <c r="G315" s="2">
        <v>35</v>
      </c>
      <c r="H315" s="2" t="s">
        <v>2230</v>
      </c>
      <c r="I315" s="3">
        <v>45646</v>
      </c>
      <c r="J315" s="2" t="s">
        <v>1785</v>
      </c>
      <c r="K315" s="2"/>
      <c r="L315" s="2"/>
      <c r="M315" s="2" t="s">
        <v>2291</v>
      </c>
    </row>
    <row r="316" spans="1:13" x14ac:dyDescent="0.25">
      <c r="A316" s="3" t="s">
        <v>2225</v>
      </c>
      <c r="B316" s="3">
        <v>43732</v>
      </c>
      <c r="C316" s="2" t="s">
        <v>59</v>
      </c>
      <c r="D316" s="2">
        <v>5</v>
      </c>
      <c r="E316" s="2" t="s">
        <v>2237</v>
      </c>
      <c r="F316" s="2" t="s">
        <v>2253</v>
      </c>
      <c r="G316" s="2">
        <v>38</v>
      </c>
      <c r="H316" s="2" t="s">
        <v>2230</v>
      </c>
      <c r="I316" s="3">
        <v>45646</v>
      </c>
      <c r="J316" s="2" t="s">
        <v>1785</v>
      </c>
      <c r="K316" s="2"/>
      <c r="L316" s="2"/>
      <c r="M316" s="2" t="s">
        <v>2291</v>
      </c>
    </row>
    <row r="317" spans="1:13" x14ac:dyDescent="0.25">
      <c r="A317" s="3" t="s">
        <v>2225</v>
      </c>
      <c r="B317" s="3">
        <v>43732</v>
      </c>
      <c r="C317" s="2" t="s">
        <v>59</v>
      </c>
      <c r="D317" s="2">
        <v>5</v>
      </c>
      <c r="E317" s="2" t="s">
        <v>2237</v>
      </c>
      <c r="F317" s="2" t="s">
        <v>2254</v>
      </c>
      <c r="G317" s="2">
        <v>18</v>
      </c>
      <c r="H317" s="2" t="s">
        <v>2230</v>
      </c>
      <c r="I317" s="3">
        <v>45646</v>
      </c>
      <c r="J317" s="2" t="s">
        <v>1785</v>
      </c>
      <c r="K317" s="2"/>
      <c r="L317" s="2"/>
      <c r="M317" s="2" t="s">
        <v>2291</v>
      </c>
    </row>
    <row r="318" spans="1:13" x14ac:dyDescent="0.25">
      <c r="A318" s="3" t="s">
        <v>2225</v>
      </c>
      <c r="B318" s="3">
        <v>43732</v>
      </c>
      <c r="C318" s="2" t="s">
        <v>59</v>
      </c>
      <c r="D318" s="2">
        <v>5</v>
      </c>
      <c r="E318" s="2" t="s">
        <v>2237</v>
      </c>
      <c r="F318" s="2" t="s">
        <v>2240</v>
      </c>
      <c r="G318" s="2">
        <v>18</v>
      </c>
      <c r="H318" s="2" t="s">
        <v>2230</v>
      </c>
      <c r="I318" s="3">
        <v>45646</v>
      </c>
      <c r="J318" s="2" t="s">
        <v>1785</v>
      </c>
      <c r="K318" s="2"/>
      <c r="L318" s="2"/>
      <c r="M318" s="2" t="s">
        <v>2291</v>
      </c>
    </row>
    <row r="319" spans="1:13" x14ac:dyDescent="0.25">
      <c r="A319" s="3" t="s">
        <v>2225</v>
      </c>
      <c r="B319" s="3">
        <v>43732</v>
      </c>
      <c r="C319" s="2" t="s">
        <v>59</v>
      </c>
      <c r="D319" s="2">
        <v>5</v>
      </c>
      <c r="E319" s="2" t="s">
        <v>2237</v>
      </c>
      <c r="F319" s="2" t="s">
        <v>2241</v>
      </c>
      <c r="G319" s="2">
        <v>40</v>
      </c>
      <c r="H319" s="2" t="s">
        <v>2230</v>
      </c>
      <c r="I319" s="3">
        <v>45646</v>
      </c>
      <c r="J319" s="2" t="s">
        <v>1785</v>
      </c>
      <c r="K319" s="2"/>
      <c r="L319" s="2"/>
      <c r="M319" s="2" t="s">
        <v>2291</v>
      </c>
    </row>
    <row r="320" spans="1:13" x14ac:dyDescent="0.25">
      <c r="A320" s="3" t="s">
        <v>2225</v>
      </c>
      <c r="B320" s="3">
        <v>43732</v>
      </c>
      <c r="C320" s="2" t="s">
        <v>59</v>
      </c>
      <c r="D320" s="2">
        <v>5</v>
      </c>
      <c r="E320" s="2" t="s">
        <v>2237</v>
      </c>
      <c r="F320" s="2" t="s">
        <v>2242</v>
      </c>
      <c r="G320" s="2">
        <v>14</v>
      </c>
      <c r="H320" s="2" t="s">
        <v>2230</v>
      </c>
      <c r="I320" s="3">
        <v>45646</v>
      </c>
      <c r="J320" s="2" t="s">
        <v>1785</v>
      </c>
      <c r="K320" s="2"/>
      <c r="L320" s="2"/>
      <c r="M320" s="2" t="s">
        <v>2291</v>
      </c>
    </row>
    <row r="321" spans="1:13" x14ac:dyDescent="0.25">
      <c r="A321" s="3" t="s">
        <v>2225</v>
      </c>
      <c r="B321" s="3">
        <v>43732</v>
      </c>
      <c r="C321" s="2" t="s">
        <v>59</v>
      </c>
      <c r="D321" s="2">
        <v>5</v>
      </c>
      <c r="E321" s="2" t="s">
        <v>2237</v>
      </c>
      <c r="F321" s="2" t="s">
        <v>2243</v>
      </c>
      <c r="G321" s="2">
        <v>48</v>
      </c>
      <c r="H321" s="2" t="s">
        <v>2230</v>
      </c>
      <c r="I321" s="3">
        <v>45646</v>
      </c>
      <c r="J321" s="2" t="s">
        <v>1785</v>
      </c>
      <c r="K321" s="2"/>
      <c r="L321" s="2"/>
      <c r="M321" s="2" t="s">
        <v>2291</v>
      </c>
    </row>
    <row r="322" spans="1:13" x14ac:dyDescent="0.25">
      <c r="A322" s="3" t="s">
        <v>2225</v>
      </c>
      <c r="B322" s="3">
        <v>43732</v>
      </c>
      <c r="C322" s="2" t="s">
        <v>59</v>
      </c>
      <c r="D322" s="2">
        <v>5</v>
      </c>
      <c r="E322" s="2" t="s">
        <v>2237</v>
      </c>
      <c r="F322" s="2" t="s">
        <v>2244</v>
      </c>
      <c r="G322" s="2">
        <v>33</v>
      </c>
      <c r="H322" s="2" t="s">
        <v>2230</v>
      </c>
      <c r="I322" s="3">
        <v>45646</v>
      </c>
      <c r="J322" s="2" t="s">
        <v>1785</v>
      </c>
      <c r="K322" s="2"/>
      <c r="L322" s="2"/>
      <c r="M322" s="2" t="s">
        <v>2291</v>
      </c>
    </row>
    <row r="323" spans="1:13" x14ac:dyDescent="0.25">
      <c r="A323" s="3" t="s">
        <v>2225</v>
      </c>
      <c r="B323" s="3">
        <v>43732</v>
      </c>
      <c r="C323" s="2" t="s">
        <v>59</v>
      </c>
      <c r="D323" s="2">
        <v>5</v>
      </c>
      <c r="E323" s="2" t="s">
        <v>2237</v>
      </c>
      <c r="F323" s="2" t="s">
        <v>2245</v>
      </c>
      <c r="G323" s="2">
        <v>36</v>
      </c>
      <c r="H323" s="2" t="s">
        <v>2230</v>
      </c>
      <c r="I323" s="3">
        <v>45646</v>
      </c>
      <c r="J323" s="2" t="s">
        <v>1785</v>
      </c>
      <c r="K323" s="2"/>
      <c r="L323" s="2"/>
      <c r="M323" s="2" t="s">
        <v>2291</v>
      </c>
    </row>
    <row r="324" spans="1:13" x14ac:dyDescent="0.25">
      <c r="A324" s="3" t="s">
        <v>2225</v>
      </c>
      <c r="B324" s="3">
        <v>43732</v>
      </c>
      <c r="C324" s="2" t="s">
        <v>59</v>
      </c>
      <c r="D324" s="2">
        <v>5</v>
      </c>
      <c r="E324" s="2" t="s">
        <v>2237</v>
      </c>
      <c r="F324" s="2" t="s">
        <v>2255</v>
      </c>
      <c r="G324" s="2">
        <v>30</v>
      </c>
      <c r="H324" s="2" t="s">
        <v>2230</v>
      </c>
      <c r="I324" s="3">
        <v>45646</v>
      </c>
      <c r="J324" s="2" t="s">
        <v>1785</v>
      </c>
      <c r="K324" s="2"/>
      <c r="L324" s="2"/>
      <c r="M324" s="2" t="s">
        <v>2291</v>
      </c>
    </row>
    <row r="325" spans="1:13" x14ac:dyDescent="0.25">
      <c r="A325" s="3" t="s">
        <v>2225</v>
      </c>
      <c r="B325" s="3">
        <v>43732</v>
      </c>
      <c r="C325" s="2" t="s">
        <v>59</v>
      </c>
      <c r="D325" s="2">
        <v>5</v>
      </c>
      <c r="E325" s="2" t="s">
        <v>2237</v>
      </c>
      <c r="F325" s="2" t="s">
        <v>2256</v>
      </c>
      <c r="G325" s="2">
        <v>22</v>
      </c>
      <c r="H325" s="2" t="s">
        <v>2230</v>
      </c>
      <c r="I325" s="3">
        <v>45646</v>
      </c>
      <c r="J325" s="2" t="s">
        <v>1785</v>
      </c>
      <c r="K325" s="2"/>
      <c r="L325" s="2"/>
      <c r="M325" s="2" t="s">
        <v>2291</v>
      </c>
    </row>
    <row r="326" spans="1:13" x14ac:dyDescent="0.25">
      <c r="A326" s="3" t="s">
        <v>2225</v>
      </c>
      <c r="B326" s="3">
        <v>43732</v>
      </c>
      <c r="C326" s="2" t="s">
        <v>59</v>
      </c>
      <c r="D326" s="2">
        <v>5</v>
      </c>
      <c r="E326" s="2" t="s">
        <v>2237</v>
      </c>
      <c r="F326" s="2" t="s">
        <v>2257</v>
      </c>
      <c r="G326" s="2">
        <v>18</v>
      </c>
      <c r="H326" s="2" t="s">
        <v>2230</v>
      </c>
      <c r="I326" s="3">
        <v>45646</v>
      </c>
      <c r="J326" s="2" t="s">
        <v>1785</v>
      </c>
      <c r="K326" s="2"/>
      <c r="L326" s="2"/>
      <c r="M326" s="2" t="s">
        <v>2291</v>
      </c>
    </row>
    <row r="327" spans="1:13" x14ac:dyDescent="0.25">
      <c r="A327" s="3" t="s">
        <v>2225</v>
      </c>
      <c r="B327" s="3">
        <v>43732</v>
      </c>
      <c r="C327" s="2" t="s">
        <v>59</v>
      </c>
      <c r="D327" s="2">
        <v>5</v>
      </c>
      <c r="E327" s="2" t="s">
        <v>2237</v>
      </c>
      <c r="F327" s="2" t="s">
        <v>2258</v>
      </c>
      <c r="G327" s="2">
        <v>43</v>
      </c>
      <c r="H327" s="2" t="s">
        <v>2230</v>
      </c>
      <c r="I327" s="3">
        <v>45646</v>
      </c>
      <c r="J327" s="2" t="s">
        <v>1785</v>
      </c>
      <c r="K327" s="2"/>
      <c r="L327" s="2"/>
      <c r="M327" s="2" t="s">
        <v>2291</v>
      </c>
    </row>
    <row r="328" spans="1:13" x14ac:dyDescent="0.25">
      <c r="A328" s="3" t="s">
        <v>2225</v>
      </c>
      <c r="B328" s="3">
        <v>43732</v>
      </c>
      <c r="C328" s="2" t="s">
        <v>59</v>
      </c>
      <c r="D328" s="2">
        <v>5</v>
      </c>
      <c r="E328" s="2" t="s">
        <v>2237</v>
      </c>
      <c r="F328" s="2" t="s">
        <v>2259</v>
      </c>
      <c r="G328" s="2">
        <v>18</v>
      </c>
      <c r="H328" s="2" t="s">
        <v>2230</v>
      </c>
      <c r="I328" s="3">
        <v>45646</v>
      </c>
      <c r="J328" s="2" t="s">
        <v>1785</v>
      </c>
      <c r="K328" s="2"/>
      <c r="L328" s="2"/>
      <c r="M328" s="2" t="s">
        <v>2291</v>
      </c>
    </row>
    <row r="329" spans="1:13" x14ac:dyDescent="0.25">
      <c r="A329" s="3" t="s">
        <v>2225</v>
      </c>
      <c r="B329" s="3">
        <v>43732</v>
      </c>
      <c r="C329" s="2" t="s">
        <v>59</v>
      </c>
      <c r="D329" s="2">
        <v>5</v>
      </c>
      <c r="E329" s="2" t="s">
        <v>2237</v>
      </c>
      <c r="F329" s="2" t="s">
        <v>2260</v>
      </c>
      <c r="G329" s="2">
        <v>7</v>
      </c>
      <c r="H329" s="2" t="s">
        <v>2230</v>
      </c>
      <c r="I329" s="3">
        <v>45646</v>
      </c>
      <c r="J329" s="2" t="s">
        <v>1785</v>
      </c>
      <c r="K329" s="2"/>
      <c r="L329" s="2"/>
      <c r="M329" s="2" t="s">
        <v>2291</v>
      </c>
    </row>
    <row r="330" spans="1:13" x14ac:dyDescent="0.25">
      <c r="A330" s="3" t="s">
        <v>2225</v>
      </c>
      <c r="B330" s="3">
        <v>43732</v>
      </c>
      <c r="C330" s="2" t="s">
        <v>59</v>
      </c>
      <c r="D330" s="2">
        <v>5</v>
      </c>
      <c r="E330" s="2" t="s">
        <v>2237</v>
      </c>
      <c r="F330" s="2" t="s">
        <v>2261</v>
      </c>
      <c r="G330" s="2">
        <v>4</v>
      </c>
      <c r="H330" s="2" t="s">
        <v>2230</v>
      </c>
      <c r="I330" s="3">
        <v>45646</v>
      </c>
      <c r="J330" s="2" t="s">
        <v>1785</v>
      </c>
      <c r="K330" s="2"/>
      <c r="L330" s="2"/>
      <c r="M330" s="2" t="s">
        <v>2291</v>
      </c>
    </row>
    <row r="331" spans="1:13" x14ac:dyDescent="0.25">
      <c r="A331" s="3" t="s">
        <v>2225</v>
      </c>
      <c r="B331" s="3">
        <v>43732</v>
      </c>
      <c r="C331" s="2" t="s">
        <v>59</v>
      </c>
      <c r="D331" s="2">
        <v>5</v>
      </c>
      <c r="E331" s="2" t="s">
        <v>2237</v>
      </c>
      <c r="F331" s="2" t="s">
        <v>2262</v>
      </c>
      <c r="G331" s="2">
        <v>33</v>
      </c>
      <c r="H331" s="2" t="s">
        <v>2230</v>
      </c>
      <c r="I331" s="3">
        <v>45646</v>
      </c>
      <c r="J331" s="2" t="s">
        <v>1785</v>
      </c>
      <c r="K331" s="2"/>
      <c r="L331" s="2"/>
      <c r="M331" s="2" t="s">
        <v>2291</v>
      </c>
    </row>
    <row r="332" spans="1:13" x14ac:dyDescent="0.25">
      <c r="A332" s="3" t="s">
        <v>2225</v>
      </c>
      <c r="B332" s="3">
        <v>43732</v>
      </c>
      <c r="C332" s="2" t="s">
        <v>59</v>
      </c>
      <c r="D332" s="2">
        <v>5</v>
      </c>
      <c r="E332" s="2" t="s">
        <v>2237</v>
      </c>
      <c r="F332" s="2" t="s">
        <v>2263</v>
      </c>
      <c r="G332" s="2">
        <v>23</v>
      </c>
      <c r="H332" s="2" t="s">
        <v>2230</v>
      </c>
      <c r="I332" s="3">
        <v>45646</v>
      </c>
      <c r="J332" s="2" t="s">
        <v>1785</v>
      </c>
      <c r="K332" s="2"/>
      <c r="L332" s="2"/>
      <c r="M332" s="2" t="s">
        <v>2291</v>
      </c>
    </row>
    <row r="333" spans="1:13" x14ac:dyDescent="0.25">
      <c r="A333" s="3" t="s">
        <v>2225</v>
      </c>
      <c r="B333" s="3">
        <v>43732</v>
      </c>
      <c r="C333" s="2" t="s">
        <v>59</v>
      </c>
      <c r="D333" s="2">
        <v>5</v>
      </c>
      <c r="E333" s="2" t="s">
        <v>2237</v>
      </c>
      <c r="F333" s="2" t="s">
        <v>2264</v>
      </c>
      <c r="G333" s="2">
        <v>25</v>
      </c>
      <c r="H333" s="2" t="s">
        <v>2230</v>
      </c>
      <c r="I333" s="3">
        <v>45646</v>
      </c>
      <c r="J333" s="2" t="s">
        <v>1785</v>
      </c>
      <c r="K333" s="2"/>
      <c r="L333" s="2"/>
      <c r="M333" s="2" t="s">
        <v>2291</v>
      </c>
    </row>
    <row r="334" spans="1:13" x14ac:dyDescent="0.25">
      <c r="A334" s="3" t="s">
        <v>2225</v>
      </c>
      <c r="B334" s="3">
        <v>43732</v>
      </c>
      <c r="C334" s="2" t="s">
        <v>59</v>
      </c>
      <c r="D334" s="2">
        <v>5</v>
      </c>
      <c r="E334" s="2" t="s">
        <v>2237</v>
      </c>
      <c r="F334" s="2" t="s">
        <v>2265</v>
      </c>
      <c r="G334" s="2">
        <v>36</v>
      </c>
      <c r="H334" s="2" t="s">
        <v>2230</v>
      </c>
      <c r="I334" s="3">
        <v>45646</v>
      </c>
      <c r="J334" s="2" t="s">
        <v>1785</v>
      </c>
      <c r="K334" s="2"/>
      <c r="L334" s="2"/>
      <c r="M334" s="2" t="s">
        <v>2291</v>
      </c>
    </row>
    <row r="335" spans="1:13" x14ac:dyDescent="0.25">
      <c r="A335" s="3" t="s">
        <v>2225</v>
      </c>
      <c r="B335" s="3">
        <v>43732</v>
      </c>
      <c r="C335" s="2" t="s">
        <v>59</v>
      </c>
      <c r="D335" s="2">
        <v>5</v>
      </c>
      <c r="E335" s="2" t="s">
        <v>2237</v>
      </c>
      <c r="F335" s="2" t="s">
        <v>2266</v>
      </c>
      <c r="G335" s="2">
        <v>30</v>
      </c>
      <c r="H335" s="2" t="s">
        <v>2230</v>
      </c>
      <c r="I335" s="3">
        <v>45646</v>
      </c>
      <c r="J335" s="2" t="s">
        <v>1785</v>
      </c>
      <c r="K335" s="2"/>
      <c r="L335" s="2"/>
      <c r="M335" s="2" t="s">
        <v>2291</v>
      </c>
    </row>
    <row r="336" spans="1:13" x14ac:dyDescent="0.25">
      <c r="A336" s="3" t="s">
        <v>2225</v>
      </c>
      <c r="B336" s="3">
        <v>43732</v>
      </c>
      <c r="C336" s="2" t="s">
        <v>59</v>
      </c>
      <c r="D336" s="2">
        <v>5</v>
      </c>
      <c r="E336" s="2" t="s">
        <v>2237</v>
      </c>
      <c r="F336" s="2" t="s">
        <v>2267</v>
      </c>
      <c r="G336" s="2">
        <v>38</v>
      </c>
      <c r="H336" s="2" t="s">
        <v>2230</v>
      </c>
      <c r="I336" s="3">
        <v>45646</v>
      </c>
      <c r="J336" s="2" t="s">
        <v>1785</v>
      </c>
      <c r="K336" s="2"/>
      <c r="L336" s="2"/>
      <c r="M336" s="2" t="s">
        <v>2291</v>
      </c>
    </row>
    <row r="337" spans="1:13" x14ac:dyDescent="0.25">
      <c r="A337" s="3" t="s">
        <v>2225</v>
      </c>
      <c r="B337" s="3">
        <v>43732</v>
      </c>
      <c r="C337" s="2" t="s">
        <v>59</v>
      </c>
      <c r="D337" s="2">
        <v>5</v>
      </c>
      <c r="E337" s="2" t="s">
        <v>2237</v>
      </c>
      <c r="F337" s="2" t="s">
        <v>2268</v>
      </c>
      <c r="G337" s="2">
        <v>28</v>
      </c>
      <c r="H337" s="2" t="s">
        <v>2230</v>
      </c>
      <c r="I337" s="3">
        <v>45646</v>
      </c>
      <c r="J337" s="2" t="s">
        <v>1785</v>
      </c>
      <c r="K337" s="2"/>
      <c r="L337" s="2"/>
      <c r="M337" s="2" t="s">
        <v>2291</v>
      </c>
    </row>
    <row r="338" spans="1:13" x14ac:dyDescent="0.25">
      <c r="A338" s="3" t="s">
        <v>2225</v>
      </c>
      <c r="B338" s="3">
        <v>43732</v>
      </c>
      <c r="C338" s="2" t="s">
        <v>59</v>
      </c>
      <c r="D338" s="2">
        <v>5</v>
      </c>
      <c r="E338" s="2" t="s">
        <v>2237</v>
      </c>
      <c r="F338" s="2" t="s">
        <v>2269</v>
      </c>
      <c r="G338" s="2">
        <v>74</v>
      </c>
      <c r="H338" s="2" t="s">
        <v>2230</v>
      </c>
      <c r="I338" s="3">
        <v>45646</v>
      </c>
      <c r="J338" s="2" t="s">
        <v>1785</v>
      </c>
      <c r="K338" s="2"/>
      <c r="L338" s="2"/>
      <c r="M338" s="2" t="s">
        <v>2291</v>
      </c>
    </row>
    <row r="339" spans="1:13" x14ac:dyDescent="0.25">
      <c r="A339" s="3" t="s">
        <v>2225</v>
      </c>
      <c r="B339" s="3">
        <v>43732</v>
      </c>
      <c r="C339" s="2" t="s">
        <v>59</v>
      </c>
      <c r="D339" s="2">
        <v>5</v>
      </c>
      <c r="E339" s="2" t="s">
        <v>2237</v>
      </c>
      <c r="F339" s="2" t="s">
        <v>2270</v>
      </c>
      <c r="G339" s="2">
        <v>35</v>
      </c>
      <c r="H339" s="2" t="s">
        <v>2230</v>
      </c>
      <c r="I339" s="3">
        <v>45646</v>
      </c>
      <c r="J339" s="2" t="s">
        <v>1785</v>
      </c>
      <c r="K339" s="2"/>
      <c r="L339" s="2"/>
      <c r="M339" s="2" t="s">
        <v>2291</v>
      </c>
    </row>
    <row r="340" spans="1:13" x14ac:dyDescent="0.25">
      <c r="A340" s="3" t="s">
        <v>2225</v>
      </c>
      <c r="B340" s="3">
        <v>43732</v>
      </c>
      <c r="C340" s="2" t="s">
        <v>59</v>
      </c>
      <c r="D340" s="2">
        <v>5</v>
      </c>
      <c r="E340" s="2" t="s">
        <v>2237</v>
      </c>
      <c r="F340" s="2" t="s">
        <v>2271</v>
      </c>
      <c r="G340" s="2">
        <v>11</v>
      </c>
      <c r="H340" s="2" t="s">
        <v>2230</v>
      </c>
      <c r="I340" s="3">
        <v>45646</v>
      </c>
      <c r="J340" s="2" t="s">
        <v>1785</v>
      </c>
      <c r="K340" s="2"/>
      <c r="L340" s="2"/>
      <c r="M340" s="2" t="s">
        <v>2291</v>
      </c>
    </row>
    <row r="341" spans="1:13" x14ac:dyDescent="0.25">
      <c r="A341" s="3" t="s">
        <v>2225</v>
      </c>
      <c r="B341" s="3">
        <v>43732</v>
      </c>
      <c r="C341" s="2" t="s">
        <v>59</v>
      </c>
      <c r="D341" s="2">
        <v>5</v>
      </c>
      <c r="E341" s="2" t="s">
        <v>2237</v>
      </c>
      <c r="F341" s="2" t="s">
        <v>2272</v>
      </c>
      <c r="G341" s="2">
        <v>23</v>
      </c>
      <c r="H341" s="2" t="s">
        <v>2230</v>
      </c>
      <c r="I341" s="3">
        <v>45646</v>
      </c>
      <c r="J341" s="2" t="s">
        <v>1785</v>
      </c>
      <c r="K341" s="2"/>
      <c r="L341" s="2"/>
      <c r="M341" s="2" t="s">
        <v>2291</v>
      </c>
    </row>
    <row r="342" spans="1:13" x14ac:dyDescent="0.25">
      <c r="A342" s="3" t="s">
        <v>2225</v>
      </c>
      <c r="B342" s="3">
        <v>43732</v>
      </c>
      <c r="C342" s="2" t="s">
        <v>59</v>
      </c>
      <c r="D342" s="2">
        <v>5</v>
      </c>
      <c r="E342" s="2" t="s">
        <v>2237</v>
      </c>
      <c r="F342" s="2" t="s">
        <v>2273</v>
      </c>
      <c r="G342" s="2">
        <v>37</v>
      </c>
      <c r="H342" s="2" t="s">
        <v>2230</v>
      </c>
      <c r="I342" s="3">
        <v>45646</v>
      </c>
      <c r="J342" s="2" t="s">
        <v>1785</v>
      </c>
      <c r="K342" s="2"/>
      <c r="L342" s="2"/>
      <c r="M342" s="2" t="s">
        <v>2291</v>
      </c>
    </row>
    <row r="343" spans="1:13" x14ac:dyDescent="0.25">
      <c r="A343" s="3" t="s">
        <v>2225</v>
      </c>
      <c r="B343" s="3">
        <v>43732</v>
      </c>
      <c r="C343" s="2" t="s">
        <v>59</v>
      </c>
      <c r="D343" s="2">
        <v>5</v>
      </c>
      <c r="E343" s="2" t="s">
        <v>2237</v>
      </c>
      <c r="F343" s="2" t="s">
        <v>2274</v>
      </c>
      <c r="G343" s="2">
        <v>22</v>
      </c>
      <c r="H343" s="2" t="s">
        <v>2230</v>
      </c>
      <c r="I343" s="3">
        <v>45646</v>
      </c>
      <c r="J343" s="2" t="s">
        <v>1785</v>
      </c>
      <c r="K343" s="2"/>
      <c r="L343" s="2"/>
      <c r="M343" s="2" t="s">
        <v>2291</v>
      </c>
    </row>
    <row r="344" spans="1:13" x14ac:dyDescent="0.25">
      <c r="A344" s="3" t="s">
        <v>2225</v>
      </c>
      <c r="B344" s="3">
        <v>43732</v>
      </c>
      <c r="C344" s="2" t="s">
        <v>59</v>
      </c>
      <c r="D344" s="2">
        <v>5</v>
      </c>
      <c r="E344" s="2" t="s">
        <v>2237</v>
      </c>
      <c r="F344" s="2" t="s">
        <v>2275</v>
      </c>
      <c r="G344" s="2">
        <v>24</v>
      </c>
      <c r="H344" s="2" t="s">
        <v>2230</v>
      </c>
      <c r="I344" s="3">
        <v>45646</v>
      </c>
      <c r="J344" s="2" t="s">
        <v>1785</v>
      </c>
      <c r="K344" s="2"/>
      <c r="L344" s="2"/>
      <c r="M344" s="2" t="s">
        <v>2291</v>
      </c>
    </row>
    <row r="345" spans="1:13" x14ac:dyDescent="0.25">
      <c r="A345" s="3" t="s">
        <v>2225</v>
      </c>
      <c r="B345" s="3">
        <v>43732</v>
      </c>
      <c r="C345" s="2" t="s">
        <v>59</v>
      </c>
      <c r="D345" s="2">
        <v>5</v>
      </c>
      <c r="E345" s="2" t="s">
        <v>2237</v>
      </c>
      <c r="F345" s="2" t="s">
        <v>2276</v>
      </c>
      <c r="G345" s="2">
        <v>12</v>
      </c>
      <c r="H345" s="2" t="s">
        <v>2230</v>
      </c>
      <c r="I345" s="3">
        <v>45646</v>
      </c>
      <c r="J345" s="2" t="s">
        <v>1785</v>
      </c>
      <c r="K345" s="2"/>
      <c r="L345" s="2"/>
      <c r="M345" s="2" t="s">
        <v>2291</v>
      </c>
    </row>
    <row r="346" spans="1:13" x14ac:dyDescent="0.25">
      <c r="A346" s="3" t="s">
        <v>2225</v>
      </c>
      <c r="B346" s="3">
        <v>43732</v>
      </c>
      <c r="C346" s="2" t="s">
        <v>59</v>
      </c>
      <c r="D346" s="2">
        <v>5</v>
      </c>
      <c r="E346" s="2" t="s">
        <v>2237</v>
      </c>
      <c r="F346" s="2" t="s">
        <v>2277</v>
      </c>
      <c r="G346" s="2">
        <v>20</v>
      </c>
      <c r="H346" s="2" t="s">
        <v>2230</v>
      </c>
      <c r="I346" s="3">
        <v>45646</v>
      </c>
      <c r="J346" s="2" t="s">
        <v>1785</v>
      </c>
      <c r="K346" s="2"/>
      <c r="L346" s="2"/>
      <c r="M346" s="2" t="s">
        <v>2291</v>
      </c>
    </row>
    <row r="347" spans="1:13" x14ac:dyDescent="0.25">
      <c r="A347" s="3" t="s">
        <v>2225</v>
      </c>
      <c r="B347" s="3">
        <v>43732</v>
      </c>
      <c r="C347" s="2" t="s">
        <v>59</v>
      </c>
      <c r="D347" s="2">
        <v>5</v>
      </c>
      <c r="E347" s="2" t="s">
        <v>2237</v>
      </c>
      <c r="F347" s="2" t="s">
        <v>2278</v>
      </c>
      <c r="G347" s="2">
        <v>9</v>
      </c>
      <c r="H347" s="2" t="s">
        <v>2230</v>
      </c>
      <c r="I347" s="3">
        <v>45646</v>
      </c>
      <c r="J347" s="2" t="s">
        <v>1785</v>
      </c>
      <c r="K347" s="2"/>
      <c r="L347" s="2"/>
      <c r="M347" s="2" t="s">
        <v>2291</v>
      </c>
    </row>
    <row r="348" spans="1:13" x14ac:dyDescent="0.25">
      <c r="A348" s="3" t="s">
        <v>2225</v>
      </c>
      <c r="B348" s="3">
        <v>43732</v>
      </c>
      <c r="C348" s="2" t="s">
        <v>59</v>
      </c>
      <c r="D348" s="2">
        <v>5</v>
      </c>
      <c r="E348" s="2" t="s">
        <v>2237</v>
      </c>
      <c r="F348" s="2" t="s">
        <v>2279</v>
      </c>
      <c r="G348" s="2">
        <v>29</v>
      </c>
      <c r="H348" s="2" t="s">
        <v>2230</v>
      </c>
      <c r="I348" s="3">
        <v>45646</v>
      </c>
      <c r="J348" s="2" t="s">
        <v>1785</v>
      </c>
      <c r="K348" s="2"/>
      <c r="L348" s="2"/>
      <c r="M348" s="2" t="s">
        <v>2291</v>
      </c>
    </row>
    <row r="349" spans="1:13" x14ac:dyDescent="0.25">
      <c r="A349" s="3" t="s">
        <v>2225</v>
      </c>
      <c r="B349" s="3">
        <v>43732</v>
      </c>
      <c r="C349" s="2" t="s">
        <v>59</v>
      </c>
      <c r="D349" s="2">
        <v>5</v>
      </c>
      <c r="E349" s="2" t="s">
        <v>2237</v>
      </c>
      <c r="F349" s="2" t="s">
        <v>2280</v>
      </c>
      <c r="G349" s="2">
        <v>38</v>
      </c>
      <c r="H349" s="2" t="s">
        <v>2230</v>
      </c>
      <c r="I349" s="3">
        <v>45646</v>
      </c>
      <c r="J349" s="2" t="s">
        <v>1785</v>
      </c>
      <c r="K349" s="2"/>
      <c r="L349" s="2"/>
      <c r="M349" s="2" t="s">
        <v>2291</v>
      </c>
    </row>
    <row r="350" spans="1:13" x14ac:dyDescent="0.25">
      <c r="A350" s="3" t="s">
        <v>2225</v>
      </c>
      <c r="B350" s="3">
        <v>43732</v>
      </c>
      <c r="C350" s="2" t="s">
        <v>59</v>
      </c>
      <c r="D350" s="2">
        <v>5</v>
      </c>
      <c r="E350" s="2" t="s">
        <v>2237</v>
      </c>
      <c r="F350" s="2" t="s">
        <v>2281</v>
      </c>
      <c r="G350" s="2">
        <v>21</v>
      </c>
      <c r="H350" s="2" t="s">
        <v>2230</v>
      </c>
      <c r="I350" s="3">
        <v>45646</v>
      </c>
      <c r="J350" s="2" t="s">
        <v>1785</v>
      </c>
      <c r="K350" s="2"/>
      <c r="L350" s="2"/>
      <c r="M350" s="2" t="s">
        <v>2291</v>
      </c>
    </row>
    <row r="351" spans="1:13" x14ac:dyDescent="0.25">
      <c r="A351" s="3" t="s">
        <v>2225</v>
      </c>
      <c r="B351" s="3">
        <v>43732</v>
      </c>
      <c r="C351" s="2" t="s">
        <v>59</v>
      </c>
      <c r="D351" s="2">
        <v>5</v>
      </c>
      <c r="E351" s="2" t="s">
        <v>2237</v>
      </c>
      <c r="F351" s="2" t="s">
        <v>2282</v>
      </c>
      <c r="G351" s="2">
        <v>20</v>
      </c>
      <c r="H351" s="2" t="s">
        <v>2230</v>
      </c>
      <c r="I351" s="3">
        <v>45646</v>
      </c>
      <c r="J351" s="2" t="s">
        <v>1785</v>
      </c>
      <c r="K351" s="2"/>
      <c r="L351" s="2"/>
      <c r="M351" s="2" t="s">
        <v>2291</v>
      </c>
    </row>
    <row r="352" spans="1:13" x14ac:dyDescent="0.25">
      <c r="A352" s="3" t="s">
        <v>2225</v>
      </c>
      <c r="B352" s="3">
        <v>43732</v>
      </c>
      <c r="C352" s="2" t="s">
        <v>59</v>
      </c>
      <c r="D352" s="2">
        <v>5</v>
      </c>
      <c r="E352" s="2" t="s">
        <v>2237</v>
      </c>
      <c r="F352" s="2" t="s">
        <v>2283</v>
      </c>
      <c r="G352" s="2">
        <v>27</v>
      </c>
      <c r="H352" s="2" t="s">
        <v>2230</v>
      </c>
      <c r="I352" s="3">
        <v>45646</v>
      </c>
      <c r="J352" s="2" t="s">
        <v>1785</v>
      </c>
      <c r="K352" s="2"/>
      <c r="L352" s="2"/>
      <c r="M352" s="2" t="s">
        <v>2291</v>
      </c>
    </row>
    <row r="353" spans="1:13" x14ac:dyDescent="0.25">
      <c r="A353" s="3" t="s">
        <v>2225</v>
      </c>
      <c r="B353" s="3">
        <v>43732</v>
      </c>
      <c r="C353" s="2" t="s">
        <v>59</v>
      </c>
      <c r="D353" s="2">
        <v>5</v>
      </c>
      <c r="E353" s="2" t="s">
        <v>2237</v>
      </c>
      <c r="F353" s="2" t="s">
        <v>2284</v>
      </c>
      <c r="G353" s="2">
        <v>27</v>
      </c>
      <c r="H353" s="2" t="s">
        <v>2230</v>
      </c>
      <c r="I353" s="3">
        <v>45646</v>
      </c>
      <c r="J353" s="2" t="s">
        <v>1785</v>
      </c>
      <c r="K353" s="2"/>
      <c r="L353" s="2"/>
      <c r="M353" s="2" t="s">
        <v>2291</v>
      </c>
    </row>
    <row r="354" spans="1:13" x14ac:dyDescent="0.25">
      <c r="A354" s="3" t="s">
        <v>2225</v>
      </c>
      <c r="B354" s="3">
        <v>43732</v>
      </c>
      <c r="C354" s="2" t="s">
        <v>59</v>
      </c>
      <c r="D354" s="2">
        <v>5</v>
      </c>
      <c r="E354" s="2" t="s">
        <v>2237</v>
      </c>
      <c r="F354" s="2" t="s">
        <v>2285</v>
      </c>
      <c r="G354" s="2">
        <v>23</v>
      </c>
      <c r="H354" s="2" t="s">
        <v>2230</v>
      </c>
      <c r="I354" s="3">
        <v>45646</v>
      </c>
      <c r="J354" s="2" t="s">
        <v>1785</v>
      </c>
      <c r="K354" s="2"/>
      <c r="L354" s="2"/>
      <c r="M354" s="2" t="s">
        <v>2291</v>
      </c>
    </row>
    <row r="355" spans="1:13" x14ac:dyDescent="0.25">
      <c r="A355" s="3" t="s">
        <v>2225</v>
      </c>
      <c r="B355" s="3">
        <v>43732</v>
      </c>
      <c r="C355" s="2" t="s">
        <v>59</v>
      </c>
      <c r="D355" s="2">
        <v>5</v>
      </c>
      <c r="E355" s="2" t="s">
        <v>2237</v>
      </c>
      <c r="F355" s="2" t="s">
        <v>2286</v>
      </c>
      <c r="G355" s="2">
        <v>34</v>
      </c>
      <c r="H355" s="2" t="s">
        <v>2230</v>
      </c>
      <c r="I355" s="3">
        <v>45646</v>
      </c>
      <c r="J355" s="2" t="s">
        <v>1785</v>
      </c>
      <c r="K355" s="2"/>
      <c r="L355" s="2"/>
      <c r="M355" s="2" t="s">
        <v>2291</v>
      </c>
    </row>
    <row r="356" spans="1:13" x14ac:dyDescent="0.25">
      <c r="A356" s="3" t="s">
        <v>2225</v>
      </c>
      <c r="B356" s="3">
        <v>43732</v>
      </c>
      <c r="C356" s="2" t="s">
        <v>59</v>
      </c>
      <c r="D356" s="2">
        <v>5</v>
      </c>
      <c r="E356" s="2" t="s">
        <v>2237</v>
      </c>
      <c r="F356" s="2" t="s">
        <v>2287</v>
      </c>
      <c r="G356" s="2">
        <v>21</v>
      </c>
      <c r="H356" s="2" t="s">
        <v>2230</v>
      </c>
      <c r="I356" s="3">
        <v>45646</v>
      </c>
      <c r="J356" s="2" t="s">
        <v>1785</v>
      </c>
      <c r="K356" s="2"/>
      <c r="L356" s="2"/>
      <c r="M356" s="2" t="s">
        <v>2291</v>
      </c>
    </row>
    <row r="357" spans="1:13" x14ac:dyDescent="0.25">
      <c r="A357" s="3" t="s">
        <v>2225</v>
      </c>
      <c r="B357" s="3">
        <v>43732</v>
      </c>
      <c r="C357" s="2" t="s">
        <v>59</v>
      </c>
      <c r="D357" s="2">
        <v>5</v>
      </c>
      <c r="E357" s="2" t="s">
        <v>2237</v>
      </c>
      <c r="F357" s="2" t="s">
        <v>2288</v>
      </c>
      <c r="G357" s="2">
        <v>36</v>
      </c>
      <c r="H357" s="2" t="s">
        <v>2230</v>
      </c>
      <c r="I357" s="3">
        <v>45646</v>
      </c>
      <c r="J357" s="2" t="s">
        <v>1785</v>
      </c>
      <c r="K357" s="2"/>
      <c r="L357" s="2"/>
      <c r="M357" s="2" t="s">
        <v>2291</v>
      </c>
    </row>
    <row r="358" spans="1:13" x14ac:dyDescent="0.25">
      <c r="A358" s="3" t="s">
        <v>2225</v>
      </c>
      <c r="B358" s="3">
        <v>43732</v>
      </c>
      <c r="C358" s="2" t="s">
        <v>59</v>
      </c>
      <c r="D358" s="2">
        <v>5</v>
      </c>
      <c r="E358" s="2" t="s">
        <v>2237</v>
      </c>
      <c r="F358" s="2" t="s">
        <v>2289</v>
      </c>
      <c r="G358" s="2">
        <v>25</v>
      </c>
      <c r="H358" s="2" t="s">
        <v>2230</v>
      </c>
      <c r="I358" s="3">
        <v>45646</v>
      </c>
      <c r="J358" s="2" t="s">
        <v>1785</v>
      </c>
      <c r="K358" s="2"/>
      <c r="L358" s="2"/>
      <c r="M358" s="2" t="s">
        <v>2291</v>
      </c>
    </row>
    <row r="359" spans="1:13" x14ac:dyDescent="0.25">
      <c r="A359" s="3" t="s">
        <v>2225</v>
      </c>
      <c r="B359" s="3">
        <v>43732</v>
      </c>
      <c r="C359" s="2" t="s">
        <v>59</v>
      </c>
      <c r="D359" s="2">
        <v>5</v>
      </c>
      <c r="E359" s="2" t="s">
        <v>2238</v>
      </c>
      <c r="F359" s="2" t="s">
        <v>2246</v>
      </c>
      <c r="G359" s="2">
        <v>25</v>
      </c>
      <c r="H359" s="2" t="s">
        <v>2230</v>
      </c>
      <c r="I359" s="3">
        <v>45646</v>
      </c>
      <c r="J359" s="2" t="s">
        <v>1785</v>
      </c>
      <c r="K359" s="2"/>
      <c r="L359" s="2"/>
      <c r="M359" s="2" t="s">
        <v>2291</v>
      </c>
    </row>
    <row r="360" spans="1:13" x14ac:dyDescent="0.25">
      <c r="A360" s="3" t="s">
        <v>2225</v>
      </c>
      <c r="B360" s="3">
        <v>43732</v>
      </c>
      <c r="C360" s="2" t="s">
        <v>59</v>
      </c>
      <c r="D360" s="2">
        <v>5</v>
      </c>
      <c r="E360" s="2" t="s">
        <v>2238</v>
      </c>
      <c r="F360" s="2" t="s">
        <v>2247</v>
      </c>
      <c r="G360" s="2">
        <v>20</v>
      </c>
      <c r="H360" s="2" t="s">
        <v>2230</v>
      </c>
      <c r="I360" s="3">
        <v>45646</v>
      </c>
      <c r="J360" s="2" t="s">
        <v>1785</v>
      </c>
      <c r="K360" s="2"/>
      <c r="L360" s="2"/>
      <c r="M360" s="2" t="s">
        <v>2291</v>
      </c>
    </row>
    <row r="361" spans="1:13" x14ac:dyDescent="0.25">
      <c r="A361" s="3" t="s">
        <v>2225</v>
      </c>
      <c r="B361" s="3">
        <v>43732</v>
      </c>
      <c r="C361" s="2" t="s">
        <v>59</v>
      </c>
      <c r="D361" s="2">
        <v>5</v>
      </c>
      <c r="E361" s="2" t="s">
        <v>2238</v>
      </c>
      <c r="F361" s="2" t="s">
        <v>2248</v>
      </c>
      <c r="G361" s="2">
        <v>20</v>
      </c>
      <c r="H361" s="2" t="s">
        <v>2230</v>
      </c>
      <c r="I361" s="3">
        <v>45646</v>
      </c>
      <c r="J361" s="2" t="s">
        <v>1785</v>
      </c>
      <c r="K361" s="2"/>
      <c r="L361" s="2"/>
      <c r="M361" s="2" t="s">
        <v>2291</v>
      </c>
    </row>
    <row r="362" spans="1:13" x14ac:dyDescent="0.25">
      <c r="A362" s="3" t="s">
        <v>2225</v>
      </c>
      <c r="B362" s="3">
        <v>43732</v>
      </c>
      <c r="C362" s="2" t="s">
        <v>59</v>
      </c>
      <c r="D362" s="2">
        <v>5</v>
      </c>
      <c r="E362" s="2" t="s">
        <v>2238</v>
      </c>
      <c r="F362" s="2" t="s">
        <v>2249</v>
      </c>
      <c r="G362" s="2">
        <v>10</v>
      </c>
      <c r="H362" s="2" t="s">
        <v>2230</v>
      </c>
      <c r="I362" s="3">
        <v>45646</v>
      </c>
      <c r="J362" s="2" t="s">
        <v>1785</v>
      </c>
      <c r="K362" s="2"/>
      <c r="L362" s="2"/>
      <c r="M362" s="2" t="s">
        <v>2291</v>
      </c>
    </row>
    <row r="363" spans="1:13" x14ac:dyDescent="0.25">
      <c r="A363" s="3" t="s">
        <v>2225</v>
      </c>
      <c r="B363" s="3">
        <v>43732</v>
      </c>
      <c r="C363" s="2" t="s">
        <v>59</v>
      </c>
      <c r="D363" s="2">
        <v>5</v>
      </c>
      <c r="E363" s="2" t="s">
        <v>2238</v>
      </c>
      <c r="F363" s="2" t="s">
        <v>2250</v>
      </c>
      <c r="G363" s="2">
        <v>5</v>
      </c>
      <c r="H363" s="2" t="s">
        <v>2230</v>
      </c>
      <c r="I363" s="3">
        <v>45646</v>
      </c>
      <c r="J363" s="2" t="s">
        <v>1785</v>
      </c>
      <c r="K363" s="2"/>
      <c r="L363" s="2"/>
      <c r="M363" s="2" t="s">
        <v>2291</v>
      </c>
    </row>
    <row r="364" spans="1:13" x14ac:dyDescent="0.25">
      <c r="A364" s="3" t="s">
        <v>2225</v>
      </c>
      <c r="B364" s="3">
        <v>43732</v>
      </c>
      <c r="C364" s="2" t="s">
        <v>59</v>
      </c>
      <c r="D364" s="2">
        <v>5</v>
      </c>
      <c r="E364" s="2" t="s">
        <v>2238</v>
      </c>
      <c r="F364" s="2" t="s">
        <v>2251</v>
      </c>
      <c r="G364" s="2">
        <v>17</v>
      </c>
      <c r="H364" s="2" t="s">
        <v>2230</v>
      </c>
      <c r="I364" s="3">
        <v>45646</v>
      </c>
      <c r="J364" s="2" t="s">
        <v>1785</v>
      </c>
      <c r="K364" s="2"/>
      <c r="L364" s="2"/>
      <c r="M364" s="2" t="s">
        <v>2291</v>
      </c>
    </row>
    <row r="365" spans="1:13" x14ac:dyDescent="0.25">
      <c r="A365" s="3" t="s">
        <v>2225</v>
      </c>
      <c r="B365" s="3">
        <v>43732</v>
      </c>
      <c r="C365" s="2" t="s">
        <v>59</v>
      </c>
      <c r="D365" s="2">
        <v>5</v>
      </c>
      <c r="E365" s="2" t="s">
        <v>2238</v>
      </c>
      <c r="F365" s="2" t="s">
        <v>2252</v>
      </c>
      <c r="G365" s="2">
        <v>22</v>
      </c>
      <c r="H365" s="2" t="s">
        <v>2230</v>
      </c>
      <c r="I365" s="3">
        <v>45646</v>
      </c>
      <c r="J365" s="2" t="s">
        <v>1785</v>
      </c>
      <c r="K365" s="2"/>
      <c r="L365" s="2"/>
      <c r="M365" s="2" t="s">
        <v>2291</v>
      </c>
    </row>
    <row r="366" spans="1:13" x14ac:dyDescent="0.25">
      <c r="A366" s="3" t="s">
        <v>2225</v>
      </c>
      <c r="B366" s="3">
        <v>43732</v>
      </c>
      <c r="C366" s="2" t="s">
        <v>59</v>
      </c>
      <c r="D366" s="2">
        <v>5</v>
      </c>
      <c r="E366" s="2" t="s">
        <v>2238</v>
      </c>
      <c r="F366" s="2" t="s">
        <v>2253</v>
      </c>
      <c r="G366" s="2">
        <v>21</v>
      </c>
      <c r="H366" s="2" t="s">
        <v>2230</v>
      </c>
      <c r="I366" s="3">
        <v>45646</v>
      </c>
      <c r="J366" s="2" t="s">
        <v>1785</v>
      </c>
      <c r="K366" s="2"/>
      <c r="L366" s="2"/>
      <c r="M366" s="2" t="s">
        <v>2291</v>
      </c>
    </row>
    <row r="367" spans="1:13" x14ac:dyDescent="0.25">
      <c r="A367" s="3" t="s">
        <v>2225</v>
      </c>
      <c r="B367" s="3">
        <v>43732</v>
      </c>
      <c r="C367" s="2" t="s">
        <v>59</v>
      </c>
      <c r="D367" s="2">
        <v>5</v>
      </c>
      <c r="E367" s="2" t="s">
        <v>2238</v>
      </c>
      <c r="F367" s="2" t="s">
        <v>2254</v>
      </c>
      <c r="G367" s="2">
        <v>18</v>
      </c>
      <c r="H367" s="2" t="s">
        <v>2230</v>
      </c>
      <c r="I367" s="3">
        <v>45646</v>
      </c>
      <c r="J367" s="2" t="s">
        <v>1785</v>
      </c>
      <c r="K367" s="2"/>
      <c r="L367" s="2"/>
      <c r="M367" s="2" t="s">
        <v>2291</v>
      </c>
    </row>
    <row r="368" spans="1:13" x14ac:dyDescent="0.25">
      <c r="A368" s="3" t="s">
        <v>2225</v>
      </c>
      <c r="B368" s="3">
        <v>43732</v>
      </c>
      <c r="C368" s="2" t="s">
        <v>59</v>
      </c>
      <c r="D368" s="2">
        <v>5</v>
      </c>
      <c r="E368" s="2" t="s">
        <v>2238</v>
      </c>
      <c r="F368" s="2" t="s">
        <v>2240</v>
      </c>
      <c r="G368" s="2">
        <v>25</v>
      </c>
      <c r="H368" s="2" t="s">
        <v>2230</v>
      </c>
      <c r="I368" s="3">
        <v>45646</v>
      </c>
      <c r="J368" s="2" t="s">
        <v>1785</v>
      </c>
      <c r="K368" s="2"/>
      <c r="L368" s="2"/>
      <c r="M368" s="2" t="s">
        <v>2291</v>
      </c>
    </row>
    <row r="369" spans="1:13" x14ac:dyDescent="0.25">
      <c r="A369" s="3" t="s">
        <v>2225</v>
      </c>
      <c r="B369" s="3">
        <v>43732</v>
      </c>
      <c r="C369" s="2" t="s">
        <v>59</v>
      </c>
      <c r="D369" s="2">
        <v>5</v>
      </c>
      <c r="E369" s="2" t="s">
        <v>2238</v>
      </c>
      <c r="F369" s="2" t="s">
        <v>2241</v>
      </c>
      <c r="G369" s="2">
        <v>18</v>
      </c>
      <c r="H369" s="2" t="s">
        <v>2230</v>
      </c>
      <c r="I369" s="3">
        <v>45646</v>
      </c>
      <c r="J369" s="2" t="s">
        <v>1785</v>
      </c>
      <c r="K369" s="2"/>
      <c r="L369" s="2"/>
      <c r="M369" s="2" t="s">
        <v>2291</v>
      </c>
    </row>
    <row r="370" spans="1:13" x14ac:dyDescent="0.25">
      <c r="A370" s="3" t="s">
        <v>2225</v>
      </c>
      <c r="B370" s="3">
        <v>43732</v>
      </c>
      <c r="C370" s="2" t="s">
        <v>59</v>
      </c>
      <c r="D370" s="2">
        <v>5</v>
      </c>
      <c r="E370" s="2" t="s">
        <v>2238</v>
      </c>
      <c r="F370" s="2" t="s">
        <v>2242</v>
      </c>
      <c r="G370" s="2">
        <v>30</v>
      </c>
      <c r="H370" s="2" t="s">
        <v>2230</v>
      </c>
      <c r="I370" s="3">
        <v>45646</v>
      </c>
      <c r="J370" s="2" t="s">
        <v>1785</v>
      </c>
      <c r="K370" s="2"/>
      <c r="L370" s="2"/>
      <c r="M370" s="2" t="s">
        <v>2291</v>
      </c>
    </row>
    <row r="371" spans="1:13" x14ac:dyDescent="0.25">
      <c r="A371" s="3" t="s">
        <v>2225</v>
      </c>
      <c r="B371" s="3">
        <v>43732</v>
      </c>
      <c r="C371" s="2" t="s">
        <v>59</v>
      </c>
      <c r="D371" s="2">
        <v>5</v>
      </c>
      <c r="E371" s="2" t="s">
        <v>2238</v>
      </c>
      <c r="F371" s="2" t="s">
        <v>2243</v>
      </c>
      <c r="G371" s="2">
        <v>37</v>
      </c>
      <c r="H371" s="2" t="s">
        <v>2230</v>
      </c>
      <c r="I371" s="3">
        <v>45646</v>
      </c>
      <c r="J371" s="2" t="s">
        <v>1785</v>
      </c>
      <c r="K371" s="2"/>
      <c r="L371" s="2"/>
      <c r="M371" s="2" t="s">
        <v>2291</v>
      </c>
    </row>
    <row r="372" spans="1:13" x14ac:dyDescent="0.25">
      <c r="A372" s="3" t="s">
        <v>2225</v>
      </c>
      <c r="B372" s="3">
        <v>43732</v>
      </c>
      <c r="C372" s="2" t="s">
        <v>59</v>
      </c>
      <c r="D372" s="2">
        <v>5</v>
      </c>
      <c r="E372" s="2" t="s">
        <v>2238</v>
      </c>
      <c r="F372" s="2" t="s">
        <v>2244</v>
      </c>
      <c r="G372" s="2">
        <v>33</v>
      </c>
      <c r="H372" s="2" t="s">
        <v>2230</v>
      </c>
      <c r="I372" s="3">
        <v>45646</v>
      </c>
      <c r="J372" s="2" t="s">
        <v>1785</v>
      </c>
      <c r="K372" s="2"/>
      <c r="L372" s="2"/>
      <c r="M372" s="2" t="s">
        <v>2291</v>
      </c>
    </row>
    <row r="373" spans="1:13" x14ac:dyDescent="0.25">
      <c r="A373" s="3" t="s">
        <v>2225</v>
      </c>
      <c r="B373" s="3">
        <v>43732</v>
      </c>
      <c r="C373" s="2" t="s">
        <v>59</v>
      </c>
      <c r="D373" s="2">
        <v>5</v>
      </c>
      <c r="E373" s="2" t="s">
        <v>2238</v>
      </c>
      <c r="F373" s="2" t="s">
        <v>2245</v>
      </c>
      <c r="G373" s="2">
        <v>35</v>
      </c>
      <c r="H373" s="2" t="s">
        <v>2230</v>
      </c>
      <c r="I373" s="3">
        <v>45646</v>
      </c>
      <c r="J373" s="2" t="s">
        <v>1785</v>
      </c>
      <c r="K373" s="2"/>
      <c r="L373" s="2"/>
      <c r="M373" s="2" t="s">
        <v>2291</v>
      </c>
    </row>
    <row r="374" spans="1:13" x14ac:dyDescent="0.25">
      <c r="A374" s="3" t="s">
        <v>2225</v>
      </c>
      <c r="B374" s="3">
        <v>43732</v>
      </c>
      <c r="C374" s="2" t="s">
        <v>59</v>
      </c>
      <c r="D374" s="2">
        <v>5</v>
      </c>
      <c r="E374" s="2" t="s">
        <v>2238</v>
      </c>
      <c r="F374" s="2" t="s">
        <v>2255</v>
      </c>
      <c r="G374" s="2">
        <v>29</v>
      </c>
      <c r="H374" s="2" t="s">
        <v>2230</v>
      </c>
      <c r="I374" s="3">
        <v>45646</v>
      </c>
      <c r="J374" s="2" t="s">
        <v>1785</v>
      </c>
      <c r="K374" s="2"/>
      <c r="L374" s="2"/>
      <c r="M374" s="2" t="s">
        <v>2291</v>
      </c>
    </row>
    <row r="375" spans="1:13" x14ac:dyDescent="0.25">
      <c r="A375" s="3" t="s">
        <v>2225</v>
      </c>
      <c r="B375" s="3">
        <v>43732</v>
      </c>
      <c r="C375" s="2" t="s">
        <v>59</v>
      </c>
      <c r="D375" s="2">
        <v>5</v>
      </c>
      <c r="E375" s="2" t="s">
        <v>2238</v>
      </c>
      <c r="F375" s="2" t="s">
        <v>2256</v>
      </c>
      <c r="G375" s="2">
        <v>11</v>
      </c>
      <c r="H375" s="2" t="s">
        <v>2230</v>
      </c>
      <c r="I375" s="3">
        <v>45646</v>
      </c>
      <c r="J375" s="2" t="s">
        <v>1785</v>
      </c>
      <c r="K375" s="2"/>
      <c r="L375" s="2"/>
      <c r="M375" s="2" t="s">
        <v>2291</v>
      </c>
    </row>
    <row r="376" spans="1:13" x14ac:dyDescent="0.25">
      <c r="A376" s="3" t="s">
        <v>2225</v>
      </c>
      <c r="B376" s="3">
        <v>43732</v>
      </c>
      <c r="C376" s="2" t="s">
        <v>59</v>
      </c>
      <c r="D376" s="2">
        <v>5</v>
      </c>
      <c r="E376" s="2" t="s">
        <v>2238</v>
      </c>
      <c r="F376" s="2" t="s">
        <v>2257</v>
      </c>
      <c r="G376" s="2">
        <v>36</v>
      </c>
      <c r="H376" s="2" t="s">
        <v>2230</v>
      </c>
      <c r="I376" s="3">
        <v>45646</v>
      </c>
      <c r="J376" s="2" t="s">
        <v>1785</v>
      </c>
      <c r="K376" s="2"/>
      <c r="L376" s="2"/>
      <c r="M376" s="2" t="s">
        <v>2291</v>
      </c>
    </row>
    <row r="377" spans="1:13" x14ac:dyDescent="0.25">
      <c r="A377" s="3" t="s">
        <v>2225</v>
      </c>
      <c r="B377" s="3">
        <v>43732</v>
      </c>
      <c r="C377" s="2" t="s">
        <v>59</v>
      </c>
      <c r="D377" s="2">
        <v>5</v>
      </c>
      <c r="E377" s="2" t="s">
        <v>2238</v>
      </c>
      <c r="F377" s="2" t="s">
        <v>2258</v>
      </c>
      <c r="G377" s="2">
        <v>11</v>
      </c>
      <c r="H377" s="2" t="s">
        <v>2230</v>
      </c>
      <c r="I377" s="3">
        <v>45646</v>
      </c>
      <c r="J377" s="2" t="s">
        <v>1785</v>
      </c>
      <c r="K377" s="2"/>
      <c r="L377" s="2"/>
      <c r="M377" s="2" t="s">
        <v>2291</v>
      </c>
    </row>
    <row r="378" spans="1:13" x14ac:dyDescent="0.25">
      <c r="A378" s="3" t="s">
        <v>2225</v>
      </c>
      <c r="B378" s="3">
        <v>43732</v>
      </c>
      <c r="C378" s="2" t="s">
        <v>59</v>
      </c>
      <c r="D378" s="2">
        <v>5</v>
      </c>
      <c r="E378" s="2" t="s">
        <v>2238</v>
      </c>
      <c r="F378" s="2" t="s">
        <v>2259</v>
      </c>
      <c r="G378" s="2">
        <v>30</v>
      </c>
      <c r="H378" s="2" t="s">
        <v>2230</v>
      </c>
      <c r="I378" s="3">
        <v>45646</v>
      </c>
      <c r="J378" s="2" t="s">
        <v>1785</v>
      </c>
      <c r="K378" s="2"/>
      <c r="L378" s="2"/>
      <c r="M378" s="2" t="s">
        <v>2291</v>
      </c>
    </row>
    <row r="379" spans="1:13" x14ac:dyDescent="0.25">
      <c r="A379" s="3" t="s">
        <v>2225</v>
      </c>
      <c r="B379" s="3">
        <v>43732</v>
      </c>
      <c r="C379" s="2" t="s">
        <v>59</v>
      </c>
      <c r="D379" s="2">
        <v>5</v>
      </c>
      <c r="E379" s="2" t="s">
        <v>2238</v>
      </c>
      <c r="F379" s="2" t="s">
        <v>2260</v>
      </c>
      <c r="G379" s="2">
        <v>5</v>
      </c>
      <c r="H379" s="2" t="s">
        <v>2230</v>
      </c>
      <c r="I379" s="3">
        <v>45646</v>
      </c>
      <c r="J379" s="2" t="s">
        <v>1785</v>
      </c>
      <c r="K379" s="2"/>
      <c r="L379" s="2"/>
      <c r="M379" s="2" t="s">
        <v>2291</v>
      </c>
    </row>
    <row r="380" spans="1:13" x14ac:dyDescent="0.25">
      <c r="A380" s="3" t="s">
        <v>2225</v>
      </c>
      <c r="B380" s="3">
        <v>43732</v>
      </c>
      <c r="C380" s="2" t="s">
        <v>59</v>
      </c>
      <c r="D380" s="2">
        <v>5</v>
      </c>
      <c r="E380" s="2" t="s">
        <v>2238</v>
      </c>
      <c r="F380" s="2" t="s">
        <v>2261</v>
      </c>
      <c r="G380" s="2">
        <v>4</v>
      </c>
      <c r="H380" s="2" t="s">
        <v>2230</v>
      </c>
      <c r="I380" s="3">
        <v>45646</v>
      </c>
      <c r="J380" s="2" t="s">
        <v>1785</v>
      </c>
      <c r="K380" s="2"/>
      <c r="L380" s="2"/>
      <c r="M380" s="2" t="s">
        <v>2291</v>
      </c>
    </row>
    <row r="381" spans="1:13" x14ac:dyDescent="0.25">
      <c r="A381" s="3" t="s">
        <v>2225</v>
      </c>
      <c r="B381" s="3">
        <v>43732</v>
      </c>
      <c r="C381" s="2" t="s">
        <v>59</v>
      </c>
      <c r="D381" s="2">
        <v>5</v>
      </c>
      <c r="E381" s="2" t="s">
        <v>2238</v>
      </c>
      <c r="F381" s="2" t="s">
        <v>2262</v>
      </c>
      <c r="G381" s="2">
        <v>12</v>
      </c>
      <c r="H381" s="2" t="s">
        <v>2230</v>
      </c>
      <c r="I381" s="3">
        <v>45646</v>
      </c>
      <c r="J381" s="2" t="s">
        <v>1785</v>
      </c>
      <c r="K381" s="2"/>
      <c r="L381" s="2"/>
      <c r="M381" s="2" t="s">
        <v>2291</v>
      </c>
    </row>
    <row r="382" spans="1:13" x14ac:dyDescent="0.25">
      <c r="A382" s="3" t="s">
        <v>2225</v>
      </c>
      <c r="B382" s="3">
        <v>43732</v>
      </c>
      <c r="C382" s="2" t="s">
        <v>59</v>
      </c>
      <c r="D382" s="2">
        <v>5</v>
      </c>
      <c r="E382" s="2" t="s">
        <v>2238</v>
      </c>
      <c r="F382" s="2" t="s">
        <v>2263</v>
      </c>
      <c r="G382" s="2">
        <v>5</v>
      </c>
      <c r="H382" s="2" t="s">
        <v>2230</v>
      </c>
      <c r="I382" s="3">
        <v>45646</v>
      </c>
      <c r="J382" s="2" t="s">
        <v>1785</v>
      </c>
      <c r="K382" s="2"/>
      <c r="L382" s="2"/>
      <c r="M382" s="2" t="s">
        <v>2291</v>
      </c>
    </row>
    <row r="383" spans="1:13" x14ac:dyDescent="0.25">
      <c r="A383" s="3" t="s">
        <v>2225</v>
      </c>
      <c r="B383" s="3">
        <v>43732</v>
      </c>
      <c r="C383" s="2" t="s">
        <v>59</v>
      </c>
      <c r="D383" s="2">
        <v>5</v>
      </c>
      <c r="E383" s="2" t="s">
        <v>2238</v>
      </c>
      <c r="F383" s="2" t="s">
        <v>2264</v>
      </c>
      <c r="G383" s="2">
        <v>21</v>
      </c>
      <c r="H383" s="2" t="s">
        <v>2230</v>
      </c>
      <c r="I383" s="3">
        <v>45646</v>
      </c>
      <c r="J383" s="2" t="s">
        <v>1785</v>
      </c>
      <c r="K383" s="2"/>
      <c r="L383" s="2"/>
      <c r="M383" s="2" t="s">
        <v>2291</v>
      </c>
    </row>
    <row r="384" spans="1:13" x14ac:dyDescent="0.25">
      <c r="A384" s="3" t="s">
        <v>2225</v>
      </c>
      <c r="B384" s="3">
        <v>43732</v>
      </c>
      <c r="C384" s="2" t="s">
        <v>59</v>
      </c>
      <c r="D384" s="2">
        <v>5</v>
      </c>
      <c r="E384" s="2" t="s">
        <v>2238</v>
      </c>
      <c r="F384" s="2" t="s">
        <v>2265</v>
      </c>
      <c r="G384" s="2">
        <v>27</v>
      </c>
      <c r="H384" s="2" t="s">
        <v>2230</v>
      </c>
      <c r="I384" s="3">
        <v>45646</v>
      </c>
      <c r="J384" s="2" t="s">
        <v>1785</v>
      </c>
      <c r="K384" s="2"/>
      <c r="L384" s="2"/>
      <c r="M384" s="2" t="s">
        <v>2291</v>
      </c>
    </row>
    <row r="385" spans="1:13" x14ac:dyDescent="0.25">
      <c r="A385" s="3" t="s">
        <v>2225</v>
      </c>
      <c r="B385" s="3">
        <v>43732</v>
      </c>
      <c r="C385" s="2" t="s">
        <v>59</v>
      </c>
      <c r="D385" s="2">
        <v>5</v>
      </c>
      <c r="E385" s="2" t="s">
        <v>2238</v>
      </c>
      <c r="F385" s="2" t="s">
        <v>2266</v>
      </c>
      <c r="G385" s="2">
        <v>15</v>
      </c>
      <c r="H385" s="2" t="s">
        <v>2230</v>
      </c>
      <c r="I385" s="3">
        <v>45646</v>
      </c>
      <c r="J385" s="2" t="s">
        <v>1785</v>
      </c>
      <c r="K385" s="2"/>
      <c r="L385" s="2"/>
      <c r="M385" s="2" t="s">
        <v>2291</v>
      </c>
    </row>
    <row r="386" spans="1:13" x14ac:dyDescent="0.25">
      <c r="A386" s="3" t="s">
        <v>2225</v>
      </c>
      <c r="B386" s="3">
        <v>43732</v>
      </c>
      <c r="C386" s="2" t="s">
        <v>59</v>
      </c>
      <c r="D386" s="2">
        <v>5</v>
      </c>
      <c r="E386" s="2" t="s">
        <v>2238</v>
      </c>
      <c r="F386" s="2" t="s">
        <v>2267</v>
      </c>
      <c r="G386" s="2">
        <v>18</v>
      </c>
      <c r="H386" s="2" t="s">
        <v>2230</v>
      </c>
      <c r="I386" s="3">
        <v>45646</v>
      </c>
      <c r="J386" s="2" t="s">
        <v>1785</v>
      </c>
      <c r="K386" s="2"/>
      <c r="L386" s="2"/>
      <c r="M386" s="2" t="s">
        <v>2291</v>
      </c>
    </row>
    <row r="387" spans="1:13" x14ac:dyDescent="0.25">
      <c r="A387" s="3" t="s">
        <v>2225</v>
      </c>
      <c r="B387" s="3">
        <v>43732</v>
      </c>
      <c r="C387" s="2" t="s">
        <v>59</v>
      </c>
      <c r="D387" s="2">
        <v>5</v>
      </c>
      <c r="E387" s="2" t="s">
        <v>2238</v>
      </c>
      <c r="F387" s="2" t="s">
        <v>2268</v>
      </c>
      <c r="G387" s="2">
        <v>33</v>
      </c>
      <c r="H387" s="2" t="s">
        <v>2230</v>
      </c>
      <c r="I387" s="3">
        <v>45646</v>
      </c>
      <c r="J387" s="2" t="s">
        <v>1785</v>
      </c>
      <c r="K387" s="2"/>
      <c r="L387" s="2"/>
      <c r="M387" s="2" t="s">
        <v>2291</v>
      </c>
    </row>
    <row r="388" spans="1:13" x14ac:dyDescent="0.25">
      <c r="A388" s="3" t="s">
        <v>2225</v>
      </c>
      <c r="B388" s="3">
        <v>43732</v>
      </c>
      <c r="C388" s="2" t="s">
        <v>59</v>
      </c>
      <c r="D388" s="2">
        <v>5</v>
      </c>
      <c r="E388" s="2" t="s">
        <v>2238</v>
      </c>
      <c r="F388" s="2" t="s">
        <v>2269</v>
      </c>
      <c r="G388" s="2">
        <v>22</v>
      </c>
      <c r="H388" s="2" t="s">
        <v>2230</v>
      </c>
      <c r="I388" s="3">
        <v>45646</v>
      </c>
      <c r="J388" s="2" t="s">
        <v>1785</v>
      </c>
      <c r="K388" s="2"/>
      <c r="L388" s="2"/>
      <c r="M388" s="2" t="s">
        <v>2291</v>
      </c>
    </row>
    <row r="389" spans="1:13" x14ac:dyDescent="0.25">
      <c r="A389" s="3" t="s">
        <v>2225</v>
      </c>
      <c r="B389" s="3">
        <v>43732</v>
      </c>
      <c r="C389" s="2" t="s">
        <v>59</v>
      </c>
      <c r="D389" s="2">
        <v>5</v>
      </c>
      <c r="E389" s="2" t="s">
        <v>2238</v>
      </c>
      <c r="F389" s="2" t="s">
        <v>2270</v>
      </c>
      <c r="G389" s="2">
        <v>17</v>
      </c>
      <c r="H389" s="2" t="s">
        <v>2230</v>
      </c>
      <c r="I389" s="3">
        <v>45646</v>
      </c>
      <c r="J389" s="2" t="s">
        <v>1785</v>
      </c>
      <c r="K389" s="2"/>
      <c r="L389" s="2"/>
      <c r="M389" s="2" t="s">
        <v>2291</v>
      </c>
    </row>
    <row r="390" spans="1:13" x14ac:dyDescent="0.25">
      <c r="A390" s="3" t="s">
        <v>2225</v>
      </c>
      <c r="B390" s="3">
        <v>43732</v>
      </c>
      <c r="C390" s="2" t="s">
        <v>59</v>
      </c>
      <c r="D390" s="2">
        <v>5</v>
      </c>
      <c r="E390" s="2" t="s">
        <v>2238</v>
      </c>
      <c r="F390" s="2" t="s">
        <v>2271</v>
      </c>
      <c r="G390" s="2">
        <v>15</v>
      </c>
      <c r="H390" s="2" t="s">
        <v>2230</v>
      </c>
      <c r="I390" s="3">
        <v>45646</v>
      </c>
      <c r="J390" s="2" t="s">
        <v>1785</v>
      </c>
      <c r="K390" s="2"/>
      <c r="L390" s="2"/>
      <c r="M390" s="2" t="s">
        <v>2291</v>
      </c>
    </row>
    <row r="391" spans="1:13" x14ac:dyDescent="0.25">
      <c r="A391" s="3" t="s">
        <v>2225</v>
      </c>
      <c r="B391" s="3">
        <v>43732</v>
      </c>
      <c r="C391" s="2" t="s">
        <v>59</v>
      </c>
      <c r="D391" s="2">
        <v>5</v>
      </c>
      <c r="E391" s="2" t="s">
        <v>2238</v>
      </c>
      <c r="F391" s="2" t="s">
        <v>2272</v>
      </c>
      <c r="G391" s="2">
        <v>16</v>
      </c>
      <c r="H391" s="2" t="s">
        <v>2230</v>
      </c>
      <c r="I391" s="3">
        <v>45646</v>
      </c>
      <c r="J391" s="2" t="s">
        <v>1785</v>
      </c>
      <c r="K391" s="2"/>
      <c r="L391" s="2"/>
      <c r="M391" s="2" t="s">
        <v>2291</v>
      </c>
    </row>
    <row r="392" spans="1:13" x14ac:dyDescent="0.25">
      <c r="A392" s="3" t="s">
        <v>2225</v>
      </c>
      <c r="B392" s="3">
        <v>43732</v>
      </c>
      <c r="C392" s="2" t="s">
        <v>59</v>
      </c>
      <c r="D392" s="2">
        <v>5</v>
      </c>
      <c r="E392" s="2" t="s">
        <v>2238</v>
      </c>
      <c r="F392" s="2" t="s">
        <v>2273</v>
      </c>
      <c r="G392" s="2">
        <v>12</v>
      </c>
      <c r="H392" s="2" t="s">
        <v>2230</v>
      </c>
      <c r="I392" s="3">
        <v>45646</v>
      </c>
      <c r="J392" s="2" t="s">
        <v>1785</v>
      </c>
      <c r="K392" s="2"/>
      <c r="L392" s="2"/>
      <c r="M392" s="2" t="s">
        <v>2291</v>
      </c>
    </row>
    <row r="393" spans="1:13" x14ac:dyDescent="0.25">
      <c r="A393" s="3" t="s">
        <v>2225</v>
      </c>
      <c r="B393" s="3">
        <v>43732</v>
      </c>
      <c r="C393" s="2" t="s">
        <v>59</v>
      </c>
      <c r="D393" s="2">
        <v>5</v>
      </c>
      <c r="E393" s="2" t="s">
        <v>2238</v>
      </c>
      <c r="F393" s="2" t="s">
        <v>2274</v>
      </c>
      <c r="G393" s="2">
        <v>12</v>
      </c>
      <c r="H393" s="2" t="s">
        <v>2230</v>
      </c>
      <c r="I393" s="3">
        <v>45646</v>
      </c>
      <c r="J393" s="2" t="s">
        <v>1785</v>
      </c>
      <c r="K393" s="2"/>
      <c r="L393" s="2"/>
      <c r="M393" s="2" t="s">
        <v>2291</v>
      </c>
    </row>
    <row r="394" spans="1:13" x14ac:dyDescent="0.25">
      <c r="A394" s="3" t="s">
        <v>2225</v>
      </c>
      <c r="B394" s="3">
        <v>43732</v>
      </c>
      <c r="C394" s="2" t="s">
        <v>59</v>
      </c>
      <c r="D394" s="2">
        <v>5</v>
      </c>
      <c r="E394" s="2" t="s">
        <v>2238</v>
      </c>
      <c r="F394" s="2" t="s">
        <v>2275</v>
      </c>
      <c r="G394" s="2">
        <v>25</v>
      </c>
      <c r="H394" s="2" t="s">
        <v>2230</v>
      </c>
      <c r="I394" s="3">
        <v>45646</v>
      </c>
      <c r="J394" s="2" t="s">
        <v>1785</v>
      </c>
      <c r="K394" s="2"/>
      <c r="L394" s="2"/>
      <c r="M394" s="2" t="s">
        <v>2291</v>
      </c>
    </row>
    <row r="395" spans="1:13" x14ac:dyDescent="0.25">
      <c r="A395" s="3" t="s">
        <v>2225</v>
      </c>
      <c r="B395" s="3">
        <v>43732</v>
      </c>
      <c r="C395" s="2" t="s">
        <v>59</v>
      </c>
      <c r="D395" s="2">
        <v>5</v>
      </c>
      <c r="E395" s="2" t="s">
        <v>2238</v>
      </c>
      <c r="F395" s="2" t="s">
        <v>2276</v>
      </c>
      <c r="G395" s="2">
        <v>35</v>
      </c>
      <c r="H395" s="2" t="s">
        <v>2230</v>
      </c>
      <c r="I395" s="3">
        <v>45646</v>
      </c>
      <c r="J395" s="2" t="s">
        <v>1785</v>
      </c>
      <c r="K395" s="2"/>
      <c r="L395" s="2"/>
      <c r="M395" s="2" t="s">
        <v>2291</v>
      </c>
    </row>
    <row r="396" spans="1:13" x14ac:dyDescent="0.25">
      <c r="A396" s="3" t="s">
        <v>2225</v>
      </c>
      <c r="B396" s="3">
        <v>43732</v>
      </c>
      <c r="C396" s="2" t="s">
        <v>59</v>
      </c>
      <c r="D396" s="2">
        <v>5</v>
      </c>
      <c r="E396" s="2" t="s">
        <v>2238</v>
      </c>
      <c r="F396" s="2" t="s">
        <v>2277</v>
      </c>
      <c r="G396" s="2">
        <v>10</v>
      </c>
      <c r="H396" s="2" t="s">
        <v>2230</v>
      </c>
      <c r="I396" s="3">
        <v>45646</v>
      </c>
      <c r="J396" s="2" t="s">
        <v>1785</v>
      </c>
      <c r="K396" s="2"/>
      <c r="L396" s="2"/>
      <c r="M396" s="2" t="s">
        <v>2291</v>
      </c>
    </row>
    <row r="397" spans="1:13" x14ac:dyDescent="0.25">
      <c r="A397" s="3" t="s">
        <v>2225</v>
      </c>
      <c r="B397" s="3">
        <v>43732</v>
      </c>
      <c r="C397" s="2" t="s">
        <v>59</v>
      </c>
      <c r="D397" s="2">
        <v>5</v>
      </c>
      <c r="E397" s="2" t="s">
        <v>2238</v>
      </c>
      <c r="F397" s="2" t="s">
        <v>2278</v>
      </c>
      <c r="G397" s="2">
        <v>11</v>
      </c>
      <c r="H397" s="2" t="s">
        <v>2230</v>
      </c>
      <c r="I397" s="3">
        <v>45646</v>
      </c>
      <c r="J397" s="2" t="s">
        <v>1785</v>
      </c>
      <c r="K397" s="2"/>
      <c r="L397" s="2"/>
      <c r="M397" s="2" t="s">
        <v>2291</v>
      </c>
    </row>
    <row r="398" spans="1:13" x14ac:dyDescent="0.25">
      <c r="A398" s="3" t="s">
        <v>2225</v>
      </c>
      <c r="B398" s="3">
        <v>43732</v>
      </c>
      <c r="C398" s="2" t="s">
        <v>59</v>
      </c>
      <c r="D398" s="2">
        <v>5</v>
      </c>
      <c r="E398" s="2" t="s">
        <v>2238</v>
      </c>
      <c r="F398" s="2" t="s">
        <v>2279</v>
      </c>
      <c r="G398" s="2">
        <v>5</v>
      </c>
      <c r="H398" s="2" t="s">
        <v>2230</v>
      </c>
      <c r="I398" s="3">
        <v>45646</v>
      </c>
      <c r="J398" s="2" t="s">
        <v>1785</v>
      </c>
      <c r="K398" s="2"/>
      <c r="L398" s="2"/>
      <c r="M398" s="2" t="s">
        <v>2291</v>
      </c>
    </row>
    <row r="399" spans="1:13" x14ac:dyDescent="0.25">
      <c r="A399" s="3" t="s">
        <v>2225</v>
      </c>
      <c r="B399" s="3">
        <v>43732</v>
      </c>
      <c r="C399" s="2" t="s">
        <v>59</v>
      </c>
      <c r="D399" s="2">
        <v>5</v>
      </c>
      <c r="E399" s="2" t="s">
        <v>2238</v>
      </c>
      <c r="F399" s="2" t="s">
        <v>2280</v>
      </c>
      <c r="G399" s="2">
        <v>6</v>
      </c>
      <c r="H399" s="2" t="s">
        <v>2230</v>
      </c>
      <c r="I399" s="3">
        <v>45646</v>
      </c>
      <c r="J399" s="2" t="s">
        <v>1785</v>
      </c>
      <c r="K399" s="2"/>
      <c r="L399" s="2"/>
      <c r="M399" s="2" t="s">
        <v>2291</v>
      </c>
    </row>
    <row r="400" spans="1:13" x14ac:dyDescent="0.25">
      <c r="A400" s="3" t="s">
        <v>2225</v>
      </c>
      <c r="B400" s="3">
        <v>43732</v>
      </c>
      <c r="C400" s="2" t="s">
        <v>59</v>
      </c>
      <c r="D400" s="2">
        <v>5</v>
      </c>
      <c r="E400" s="2" t="s">
        <v>2238</v>
      </c>
      <c r="F400" s="2" t="s">
        <v>2281</v>
      </c>
      <c r="G400" s="2">
        <v>8</v>
      </c>
      <c r="H400" s="2" t="s">
        <v>2230</v>
      </c>
      <c r="I400" s="3">
        <v>45646</v>
      </c>
      <c r="J400" s="2" t="s">
        <v>1785</v>
      </c>
      <c r="K400" s="2"/>
      <c r="L400" s="2"/>
      <c r="M400" s="2" t="s">
        <v>2291</v>
      </c>
    </row>
    <row r="401" spans="1:13" x14ac:dyDescent="0.25">
      <c r="A401" s="3" t="s">
        <v>2225</v>
      </c>
      <c r="B401" s="3">
        <v>43732</v>
      </c>
      <c r="C401" s="2" t="s">
        <v>59</v>
      </c>
      <c r="D401" s="2">
        <v>5</v>
      </c>
      <c r="E401" s="2" t="s">
        <v>2238</v>
      </c>
      <c r="F401" s="2" t="s">
        <v>2282</v>
      </c>
      <c r="G401" s="2">
        <v>8</v>
      </c>
      <c r="H401" s="2" t="s">
        <v>2230</v>
      </c>
      <c r="I401" s="3">
        <v>45646</v>
      </c>
      <c r="J401" s="2" t="s">
        <v>1785</v>
      </c>
      <c r="K401" s="2"/>
      <c r="L401" s="2"/>
      <c r="M401" s="2" t="s">
        <v>2291</v>
      </c>
    </row>
    <row r="402" spans="1:13" x14ac:dyDescent="0.25">
      <c r="A402" s="3" t="s">
        <v>2225</v>
      </c>
      <c r="B402" s="3">
        <v>43732</v>
      </c>
      <c r="C402" s="2" t="s">
        <v>59</v>
      </c>
      <c r="D402" s="2">
        <v>5</v>
      </c>
      <c r="E402" s="2" t="s">
        <v>2238</v>
      </c>
      <c r="F402" s="2" t="s">
        <v>2283</v>
      </c>
      <c r="G402" s="2">
        <v>29</v>
      </c>
      <c r="H402" s="2" t="s">
        <v>2230</v>
      </c>
      <c r="I402" s="3">
        <v>45646</v>
      </c>
      <c r="J402" s="2" t="s">
        <v>1785</v>
      </c>
      <c r="K402" s="2"/>
      <c r="L402" s="2"/>
      <c r="M402" s="2" t="s">
        <v>2291</v>
      </c>
    </row>
    <row r="403" spans="1:13" x14ac:dyDescent="0.25">
      <c r="A403" s="3" t="s">
        <v>2225</v>
      </c>
      <c r="B403" s="3">
        <v>43732</v>
      </c>
      <c r="C403" s="2" t="s">
        <v>59</v>
      </c>
      <c r="D403" s="2">
        <v>5</v>
      </c>
      <c r="E403" s="2" t="s">
        <v>2238</v>
      </c>
      <c r="F403" s="2" t="s">
        <v>2284</v>
      </c>
      <c r="G403" s="2">
        <v>25</v>
      </c>
      <c r="H403" s="2" t="s">
        <v>2230</v>
      </c>
      <c r="I403" s="3">
        <v>45646</v>
      </c>
      <c r="J403" s="2" t="s">
        <v>1785</v>
      </c>
      <c r="K403" s="2"/>
      <c r="L403" s="2"/>
      <c r="M403" s="2" t="s">
        <v>2291</v>
      </c>
    </row>
    <row r="404" spans="1:13" x14ac:dyDescent="0.25">
      <c r="A404" s="3" t="s">
        <v>2225</v>
      </c>
      <c r="B404" s="3">
        <v>43732</v>
      </c>
      <c r="C404" s="2" t="s">
        <v>59</v>
      </c>
      <c r="D404" s="2">
        <v>5</v>
      </c>
      <c r="E404" s="2" t="s">
        <v>2238</v>
      </c>
      <c r="F404" s="2" t="s">
        <v>2285</v>
      </c>
      <c r="G404" s="2">
        <v>22</v>
      </c>
      <c r="H404" s="2" t="s">
        <v>2230</v>
      </c>
      <c r="I404" s="3">
        <v>45646</v>
      </c>
      <c r="J404" s="2" t="s">
        <v>1785</v>
      </c>
      <c r="K404" s="2"/>
      <c r="L404" s="2"/>
      <c r="M404" s="2" t="s">
        <v>2291</v>
      </c>
    </row>
    <row r="405" spans="1:13" x14ac:dyDescent="0.25">
      <c r="A405" s="3" t="s">
        <v>2225</v>
      </c>
      <c r="B405" s="3">
        <v>43732</v>
      </c>
      <c r="C405" s="2" t="s">
        <v>59</v>
      </c>
      <c r="D405" s="2">
        <v>5</v>
      </c>
      <c r="E405" s="2" t="s">
        <v>2238</v>
      </c>
      <c r="F405" s="2" t="s">
        <v>2286</v>
      </c>
      <c r="G405" s="2">
        <v>20</v>
      </c>
      <c r="H405" s="2" t="s">
        <v>2230</v>
      </c>
      <c r="I405" s="3">
        <v>45646</v>
      </c>
      <c r="J405" s="2" t="s">
        <v>1785</v>
      </c>
      <c r="K405" s="2"/>
      <c r="L405" s="2"/>
      <c r="M405" s="2" t="s">
        <v>2291</v>
      </c>
    </row>
    <row r="406" spans="1:13" x14ac:dyDescent="0.25">
      <c r="A406" s="3" t="s">
        <v>2225</v>
      </c>
      <c r="B406" s="3">
        <v>43732</v>
      </c>
      <c r="C406" s="2" t="s">
        <v>59</v>
      </c>
      <c r="D406" s="2">
        <v>5</v>
      </c>
      <c r="E406" s="2" t="s">
        <v>2238</v>
      </c>
      <c r="F406" s="2" t="s">
        <v>2287</v>
      </c>
      <c r="G406" s="2">
        <v>23</v>
      </c>
      <c r="H406" s="2" t="s">
        <v>2230</v>
      </c>
      <c r="I406" s="3">
        <v>45646</v>
      </c>
      <c r="J406" s="2" t="s">
        <v>1785</v>
      </c>
      <c r="K406" s="2"/>
      <c r="L406" s="2"/>
      <c r="M406" s="2" t="s">
        <v>2291</v>
      </c>
    </row>
    <row r="407" spans="1:13" x14ac:dyDescent="0.25">
      <c r="A407" s="3" t="s">
        <v>2225</v>
      </c>
      <c r="B407" s="3">
        <v>43732</v>
      </c>
      <c r="C407" s="2" t="s">
        <v>59</v>
      </c>
      <c r="D407" s="2">
        <v>5</v>
      </c>
      <c r="E407" s="2" t="s">
        <v>2238</v>
      </c>
      <c r="F407" s="2" t="s">
        <v>2288</v>
      </c>
      <c r="G407" s="2">
        <v>50</v>
      </c>
      <c r="H407" s="2" t="s">
        <v>2230</v>
      </c>
      <c r="I407" s="3">
        <v>45646</v>
      </c>
      <c r="J407" s="2" t="s">
        <v>1785</v>
      </c>
      <c r="K407" s="2"/>
      <c r="L407" s="2"/>
      <c r="M407" s="2" t="s">
        <v>2291</v>
      </c>
    </row>
    <row r="408" spans="1:13" x14ac:dyDescent="0.25">
      <c r="A408" s="3" t="s">
        <v>2225</v>
      </c>
      <c r="B408" s="3">
        <v>43732</v>
      </c>
      <c r="C408" s="2" t="s">
        <v>59</v>
      </c>
      <c r="D408" s="2">
        <v>5</v>
      </c>
      <c r="E408" s="2" t="s">
        <v>2238</v>
      </c>
      <c r="F408" s="2" t="s">
        <v>2289</v>
      </c>
      <c r="G408" s="2">
        <v>32</v>
      </c>
      <c r="H408" s="2" t="s">
        <v>2230</v>
      </c>
      <c r="I408" s="3">
        <v>45646</v>
      </c>
      <c r="J408" s="2" t="s">
        <v>1785</v>
      </c>
      <c r="K408" s="2"/>
      <c r="L408" s="2"/>
      <c r="M408" s="2" t="s">
        <v>2291</v>
      </c>
    </row>
    <row r="409" spans="1:13" x14ac:dyDescent="0.25">
      <c r="A409" s="3" t="s">
        <v>2225</v>
      </c>
      <c r="B409" s="3">
        <v>43732</v>
      </c>
      <c r="C409" s="2" t="s">
        <v>59</v>
      </c>
      <c r="D409" s="2">
        <v>5</v>
      </c>
      <c r="E409" s="2" t="s">
        <v>2239</v>
      </c>
      <c r="F409" s="2" t="s">
        <v>2246</v>
      </c>
      <c r="G409" s="2">
        <v>31</v>
      </c>
      <c r="H409" s="2" t="s">
        <v>2230</v>
      </c>
      <c r="I409" s="3">
        <v>45646</v>
      </c>
      <c r="J409" s="2" t="s">
        <v>1785</v>
      </c>
      <c r="K409" s="2"/>
      <c r="L409" s="2"/>
      <c r="M409" s="2" t="s">
        <v>2291</v>
      </c>
    </row>
    <row r="410" spans="1:13" x14ac:dyDescent="0.25">
      <c r="A410" s="3" t="s">
        <v>2225</v>
      </c>
      <c r="B410" s="3">
        <v>43732</v>
      </c>
      <c r="C410" s="2" t="s">
        <v>59</v>
      </c>
      <c r="D410" s="2">
        <v>5</v>
      </c>
      <c r="E410" s="2" t="s">
        <v>2239</v>
      </c>
      <c r="F410" s="2" t="s">
        <v>2247</v>
      </c>
      <c r="G410" s="2">
        <v>8</v>
      </c>
      <c r="H410" s="2" t="s">
        <v>2230</v>
      </c>
      <c r="I410" s="3">
        <v>45646</v>
      </c>
      <c r="J410" s="2" t="s">
        <v>1785</v>
      </c>
      <c r="K410" s="2"/>
      <c r="L410" s="2"/>
      <c r="M410" s="2" t="s">
        <v>2291</v>
      </c>
    </row>
    <row r="411" spans="1:13" x14ac:dyDescent="0.25">
      <c r="A411" s="3" t="s">
        <v>2225</v>
      </c>
      <c r="B411" s="3">
        <v>43732</v>
      </c>
      <c r="C411" s="2" t="s">
        <v>59</v>
      </c>
      <c r="D411" s="2">
        <v>5</v>
      </c>
      <c r="E411" s="2" t="s">
        <v>2239</v>
      </c>
      <c r="F411" s="2" t="s">
        <v>2248</v>
      </c>
      <c r="G411" s="2">
        <v>43</v>
      </c>
      <c r="H411" s="2" t="s">
        <v>2230</v>
      </c>
      <c r="I411" s="3">
        <v>45646</v>
      </c>
      <c r="J411" s="2" t="s">
        <v>1785</v>
      </c>
      <c r="K411" s="2"/>
      <c r="L411" s="2"/>
      <c r="M411" s="2" t="s">
        <v>2291</v>
      </c>
    </row>
    <row r="412" spans="1:13" x14ac:dyDescent="0.25">
      <c r="A412" s="3" t="s">
        <v>2225</v>
      </c>
      <c r="B412" s="3">
        <v>43732</v>
      </c>
      <c r="C412" s="2" t="s">
        <v>59</v>
      </c>
      <c r="D412" s="2">
        <v>5</v>
      </c>
      <c r="E412" s="2" t="s">
        <v>2239</v>
      </c>
      <c r="F412" s="2" t="s">
        <v>2249</v>
      </c>
      <c r="G412" s="2">
        <v>5</v>
      </c>
      <c r="H412" s="2" t="s">
        <v>2230</v>
      </c>
      <c r="I412" s="3">
        <v>45646</v>
      </c>
      <c r="J412" s="2" t="s">
        <v>1785</v>
      </c>
      <c r="K412" s="2"/>
      <c r="L412" s="2"/>
      <c r="M412" s="2" t="s">
        <v>2291</v>
      </c>
    </row>
    <row r="413" spans="1:13" x14ac:dyDescent="0.25">
      <c r="A413" s="3" t="s">
        <v>2225</v>
      </c>
      <c r="B413" s="3">
        <v>43732</v>
      </c>
      <c r="C413" s="2" t="s">
        <v>59</v>
      </c>
      <c r="D413" s="2">
        <v>5</v>
      </c>
      <c r="E413" s="2" t="s">
        <v>2239</v>
      </c>
      <c r="F413" s="2" t="s">
        <v>2250</v>
      </c>
      <c r="G413" s="2">
        <v>12</v>
      </c>
      <c r="H413" s="2" t="s">
        <v>2230</v>
      </c>
      <c r="I413" s="3">
        <v>45646</v>
      </c>
      <c r="J413" s="2" t="s">
        <v>1785</v>
      </c>
      <c r="K413" s="2"/>
      <c r="L413" s="2"/>
      <c r="M413" s="2" t="s">
        <v>2291</v>
      </c>
    </row>
    <row r="414" spans="1:13" x14ac:dyDescent="0.25">
      <c r="A414" s="3" t="s">
        <v>2225</v>
      </c>
      <c r="B414" s="3">
        <v>43732</v>
      </c>
      <c r="C414" s="2" t="s">
        <v>59</v>
      </c>
      <c r="D414" s="2">
        <v>5</v>
      </c>
      <c r="E414" s="2" t="s">
        <v>2239</v>
      </c>
      <c r="F414" s="2" t="s">
        <v>2251</v>
      </c>
      <c r="G414" s="2">
        <v>32</v>
      </c>
      <c r="H414" s="2" t="s">
        <v>2230</v>
      </c>
      <c r="I414" s="3">
        <v>45646</v>
      </c>
      <c r="J414" s="2" t="s">
        <v>1785</v>
      </c>
      <c r="K414" s="2"/>
      <c r="L414" s="2"/>
      <c r="M414" s="2" t="s">
        <v>2291</v>
      </c>
    </row>
    <row r="415" spans="1:13" x14ac:dyDescent="0.25">
      <c r="A415" s="3" t="s">
        <v>2225</v>
      </c>
      <c r="B415" s="3">
        <v>43732</v>
      </c>
      <c r="C415" s="2" t="s">
        <v>59</v>
      </c>
      <c r="D415" s="2">
        <v>5</v>
      </c>
      <c r="E415" s="2" t="s">
        <v>2239</v>
      </c>
      <c r="F415" s="2" t="s">
        <v>2252</v>
      </c>
      <c r="G415" s="2">
        <v>23</v>
      </c>
      <c r="H415" s="2" t="s">
        <v>2230</v>
      </c>
      <c r="I415" s="3">
        <v>45646</v>
      </c>
      <c r="J415" s="2" t="s">
        <v>1785</v>
      </c>
      <c r="K415" s="2"/>
      <c r="L415" s="2"/>
      <c r="M415" s="2" t="s">
        <v>2291</v>
      </c>
    </row>
    <row r="416" spans="1:13" x14ac:dyDescent="0.25">
      <c r="A416" s="3" t="s">
        <v>2225</v>
      </c>
      <c r="B416" s="3">
        <v>43732</v>
      </c>
      <c r="C416" s="2" t="s">
        <v>59</v>
      </c>
      <c r="D416" s="2">
        <v>5</v>
      </c>
      <c r="E416" s="2" t="s">
        <v>2239</v>
      </c>
      <c r="F416" s="2" t="s">
        <v>2253</v>
      </c>
      <c r="G416" s="2">
        <v>32</v>
      </c>
      <c r="H416" s="2" t="s">
        <v>2230</v>
      </c>
      <c r="I416" s="3">
        <v>45646</v>
      </c>
      <c r="J416" s="2" t="s">
        <v>1785</v>
      </c>
      <c r="K416" s="2"/>
      <c r="L416" s="2"/>
      <c r="M416" s="2" t="s">
        <v>2291</v>
      </c>
    </row>
    <row r="417" spans="1:13" x14ac:dyDescent="0.25">
      <c r="A417" s="3" t="s">
        <v>2225</v>
      </c>
      <c r="B417" s="3">
        <v>43732</v>
      </c>
      <c r="C417" s="2" t="s">
        <v>59</v>
      </c>
      <c r="D417" s="2">
        <v>5</v>
      </c>
      <c r="E417" s="2" t="s">
        <v>2239</v>
      </c>
      <c r="F417" s="2" t="s">
        <v>2254</v>
      </c>
      <c r="G417" s="2">
        <v>10</v>
      </c>
      <c r="H417" s="2" t="s">
        <v>2230</v>
      </c>
      <c r="I417" s="3">
        <v>45646</v>
      </c>
      <c r="J417" s="2" t="s">
        <v>1785</v>
      </c>
      <c r="K417" s="2"/>
      <c r="L417" s="2"/>
      <c r="M417" s="2" t="s">
        <v>2291</v>
      </c>
    </row>
    <row r="418" spans="1:13" x14ac:dyDescent="0.25">
      <c r="A418" s="3" t="s">
        <v>2225</v>
      </c>
      <c r="B418" s="3">
        <v>43732</v>
      </c>
      <c r="C418" s="2" t="s">
        <v>59</v>
      </c>
      <c r="D418" s="2">
        <v>5</v>
      </c>
      <c r="E418" s="2" t="s">
        <v>2239</v>
      </c>
      <c r="F418" s="2" t="s">
        <v>2240</v>
      </c>
      <c r="G418" s="2">
        <v>16</v>
      </c>
      <c r="H418" s="2" t="s">
        <v>2230</v>
      </c>
      <c r="I418" s="3">
        <v>45646</v>
      </c>
      <c r="J418" s="2" t="s">
        <v>1785</v>
      </c>
      <c r="K418" s="2"/>
      <c r="L418" s="2"/>
      <c r="M418" s="2" t="s">
        <v>2291</v>
      </c>
    </row>
    <row r="419" spans="1:13" x14ac:dyDescent="0.25">
      <c r="A419" s="3" t="s">
        <v>2225</v>
      </c>
      <c r="B419" s="3">
        <v>43732</v>
      </c>
      <c r="C419" s="2" t="s">
        <v>59</v>
      </c>
      <c r="D419" s="2">
        <v>5</v>
      </c>
      <c r="E419" s="2" t="s">
        <v>2239</v>
      </c>
      <c r="F419" s="2" t="s">
        <v>2241</v>
      </c>
      <c r="G419" s="2">
        <v>22</v>
      </c>
      <c r="H419" s="2" t="s">
        <v>2230</v>
      </c>
      <c r="I419" s="3">
        <v>45646</v>
      </c>
      <c r="J419" s="2" t="s">
        <v>1785</v>
      </c>
      <c r="K419" s="2"/>
      <c r="L419" s="2"/>
      <c r="M419" s="2" t="s">
        <v>2291</v>
      </c>
    </row>
    <row r="420" spans="1:13" x14ac:dyDescent="0.25">
      <c r="A420" s="3" t="s">
        <v>2225</v>
      </c>
      <c r="B420" s="3">
        <v>43732</v>
      </c>
      <c r="C420" s="2" t="s">
        <v>59</v>
      </c>
      <c r="D420" s="2">
        <v>5</v>
      </c>
      <c r="E420" s="2" t="s">
        <v>2239</v>
      </c>
      <c r="F420" s="2" t="s">
        <v>2242</v>
      </c>
      <c r="G420" s="2">
        <v>30</v>
      </c>
      <c r="H420" s="2" t="s">
        <v>2230</v>
      </c>
      <c r="I420" s="3">
        <v>45646</v>
      </c>
      <c r="J420" s="2" t="s">
        <v>1785</v>
      </c>
      <c r="K420" s="2"/>
      <c r="L420" s="2"/>
      <c r="M420" s="2" t="s">
        <v>2291</v>
      </c>
    </row>
    <row r="421" spans="1:13" x14ac:dyDescent="0.25">
      <c r="A421" s="3" t="s">
        <v>2225</v>
      </c>
      <c r="B421" s="3">
        <v>43732</v>
      </c>
      <c r="C421" s="2" t="s">
        <v>59</v>
      </c>
      <c r="D421" s="2">
        <v>5</v>
      </c>
      <c r="E421" s="2" t="s">
        <v>2239</v>
      </c>
      <c r="F421" s="2" t="s">
        <v>2243</v>
      </c>
      <c r="G421" s="2">
        <v>21</v>
      </c>
      <c r="H421" s="2" t="s">
        <v>2230</v>
      </c>
      <c r="I421" s="3">
        <v>45646</v>
      </c>
      <c r="J421" s="2" t="s">
        <v>1785</v>
      </c>
      <c r="K421" s="2"/>
      <c r="L421" s="2"/>
      <c r="M421" s="2" t="s">
        <v>2291</v>
      </c>
    </row>
    <row r="422" spans="1:13" x14ac:dyDescent="0.25">
      <c r="A422" s="3" t="s">
        <v>2225</v>
      </c>
      <c r="B422" s="3">
        <v>43732</v>
      </c>
      <c r="C422" s="2" t="s">
        <v>59</v>
      </c>
      <c r="D422" s="2">
        <v>5</v>
      </c>
      <c r="E422" s="2" t="s">
        <v>2239</v>
      </c>
      <c r="F422" s="2" t="s">
        <v>2244</v>
      </c>
      <c r="G422" s="2">
        <v>28</v>
      </c>
      <c r="H422" s="2" t="s">
        <v>2230</v>
      </c>
      <c r="I422" s="3">
        <v>45646</v>
      </c>
      <c r="J422" s="2" t="s">
        <v>1785</v>
      </c>
      <c r="K422" s="2"/>
      <c r="L422" s="2"/>
      <c r="M422" s="2" t="s">
        <v>2291</v>
      </c>
    </row>
    <row r="423" spans="1:13" x14ac:dyDescent="0.25">
      <c r="A423" s="3" t="s">
        <v>2225</v>
      </c>
      <c r="B423" s="3">
        <v>43732</v>
      </c>
      <c r="C423" s="2" t="s">
        <v>59</v>
      </c>
      <c r="D423" s="2">
        <v>5</v>
      </c>
      <c r="E423" s="2" t="s">
        <v>2239</v>
      </c>
      <c r="F423" s="2" t="s">
        <v>2245</v>
      </c>
      <c r="G423" s="2">
        <v>30</v>
      </c>
      <c r="H423" s="2" t="s">
        <v>2230</v>
      </c>
      <c r="I423" s="3">
        <v>45646</v>
      </c>
      <c r="J423" s="2" t="s">
        <v>1785</v>
      </c>
      <c r="K423" s="2"/>
      <c r="L423" s="2"/>
      <c r="M423" s="2" t="s">
        <v>2291</v>
      </c>
    </row>
    <row r="424" spans="1:13" x14ac:dyDescent="0.25">
      <c r="A424" s="3" t="s">
        <v>2225</v>
      </c>
      <c r="B424" s="3">
        <v>43732</v>
      </c>
      <c r="C424" s="2" t="s">
        <v>59</v>
      </c>
      <c r="D424" s="2">
        <v>5</v>
      </c>
      <c r="E424" s="2" t="s">
        <v>2239</v>
      </c>
      <c r="F424" s="2" t="s">
        <v>2255</v>
      </c>
      <c r="G424" s="2">
        <v>25</v>
      </c>
      <c r="H424" s="2" t="s">
        <v>2230</v>
      </c>
      <c r="I424" s="3">
        <v>45646</v>
      </c>
      <c r="J424" s="2" t="s">
        <v>1785</v>
      </c>
      <c r="K424" s="2"/>
      <c r="L424" s="2"/>
      <c r="M424" s="2" t="s">
        <v>2291</v>
      </c>
    </row>
    <row r="425" spans="1:13" x14ac:dyDescent="0.25">
      <c r="A425" s="3" t="s">
        <v>2225</v>
      </c>
      <c r="B425" s="3">
        <v>43732</v>
      </c>
      <c r="C425" s="2" t="s">
        <v>59</v>
      </c>
      <c r="D425" s="2">
        <v>5</v>
      </c>
      <c r="E425" s="2" t="s">
        <v>2239</v>
      </c>
      <c r="F425" s="2" t="s">
        <v>2256</v>
      </c>
      <c r="G425" s="2">
        <v>16</v>
      </c>
      <c r="H425" s="2" t="s">
        <v>2230</v>
      </c>
      <c r="I425" s="3">
        <v>45646</v>
      </c>
      <c r="J425" s="2" t="s">
        <v>1785</v>
      </c>
      <c r="K425" s="2"/>
      <c r="L425" s="2"/>
      <c r="M425" s="2" t="s">
        <v>2291</v>
      </c>
    </row>
    <row r="426" spans="1:13" x14ac:dyDescent="0.25">
      <c r="A426" s="3" t="s">
        <v>2225</v>
      </c>
      <c r="B426" s="3">
        <v>43732</v>
      </c>
      <c r="C426" s="2" t="s">
        <v>59</v>
      </c>
      <c r="D426" s="2">
        <v>5</v>
      </c>
      <c r="E426" s="2" t="s">
        <v>2239</v>
      </c>
      <c r="F426" s="2" t="s">
        <v>2257</v>
      </c>
      <c r="G426" s="2">
        <v>20</v>
      </c>
      <c r="H426" s="2" t="s">
        <v>2230</v>
      </c>
      <c r="I426" s="3">
        <v>45646</v>
      </c>
      <c r="J426" s="2" t="s">
        <v>1785</v>
      </c>
      <c r="K426" s="2"/>
      <c r="L426" s="2"/>
      <c r="M426" s="2" t="s">
        <v>2291</v>
      </c>
    </row>
    <row r="427" spans="1:13" x14ac:dyDescent="0.25">
      <c r="A427" s="3" t="s">
        <v>2225</v>
      </c>
      <c r="B427" s="3">
        <v>43732</v>
      </c>
      <c r="C427" s="2" t="s">
        <v>59</v>
      </c>
      <c r="D427" s="2">
        <v>5</v>
      </c>
      <c r="E427" s="2" t="s">
        <v>2239</v>
      </c>
      <c r="F427" s="2" t="s">
        <v>2258</v>
      </c>
      <c r="G427" s="2">
        <v>47</v>
      </c>
      <c r="H427" s="2" t="s">
        <v>2230</v>
      </c>
      <c r="I427" s="3">
        <v>45646</v>
      </c>
      <c r="J427" s="2" t="s">
        <v>1785</v>
      </c>
      <c r="K427" s="2"/>
      <c r="L427" s="2"/>
      <c r="M427" s="2" t="s">
        <v>2291</v>
      </c>
    </row>
    <row r="428" spans="1:13" x14ac:dyDescent="0.25">
      <c r="A428" s="3" t="s">
        <v>2225</v>
      </c>
      <c r="B428" s="3">
        <v>43732</v>
      </c>
      <c r="C428" s="2" t="s">
        <v>59</v>
      </c>
      <c r="D428" s="2">
        <v>5</v>
      </c>
      <c r="E428" s="2" t="s">
        <v>2239</v>
      </c>
      <c r="F428" s="2" t="s">
        <v>2259</v>
      </c>
      <c r="G428" s="2">
        <v>14</v>
      </c>
      <c r="H428" s="2" t="s">
        <v>2230</v>
      </c>
      <c r="I428" s="3">
        <v>45646</v>
      </c>
      <c r="J428" s="2" t="s">
        <v>1785</v>
      </c>
      <c r="K428" s="2"/>
      <c r="L428" s="2"/>
      <c r="M428" s="2" t="s">
        <v>2291</v>
      </c>
    </row>
    <row r="429" spans="1:13" x14ac:dyDescent="0.25">
      <c r="A429" s="3" t="s">
        <v>2225</v>
      </c>
      <c r="B429" s="3">
        <v>43732</v>
      </c>
      <c r="C429" s="2" t="s">
        <v>59</v>
      </c>
      <c r="D429" s="2">
        <v>5</v>
      </c>
      <c r="E429" s="2" t="s">
        <v>2239</v>
      </c>
      <c r="F429" s="2" t="s">
        <v>2260</v>
      </c>
      <c r="G429" s="2">
        <v>23</v>
      </c>
      <c r="H429" s="2" t="s">
        <v>2230</v>
      </c>
      <c r="I429" s="3">
        <v>45646</v>
      </c>
      <c r="J429" s="2" t="s">
        <v>1785</v>
      </c>
      <c r="K429" s="2"/>
      <c r="L429" s="2"/>
      <c r="M429" s="2" t="s">
        <v>2291</v>
      </c>
    </row>
    <row r="430" spans="1:13" x14ac:dyDescent="0.25">
      <c r="A430" s="3" t="s">
        <v>2225</v>
      </c>
      <c r="B430" s="3">
        <v>43732</v>
      </c>
      <c r="C430" s="2" t="s">
        <v>59</v>
      </c>
      <c r="D430" s="2">
        <v>5</v>
      </c>
      <c r="E430" s="2" t="s">
        <v>2239</v>
      </c>
      <c r="F430" s="2" t="s">
        <v>2261</v>
      </c>
      <c r="G430" s="2">
        <v>10</v>
      </c>
      <c r="H430" s="2" t="s">
        <v>2230</v>
      </c>
      <c r="I430" s="3">
        <v>45646</v>
      </c>
      <c r="J430" s="2" t="s">
        <v>1785</v>
      </c>
      <c r="K430" s="2"/>
      <c r="L430" s="2"/>
      <c r="M430" s="2" t="s">
        <v>2291</v>
      </c>
    </row>
    <row r="431" spans="1:13" x14ac:dyDescent="0.25">
      <c r="A431" s="3" t="s">
        <v>2225</v>
      </c>
      <c r="B431" s="3">
        <v>43732</v>
      </c>
      <c r="C431" s="2" t="s">
        <v>59</v>
      </c>
      <c r="D431" s="2">
        <v>5</v>
      </c>
      <c r="E431" s="2" t="s">
        <v>2239</v>
      </c>
      <c r="F431" s="2" t="s">
        <v>2262</v>
      </c>
      <c r="G431" s="2">
        <v>33</v>
      </c>
      <c r="H431" s="2" t="s">
        <v>2230</v>
      </c>
      <c r="I431" s="3">
        <v>45646</v>
      </c>
      <c r="J431" s="2" t="s">
        <v>1785</v>
      </c>
      <c r="K431" s="2"/>
      <c r="L431" s="2"/>
      <c r="M431" s="2" t="s">
        <v>2291</v>
      </c>
    </row>
    <row r="432" spans="1:13" x14ac:dyDescent="0.25">
      <c r="A432" s="3" t="s">
        <v>2225</v>
      </c>
      <c r="B432" s="3">
        <v>43732</v>
      </c>
      <c r="C432" s="2" t="s">
        <v>59</v>
      </c>
      <c r="D432" s="2">
        <v>5</v>
      </c>
      <c r="E432" s="2" t="s">
        <v>2239</v>
      </c>
      <c r="F432" s="2" t="s">
        <v>2263</v>
      </c>
      <c r="G432" s="2">
        <v>12</v>
      </c>
      <c r="H432" s="2" t="s">
        <v>2230</v>
      </c>
      <c r="I432" s="3">
        <v>45646</v>
      </c>
      <c r="J432" s="2" t="s">
        <v>1785</v>
      </c>
      <c r="K432" s="2"/>
      <c r="L432" s="2"/>
      <c r="M432" s="2" t="s">
        <v>2291</v>
      </c>
    </row>
    <row r="433" spans="1:13" x14ac:dyDescent="0.25">
      <c r="A433" s="3" t="s">
        <v>2225</v>
      </c>
      <c r="B433" s="3">
        <v>43732</v>
      </c>
      <c r="C433" s="2" t="s">
        <v>59</v>
      </c>
      <c r="D433" s="2">
        <v>5</v>
      </c>
      <c r="E433" s="2" t="s">
        <v>2239</v>
      </c>
      <c r="F433" s="2" t="s">
        <v>2264</v>
      </c>
      <c r="G433" s="2">
        <v>33</v>
      </c>
      <c r="H433" s="2" t="s">
        <v>2230</v>
      </c>
      <c r="I433" s="3">
        <v>45646</v>
      </c>
      <c r="J433" s="2" t="s">
        <v>1785</v>
      </c>
      <c r="K433" s="2"/>
      <c r="L433" s="2"/>
      <c r="M433" s="2" t="s">
        <v>2291</v>
      </c>
    </row>
    <row r="434" spans="1:13" x14ac:dyDescent="0.25">
      <c r="A434" s="3" t="s">
        <v>2225</v>
      </c>
      <c r="B434" s="3">
        <v>43732</v>
      </c>
      <c r="C434" s="2" t="s">
        <v>59</v>
      </c>
      <c r="D434" s="2">
        <v>5</v>
      </c>
      <c r="E434" s="2" t="s">
        <v>2239</v>
      </c>
      <c r="F434" s="2" t="s">
        <v>2265</v>
      </c>
      <c r="G434" s="2">
        <v>10</v>
      </c>
      <c r="H434" s="2" t="s">
        <v>2230</v>
      </c>
      <c r="I434" s="3">
        <v>45646</v>
      </c>
      <c r="J434" s="2" t="s">
        <v>1785</v>
      </c>
      <c r="K434" s="2"/>
      <c r="L434" s="2"/>
      <c r="M434" s="2" t="s">
        <v>2291</v>
      </c>
    </row>
    <row r="435" spans="1:13" x14ac:dyDescent="0.25">
      <c r="A435" s="3" t="s">
        <v>2225</v>
      </c>
      <c r="B435" s="3">
        <v>43732</v>
      </c>
      <c r="C435" s="2" t="s">
        <v>59</v>
      </c>
      <c r="D435" s="2">
        <v>5</v>
      </c>
      <c r="E435" s="2" t="s">
        <v>2239</v>
      </c>
      <c r="F435" s="2" t="s">
        <v>2266</v>
      </c>
      <c r="G435" s="2">
        <v>13</v>
      </c>
      <c r="H435" s="2" t="s">
        <v>2230</v>
      </c>
      <c r="I435" s="3">
        <v>45646</v>
      </c>
      <c r="J435" s="2" t="s">
        <v>1785</v>
      </c>
      <c r="K435" s="2"/>
      <c r="L435" s="2"/>
      <c r="M435" s="2" t="s">
        <v>2291</v>
      </c>
    </row>
    <row r="436" spans="1:13" x14ac:dyDescent="0.25">
      <c r="A436" s="3" t="s">
        <v>2225</v>
      </c>
      <c r="B436" s="3">
        <v>43732</v>
      </c>
      <c r="C436" s="2" t="s">
        <v>59</v>
      </c>
      <c r="D436" s="2">
        <v>5</v>
      </c>
      <c r="E436" s="2" t="s">
        <v>2239</v>
      </c>
      <c r="F436" s="2" t="s">
        <v>2267</v>
      </c>
      <c r="G436" s="2">
        <v>23</v>
      </c>
      <c r="H436" s="2" t="s">
        <v>2230</v>
      </c>
      <c r="I436" s="3">
        <v>45646</v>
      </c>
      <c r="J436" s="2" t="s">
        <v>1785</v>
      </c>
      <c r="K436" s="2"/>
      <c r="L436" s="2"/>
      <c r="M436" s="2" t="s">
        <v>2291</v>
      </c>
    </row>
    <row r="437" spans="1:13" x14ac:dyDescent="0.25">
      <c r="A437" s="3" t="s">
        <v>2225</v>
      </c>
      <c r="B437" s="3">
        <v>43732</v>
      </c>
      <c r="C437" s="2" t="s">
        <v>59</v>
      </c>
      <c r="D437" s="2">
        <v>5</v>
      </c>
      <c r="E437" s="2" t="s">
        <v>2239</v>
      </c>
      <c r="F437" s="2" t="s">
        <v>2268</v>
      </c>
      <c r="G437" s="2">
        <v>8</v>
      </c>
      <c r="H437" s="2" t="s">
        <v>2230</v>
      </c>
      <c r="I437" s="3">
        <v>45646</v>
      </c>
      <c r="J437" s="2" t="s">
        <v>1785</v>
      </c>
      <c r="K437" s="2"/>
      <c r="L437" s="2"/>
      <c r="M437" s="2" t="s">
        <v>2291</v>
      </c>
    </row>
    <row r="438" spans="1:13" x14ac:dyDescent="0.25">
      <c r="A438" s="3" t="s">
        <v>2225</v>
      </c>
      <c r="B438" s="3">
        <v>43732</v>
      </c>
      <c r="C438" s="2" t="s">
        <v>59</v>
      </c>
      <c r="D438" s="2">
        <v>5</v>
      </c>
      <c r="E438" s="2" t="s">
        <v>2239</v>
      </c>
      <c r="F438" s="2" t="s">
        <v>2269</v>
      </c>
      <c r="G438" s="2">
        <v>36</v>
      </c>
      <c r="H438" s="2" t="s">
        <v>2230</v>
      </c>
      <c r="I438" s="3">
        <v>45646</v>
      </c>
      <c r="J438" s="2" t="s">
        <v>1785</v>
      </c>
      <c r="K438" s="2"/>
      <c r="L438" s="2"/>
      <c r="M438" s="2" t="s">
        <v>2291</v>
      </c>
    </row>
    <row r="439" spans="1:13" x14ac:dyDescent="0.25">
      <c r="A439" s="3" t="s">
        <v>2225</v>
      </c>
      <c r="B439" s="3">
        <v>43732</v>
      </c>
      <c r="C439" s="2" t="s">
        <v>59</v>
      </c>
      <c r="D439" s="2">
        <v>5</v>
      </c>
      <c r="E439" s="2" t="s">
        <v>2239</v>
      </c>
      <c r="F439" s="2" t="s">
        <v>2270</v>
      </c>
      <c r="G439" s="2">
        <v>18</v>
      </c>
      <c r="H439" s="2" t="s">
        <v>2230</v>
      </c>
      <c r="I439" s="3">
        <v>45646</v>
      </c>
      <c r="J439" s="2" t="s">
        <v>1785</v>
      </c>
      <c r="K439" s="2"/>
      <c r="L439" s="2"/>
      <c r="M439" s="2" t="s">
        <v>2291</v>
      </c>
    </row>
    <row r="440" spans="1:13" x14ac:dyDescent="0.25">
      <c r="A440" s="3" t="s">
        <v>2225</v>
      </c>
      <c r="B440" s="3">
        <v>43732</v>
      </c>
      <c r="C440" s="2" t="s">
        <v>59</v>
      </c>
      <c r="D440" s="2">
        <v>5</v>
      </c>
      <c r="E440" s="2" t="s">
        <v>2239</v>
      </c>
      <c r="F440" s="2" t="s">
        <v>2271</v>
      </c>
      <c r="G440" s="2">
        <v>38</v>
      </c>
      <c r="H440" s="2" t="s">
        <v>2230</v>
      </c>
      <c r="I440" s="3">
        <v>45646</v>
      </c>
      <c r="J440" s="2" t="s">
        <v>1785</v>
      </c>
      <c r="K440" s="2"/>
      <c r="L440" s="2"/>
      <c r="M440" s="2" t="s">
        <v>2291</v>
      </c>
    </row>
    <row r="441" spans="1:13" x14ac:dyDescent="0.25">
      <c r="A441" s="3" t="s">
        <v>2225</v>
      </c>
      <c r="B441" s="3">
        <v>43732</v>
      </c>
      <c r="C441" s="2" t="s">
        <v>59</v>
      </c>
      <c r="D441" s="2">
        <v>5</v>
      </c>
      <c r="E441" s="2" t="s">
        <v>2239</v>
      </c>
      <c r="F441" s="2" t="s">
        <v>2272</v>
      </c>
      <c r="G441" s="2">
        <v>16</v>
      </c>
      <c r="H441" s="2" t="s">
        <v>2230</v>
      </c>
      <c r="I441" s="3">
        <v>45646</v>
      </c>
      <c r="J441" s="2" t="s">
        <v>1785</v>
      </c>
      <c r="K441" s="2"/>
      <c r="L441" s="2"/>
      <c r="M441" s="2" t="s">
        <v>2291</v>
      </c>
    </row>
    <row r="442" spans="1:13" x14ac:dyDescent="0.25">
      <c r="A442" s="3" t="s">
        <v>2225</v>
      </c>
      <c r="B442" s="3">
        <v>43732</v>
      </c>
      <c r="C442" s="2" t="s">
        <v>59</v>
      </c>
      <c r="D442" s="2">
        <v>5</v>
      </c>
      <c r="E442" s="2" t="s">
        <v>2239</v>
      </c>
      <c r="F442" s="2" t="s">
        <v>2273</v>
      </c>
      <c r="G442" s="2">
        <v>15</v>
      </c>
      <c r="H442" s="2" t="s">
        <v>2230</v>
      </c>
      <c r="I442" s="3">
        <v>45646</v>
      </c>
      <c r="J442" s="2" t="s">
        <v>1785</v>
      </c>
      <c r="K442" s="2"/>
      <c r="L442" s="2"/>
      <c r="M442" s="2" t="s">
        <v>2291</v>
      </c>
    </row>
    <row r="443" spans="1:13" x14ac:dyDescent="0.25">
      <c r="A443" s="3" t="s">
        <v>2225</v>
      </c>
      <c r="B443" s="3">
        <v>43732</v>
      </c>
      <c r="C443" s="2" t="s">
        <v>59</v>
      </c>
      <c r="D443" s="2">
        <v>5</v>
      </c>
      <c r="E443" s="2" t="s">
        <v>2239</v>
      </c>
      <c r="F443" s="2" t="s">
        <v>2274</v>
      </c>
      <c r="G443" s="2">
        <v>11</v>
      </c>
      <c r="H443" s="2" t="s">
        <v>2230</v>
      </c>
      <c r="I443" s="3">
        <v>45646</v>
      </c>
      <c r="J443" s="2" t="s">
        <v>1785</v>
      </c>
      <c r="K443" s="2"/>
      <c r="L443" s="2"/>
      <c r="M443" s="2" t="s">
        <v>2291</v>
      </c>
    </row>
    <row r="444" spans="1:13" x14ac:dyDescent="0.25">
      <c r="A444" s="3" t="s">
        <v>2225</v>
      </c>
      <c r="B444" s="3">
        <v>43732</v>
      </c>
      <c r="C444" s="2" t="s">
        <v>59</v>
      </c>
      <c r="D444" s="2">
        <v>5</v>
      </c>
      <c r="E444" s="2" t="s">
        <v>2239</v>
      </c>
      <c r="F444" s="2" t="s">
        <v>2275</v>
      </c>
      <c r="G444" s="2">
        <v>22</v>
      </c>
      <c r="H444" s="2" t="s">
        <v>2230</v>
      </c>
      <c r="I444" s="3">
        <v>45646</v>
      </c>
      <c r="J444" s="2" t="s">
        <v>1785</v>
      </c>
      <c r="K444" s="2"/>
      <c r="L444" s="2"/>
      <c r="M444" s="2" t="s">
        <v>2291</v>
      </c>
    </row>
    <row r="445" spans="1:13" x14ac:dyDescent="0.25">
      <c r="A445" s="3" t="s">
        <v>2225</v>
      </c>
      <c r="B445" s="3">
        <v>43732</v>
      </c>
      <c r="C445" s="2" t="s">
        <v>59</v>
      </c>
      <c r="D445" s="2">
        <v>5</v>
      </c>
      <c r="E445" s="2" t="s">
        <v>2239</v>
      </c>
      <c r="F445" s="2" t="s">
        <v>2276</v>
      </c>
      <c r="G445" s="2">
        <v>18</v>
      </c>
      <c r="H445" s="2" t="s">
        <v>2230</v>
      </c>
      <c r="I445" s="3">
        <v>45646</v>
      </c>
      <c r="J445" s="2" t="s">
        <v>1785</v>
      </c>
      <c r="K445" s="2"/>
      <c r="L445" s="2"/>
      <c r="M445" s="2" t="s">
        <v>2291</v>
      </c>
    </row>
    <row r="446" spans="1:13" x14ac:dyDescent="0.25">
      <c r="A446" s="3" t="s">
        <v>2225</v>
      </c>
      <c r="B446" s="3">
        <v>43732</v>
      </c>
      <c r="C446" s="2" t="s">
        <v>59</v>
      </c>
      <c r="D446" s="2">
        <v>5</v>
      </c>
      <c r="E446" s="2" t="s">
        <v>2239</v>
      </c>
      <c r="F446" s="2" t="s">
        <v>2277</v>
      </c>
      <c r="G446" s="2">
        <v>67</v>
      </c>
      <c r="H446" s="2" t="s">
        <v>2230</v>
      </c>
      <c r="I446" s="3">
        <v>45646</v>
      </c>
      <c r="J446" s="2" t="s">
        <v>1785</v>
      </c>
      <c r="K446" s="2"/>
      <c r="L446" s="2"/>
      <c r="M446" s="2" t="s">
        <v>2291</v>
      </c>
    </row>
    <row r="447" spans="1:13" x14ac:dyDescent="0.25">
      <c r="A447" s="3" t="s">
        <v>2225</v>
      </c>
      <c r="B447" s="3">
        <v>43732</v>
      </c>
      <c r="C447" s="2" t="s">
        <v>59</v>
      </c>
      <c r="D447" s="2">
        <v>5</v>
      </c>
      <c r="E447" s="2" t="s">
        <v>2239</v>
      </c>
      <c r="F447" s="2" t="s">
        <v>2278</v>
      </c>
      <c r="G447" s="2">
        <v>18</v>
      </c>
      <c r="H447" s="2" t="s">
        <v>2230</v>
      </c>
      <c r="I447" s="3">
        <v>45646</v>
      </c>
      <c r="J447" s="2" t="s">
        <v>1785</v>
      </c>
      <c r="K447" s="2"/>
      <c r="L447" s="2"/>
      <c r="M447" s="2" t="s">
        <v>2291</v>
      </c>
    </row>
    <row r="448" spans="1:13" x14ac:dyDescent="0.25">
      <c r="A448" s="3" t="s">
        <v>2225</v>
      </c>
      <c r="B448" s="3">
        <v>43732</v>
      </c>
      <c r="C448" s="2" t="s">
        <v>59</v>
      </c>
      <c r="D448" s="2">
        <v>5</v>
      </c>
      <c r="E448" s="2" t="s">
        <v>2239</v>
      </c>
      <c r="F448" s="2" t="s">
        <v>2279</v>
      </c>
      <c r="G448" s="2">
        <v>41</v>
      </c>
      <c r="H448" s="2" t="s">
        <v>2230</v>
      </c>
      <c r="I448" s="3">
        <v>45646</v>
      </c>
      <c r="J448" s="2" t="s">
        <v>1785</v>
      </c>
      <c r="K448" s="2"/>
      <c r="L448" s="2"/>
      <c r="M448" s="2" t="s">
        <v>2291</v>
      </c>
    </row>
    <row r="449" spans="1:13" x14ac:dyDescent="0.25">
      <c r="A449" s="3" t="s">
        <v>2225</v>
      </c>
      <c r="B449" s="3">
        <v>43732</v>
      </c>
      <c r="C449" s="2" t="s">
        <v>59</v>
      </c>
      <c r="D449" s="2">
        <v>5</v>
      </c>
      <c r="E449" s="2" t="s">
        <v>2239</v>
      </c>
      <c r="F449" s="2" t="s">
        <v>2280</v>
      </c>
      <c r="G449" s="2">
        <v>35</v>
      </c>
      <c r="H449" s="2" t="s">
        <v>2230</v>
      </c>
      <c r="I449" s="3">
        <v>45646</v>
      </c>
      <c r="J449" s="2" t="s">
        <v>1785</v>
      </c>
      <c r="K449" s="2"/>
      <c r="L449" s="2"/>
      <c r="M449" s="2" t="s">
        <v>2291</v>
      </c>
    </row>
    <row r="450" spans="1:13" x14ac:dyDescent="0.25">
      <c r="A450" s="3" t="s">
        <v>2225</v>
      </c>
      <c r="B450" s="3">
        <v>43732</v>
      </c>
      <c r="C450" s="2" t="s">
        <v>59</v>
      </c>
      <c r="D450" s="2">
        <v>5</v>
      </c>
      <c r="E450" s="2" t="s">
        <v>2239</v>
      </c>
      <c r="F450" s="2" t="s">
        <v>2281</v>
      </c>
      <c r="G450" s="2">
        <v>15</v>
      </c>
      <c r="H450" s="2" t="s">
        <v>2230</v>
      </c>
      <c r="I450" s="3">
        <v>45646</v>
      </c>
      <c r="J450" s="2" t="s">
        <v>1785</v>
      </c>
      <c r="K450" s="2"/>
      <c r="L450" s="2"/>
      <c r="M450" s="2" t="s">
        <v>2291</v>
      </c>
    </row>
    <row r="451" spans="1:13" x14ac:dyDescent="0.25">
      <c r="A451" s="3" t="s">
        <v>2225</v>
      </c>
      <c r="B451" s="3">
        <v>43732</v>
      </c>
      <c r="C451" s="2" t="s">
        <v>59</v>
      </c>
      <c r="D451" s="2">
        <v>5</v>
      </c>
      <c r="E451" s="2" t="s">
        <v>2239</v>
      </c>
      <c r="F451" s="2" t="s">
        <v>2282</v>
      </c>
      <c r="G451" s="2">
        <v>20</v>
      </c>
      <c r="H451" s="2" t="s">
        <v>2230</v>
      </c>
      <c r="I451" s="3">
        <v>45646</v>
      </c>
      <c r="J451" s="2" t="s">
        <v>1785</v>
      </c>
      <c r="K451" s="2"/>
      <c r="L451" s="2"/>
      <c r="M451" s="2" t="s">
        <v>2291</v>
      </c>
    </row>
    <row r="452" spans="1:13" x14ac:dyDescent="0.25">
      <c r="A452" s="3" t="s">
        <v>2225</v>
      </c>
      <c r="B452" s="3">
        <v>43732</v>
      </c>
      <c r="C452" s="2" t="s">
        <v>59</v>
      </c>
      <c r="D452" s="2">
        <v>5</v>
      </c>
      <c r="E452" s="2" t="s">
        <v>2239</v>
      </c>
      <c r="F452" s="2" t="s">
        <v>2283</v>
      </c>
      <c r="G452" s="2">
        <v>47</v>
      </c>
      <c r="H452" s="2" t="s">
        <v>2230</v>
      </c>
      <c r="I452" s="3">
        <v>45646</v>
      </c>
      <c r="J452" s="2" t="s">
        <v>1785</v>
      </c>
      <c r="K452" s="2"/>
      <c r="L452" s="2"/>
      <c r="M452" s="2" t="s">
        <v>2291</v>
      </c>
    </row>
    <row r="453" spans="1:13" x14ac:dyDescent="0.25">
      <c r="A453" s="3" t="s">
        <v>2225</v>
      </c>
      <c r="B453" s="3">
        <v>43732</v>
      </c>
      <c r="C453" s="2" t="s">
        <v>59</v>
      </c>
      <c r="D453" s="2">
        <v>5</v>
      </c>
      <c r="E453" s="2" t="s">
        <v>2239</v>
      </c>
      <c r="F453" s="2" t="s">
        <v>2284</v>
      </c>
      <c r="G453" s="2">
        <v>12</v>
      </c>
      <c r="H453" s="2" t="s">
        <v>2230</v>
      </c>
      <c r="I453" s="3">
        <v>45646</v>
      </c>
      <c r="J453" s="2" t="s">
        <v>1785</v>
      </c>
      <c r="K453" s="2"/>
      <c r="L453" s="2"/>
      <c r="M453" s="2" t="s">
        <v>2291</v>
      </c>
    </row>
    <row r="454" spans="1:13" x14ac:dyDescent="0.25">
      <c r="A454" s="3" t="s">
        <v>2225</v>
      </c>
      <c r="B454" s="3">
        <v>43732</v>
      </c>
      <c r="C454" s="2" t="s">
        <v>59</v>
      </c>
      <c r="D454" s="2">
        <v>5</v>
      </c>
      <c r="E454" s="2" t="s">
        <v>2239</v>
      </c>
      <c r="F454" s="2" t="s">
        <v>2285</v>
      </c>
      <c r="G454" s="2">
        <v>64</v>
      </c>
      <c r="H454" s="2" t="s">
        <v>2230</v>
      </c>
      <c r="I454" s="3">
        <v>45646</v>
      </c>
      <c r="J454" s="2" t="s">
        <v>1785</v>
      </c>
      <c r="K454" s="2"/>
      <c r="L454" s="2"/>
      <c r="M454" s="2" t="s">
        <v>2291</v>
      </c>
    </row>
    <row r="455" spans="1:13" x14ac:dyDescent="0.25">
      <c r="A455" s="3" t="s">
        <v>2225</v>
      </c>
      <c r="B455" s="3">
        <v>43732</v>
      </c>
      <c r="C455" s="2" t="s">
        <v>59</v>
      </c>
      <c r="D455" s="2">
        <v>5</v>
      </c>
      <c r="E455" s="2" t="s">
        <v>2239</v>
      </c>
      <c r="F455" s="2" t="s">
        <v>2286</v>
      </c>
      <c r="G455" s="2">
        <v>34</v>
      </c>
      <c r="H455" s="2" t="s">
        <v>2230</v>
      </c>
      <c r="I455" s="3">
        <v>45646</v>
      </c>
      <c r="J455" s="2" t="s">
        <v>1785</v>
      </c>
      <c r="K455" s="2"/>
      <c r="L455" s="2"/>
      <c r="M455" s="2" t="s">
        <v>2291</v>
      </c>
    </row>
    <row r="456" spans="1:13" x14ac:dyDescent="0.25">
      <c r="A456" s="3" t="s">
        <v>2225</v>
      </c>
      <c r="B456" s="3">
        <v>43732</v>
      </c>
      <c r="C456" s="2" t="s">
        <v>59</v>
      </c>
      <c r="D456" s="2">
        <v>5</v>
      </c>
      <c r="E456" s="2" t="s">
        <v>2239</v>
      </c>
      <c r="F456" s="2" t="s">
        <v>2287</v>
      </c>
      <c r="G456" s="2">
        <v>23</v>
      </c>
      <c r="H456" s="2" t="s">
        <v>2230</v>
      </c>
      <c r="I456" s="3">
        <v>45646</v>
      </c>
      <c r="J456" s="2" t="s">
        <v>1785</v>
      </c>
      <c r="K456" s="2"/>
      <c r="L456" s="2"/>
      <c r="M456" s="2" t="s">
        <v>2291</v>
      </c>
    </row>
    <row r="457" spans="1:13" x14ac:dyDescent="0.25">
      <c r="A457" s="3" t="s">
        <v>2225</v>
      </c>
      <c r="B457" s="3">
        <v>43732</v>
      </c>
      <c r="C457" s="2" t="s">
        <v>59</v>
      </c>
      <c r="D457" s="2">
        <v>5</v>
      </c>
      <c r="E457" s="2" t="s">
        <v>2239</v>
      </c>
      <c r="F457" s="2" t="s">
        <v>2288</v>
      </c>
      <c r="G457" s="2">
        <v>4</v>
      </c>
      <c r="H457" s="2" t="s">
        <v>2230</v>
      </c>
      <c r="I457" s="3">
        <v>45646</v>
      </c>
      <c r="J457" s="2" t="s">
        <v>1785</v>
      </c>
      <c r="K457" s="2"/>
      <c r="L457" s="2"/>
      <c r="M457" s="2" t="s">
        <v>2291</v>
      </c>
    </row>
    <row r="458" spans="1:13" x14ac:dyDescent="0.25">
      <c r="A458" s="3" t="s">
        <v>2225</v>
      </c>
      <c r="B458" s="3">
        <v>43732</v>
      </c>
      <c r="C458" s="2" t="s">
        <v>59</v>
      </c>
      <c r="D458" s="2">
        <v>5</v>
      </c>
      <c r="E458" s="2" t="s">
        <v>2239</v>
      </c>
      <c r="F458" s="2" t="s">
        <v>2289</v>
      </c>
      <c r="G458" s="2">
        <v>5</v>
      </c>
      <c r="H458" s="2" t="s">
        <v>2230</v>
      </c>
      <c r="I458" s="3">
        <v>45646</v>
      </c>
      <c r="J458" s="2" t="s">
        <v>1785</v>
      </c>
      <c r="K458" s="2"/>
      <c r="L458" s="2"/>
      <c r="M458" s="2" t="s">
        <v>2291</v>
      </c>
    </row>
    <row r="459" spans="1:13" x14ac:dyDescent="0.25">
      <c r="A459" s="3" t="s">
        <v>2225</v>
      </c>
      <c r="B459" s="3">
        <v>43732</v>
      </c>
      <c r="C459" s="2" t="s">
        <v>59</v>
      </c>
      <c r="D459" s="2">
        <v>5</v>
      </c>
      <c r="E459" s="2" t="s">
        <v>2240</v>
      </c>
      <c r="F459" s="2" t="s">
        <v>2246</v>
      </c>
      <c r="G459" s="2">
        <v>28</v>
      </c>
      <c r="H459" s="2" t="s">
        <v>2230</v>
      </c>
      <c r="I459" s="3">
        <v>45646</v>
      </c>
      <c r="J459" s="2" t="s">
        <v>1785</v>
      </c>
      <c r="K459" s="2"/>
      <c r="L459" s="2"/>
      <c r="M459" s="2" t="s">
        <v>2291</v>
      </c>
    </row>
    <row r="460" spans="1:13" x14ac:dyDescent="0.25">
      <c r="A460" s="3" t="s">
        <v>2225</v>
      </c>
      <c r="B460" s="3">
        <v>43732</v>
      </c>
      <c r="C460" s="2" t="s">
        <v>59</v>
      </c>
      <c r="D460" s="2">
        <v>5</v>
      </c>
      <c r="E460" s="2" t="s">
        <v>2240</v>
      </c>
      <c r="F460" s="2" t="s">
        <v>2247</v>
      </c>
      <c r="G460" s="2">
        <v>67</v>
      </c>
      <c r="H460" s="2" t="s">
        <v>2230</v>
      </c>
      <c r="I460" s="3">
        <v>45646</v>
      </c>
      <c r="J460" s="2" t="s">
        <v>1785</v>
      </c>
      <c r="K460" s="2"/>
      <c r="L460" s="2"/>
      <c r="M460" s="2" t="s">
        <v>2291</v>
      </c>
    </row>
    <row r="461" spans="1:13" x14ac:dyDescent="0.25">
      <c r="A461" s="3" t="s">
        <v>2225</v>
      </c>
      <c r="B461" s="3">
        <v>43732</v>
      </c>
      <c r="C461" s="2" t="s">
        <v>59</v>
      </c>
      <c r="D461" s="2">
        <v>5</v>
      </c>
      <c r="E461" s="2" t="s">
        <v>2240</v>
      </c>
      <c r="F461" s="2" t="s">
        <v>2248</v>
      </c>
      <c r="G461" s="2">
        <v>21</v>
      </c>
      <c r="H461" s="2" t="s">
        <v>2230</v>
      </c>
      <c r="I461" s="3">
        <v>45646</v>
      </c>
      <c r="J461" s="2" t="s">
        <v>1785</v>
      </c>
      <c r="K461" s="2"/>
      <c r="L461" s="2"/>
      <c r="M461" s="2" t="s">
        <v>2291</v>
      </c>
    </row>
    <row r="462" spans="1:13" x14ac:dyDescent="0.25">
      <c r="A462" s="3" t="s">
        <v>2225</v>
      </c>
      <c r="B462" s="3">
        <v>43732</v>
      </c>
      <c r="C462" s="2" t="s">
        <v>59</v>
      </c>
      <c r="D462" s="2">
        <v>5</v>
      </c>
      <c r="E462" s="2" t="s">
        <v>2240</v>
      </c>
      <c r="F462" s="2" t="s">
        <v>2249</v>
      </c>
      <c r="G462" s="2">
        <v>25</v>
      </c>
      <c r="H462" s="2" t="s">
        <v>2230</v>
      </c>
      <c r="I462" s="3">
        <v>45646</v>
      </c>
      <c r="J462" s="2" t="s">
        <v>1785</v>
      </c>
      <c r="K462" s="2"/>
      <c r="L462" s="2"/>
      <c r="M462" s="2" t="s">
        <v>2291</v>
      </c>
    </row>
    <row r="463" spans="1:13" x14ac:dyDescent="0.25">
      <c r="A463" s="3" t="s">
        <v>2225</v>
      </c>
      <c r="B463" s="3">
        <v>43732</v>
      </c>
      <c r="C463" s="2" t="s">
        <v>59</v>
      </c>
      <c r="D463" s="2">
        <v>5</v>
      </c>
      <c r="E463" s="2" t="s">
        <v>2240</v>
      </c>
      <c r="F463" s="2" t="s">
        <v>2250</v>
      </c>
      <c r="G463" s="2">
        <v>25</v>
      </c>
      <c r="H463" s="2" t="s">
        <v>2230</v>
      </c>
      <c r="I463" s="3">
        <v>45646</v>
      </c>
      <c r="J463" s="2" t="s">
        <v>1785</v>
      </c>
      <c r="K463" s="2"/>
      <c r="L463" s="2"/>
      <c r="M463" s="2" t="s">
        <v>2291</v>
      </c>
    </row>
    <row r="464" spans="1:13" x14ac:dyDescent="0.25">
      <c r="A464" s="3" t="s">
        <v>2225</v>
      </c>
      <c r="B464" s="3">
        <v>43732</v>
      </c>
      <c r="C464" s="2" t="s">
        <v>59</v>
      </c>
      <c r="D464" s="2">
        <v>5</v>
      </c>
      <c r="E464" s="2" t="s">
        <v>2240</v>
      </c>
      <c r="F464" s="2" t="s">
        <v>2251</v>
      </c>
      <c r="G464" s="2">
        <v>7</v>
      </c>
      <c r="H464" s="2" t="s">
        <v>2230</v>
      </c>
      <c r="I464" s="3">
        <v>45646</v>
      </c>
      <c r="J464" s="2" t="s">
        <v>1785</v>
      </c>
      <c r="K464" s="2"/>
      <c r="L464" s="2"/>
      <c r="M464" s="2" t="s">
        <v>2291</v>
      </c>
    </row>
    <row r="465" spans="1:13" x14ac:dyDescent="0.25">
      <c r="A465" s="3" t="s">
        <v>2225</v>
      </c>
      <c r="B465" s="3">
        <v>43732</v>
      </c>
      <c r="C465" s="2" t="s">
        <v>59</v>
      </c>
      <c r="D465" s="2">
        <v>5</v>
      </c>
      <c r="E465" s="2" t="s">
        <v>2240</v>
      </c>
      <c r="F465" s="2" t="s">
        <v>2252</v>
      </c>
      <c r="G465" s="2">
        <v>34</v>
      </c>
      <c r="H465" s="2" t="s">
        <v>2230</v>
      </c>
      <c r="I465" s="3">
        <v>45646</v>
      </c>
      <c r="J465" s="2" t="s">
        <v>1785</v>
      </c>
      <c r="K465" s="2"/>
      <c r="L465" s="2"/>
      <c r="M465" s="2" t="s">
        <v>2291</v>
      </c>
    </row>
    <row r="466" spans="1:13" x14ac:dyDescent="0.25">
      <c r="A466" s="3" t="s">
        <v>2225</v>
      </c>
      <c r="B466" s="3">
        <v>43732</v>
      </c>
      <c r="C466" s="2" t="s">
        <v>59</v>
      </c>
      <c r="D466" s="2">
        <v>5</v>
      </c>
      <c r="E466" s="2" t="s">
        <v>2240</v>
      </c>
      <c r="F466" s="2" t="s">
        <v>2253</v>
      </c>
      <c r="G466" s="2">
        <v>37</v>
      </c>
      <c r="H466" s="2" t="s">
        <v>2230</v>
      </c>
      <c r="I466" s="3">
        <v>45646</v>
      </c>
      <c r="J466" s="2" t="s">
        <v>1785</v>
      </c>
      <c r="K466" s="2"/>
      <c r="L466" s="2"/>
      <c r="M466" s="2" t="s">
        <v>2291</v>
      </c>
    </row>
    <row r="467" spans="1:13" x14ac:dyDescent="0.25">
      <c r="A467" s="3" t="s">
        <v>2225</v>
      </c>
      <c r="B467" s="3">
        <v>43732</v>
      </c>
      <c r="C467" s="2" t="s">
        <v>59</v>
      </c>
      <c r="D467" s="2">
        <v>5</v>
      </c>
      <c r="E467" s="2" t="s">
        <v>2240</v>
      </c>
      <c r="F467" s="2" t="s">
        <v>2254</v>
      </c>
      <c r="G467" s="2">
        <v>7</v>
      </c>
      <c r="H467" s="2" t="s">
        <v>2230</v>
      </c>
      <c r="I467" s="3">
        <v>45646</v>
      </c>
      <c r="J467" s="2" t="s">
        <v>1785</v>
      </c>
      <c r="K467" s="2"/>
      <c r="L467" s="2"/>
      <c r="M467" s="2" t="s">
        <v>2291</v>
      </c>
    </row>
    <row r="468" spans="1:13" x14ac:dyDescent="0.25">
      <c r="A468" s="3" t="s">
        <v>2225</v>
      </c>
      <c r="B468" s="3">
        <v>43732</v>
      </c>
      <c r="C468" s="2" t="s">
        <v>59</v>
      </c>
      <c r="D468" s="2">
        <v>5</v>
      </c>
      <c r="E468" s="2" t="s">
        <v>2240</v>
      </c>
      <c r="F468" s="2" t="s">
        <v>2240</v>
      </c>
      <c r="G468" s="2">
        <v>5</v>
      </c>
      <c r="H468" s="2" t="s">
        <v>2230</v>
      </c>
      <c r="I468" s="3">
        <v>45646</v>
      </c>
      <c r="J468" s="2" t="s">
        <v>1785</v>
      </c>
      <c r="K468" s="2"/>
      <c r="L468" s="2"/>
      <c r="M468" s="2" t="s">
        <v>2291</v>
      </c>
    </row>
    <row r="469" spans="1:13" x14ac:dyDescent="0.25">
      <c r="A469" s="3" t="s">
        <v>2225</v>
      </c>
      <c r="B469" s="3">
        <v>43732</v>
      </c>
      <c r="C469" s="2" t="s">
        <v>59</v>
      </c>
      <c r="D469" s="2">
        <v>5</v>
      </c>
      <c r="E469" s="2" t="s">
        <v>2240</v>
      </c>
      <c r="F469" s="2" t="s">
        <v>2241</v>
      </c>
      <c r="G469" s="2">
        <v>7</v>
      </c>
      <c r="H469" s="2" t="s">
        <v>2230</v>
      </c>
      <c r="I469" s="3">
        <v>45646</v>
      </c>
      <c r="J469" s="2" t="s">
        <v>1785</v>
      </c>
      <c r="K469" s="2"/>
      <c r="L469" s="2"/>
      <c r="M469" s="2" t="s">
        <v>2291</v>
      </c>
    </row>
    <row r="470" spans="1:13" x14ac:dyDescent="0.25">
      <c r="A470" s="3" t="s">
        <v>2225</v>
      </c>
      <c r="B470" s="3">
        <v>43732</v>
      </c>
      <c r="C470" s="2" t="s">
        <v>59</v>
      </c>
      <c r="D470" s="2">
        <v>5</v>
      </c>
      <c r="E470" s="2" t="s">
        <v>2240</v>
      </c>
      <c r="F470" s="2" t="s">
        <v>2242</v>
      </c>
      <c r="G470" s="2">
        <v>13</v>
      </c>
      <c r="H470" s="2" t="s">
        <v>2230</v>
      </c>
      <c r="I470" s="3">
        <v>45646</v>
      </c>
      <c r="J470" s="2" t="s">
        <v>1785</v>
      </c>
      <c r="K470" s="2"/>
      <c r="L470" s="2"/>
      <c r="M470" s="2" t="s">
        <v>2291</v>
      </c>
    </row>
    <row r="471" spans="1:13" x14ac:dyDescent="0.25">
      <c r="A471" s="3" t="s">
        <v>2225</v>
      </c>
      <c r="B471" s="3">
        <v>43732</v>
      </c>
      <c r="C471" s="2" t="s">
        <v>59</v>
      </c>
      <c r="D471" s="2">
        <v>5</v>
      </c>
      <c r="E471" s="2" t="s">
        <v>2240</v>
      </c>
      <c r="F471" s="2" t="s">
        <v>2243</v>
      </c>
      <c r="G471" s="2">
        <v>10</v>
      </c>
      <c r="H471" s="2" t="s">
        <v>2230</v>
      </c>
      <c r="I471" s="3">
        <v>45646</v>
      </c>
      <c r="J471" s="2" t="s">
        <v>1785</v>
      </c>
      <c r="K471" s="2"/>
      <c r="L471" s="2"/>
      <c r="M471" s="2" t="s">
        <v>2291</v>
      </c>
    </row>
    <row r="472" spans="1:13" x14ac:dyDescent="0.25">
      <c r="A472" s="3" t="s">
        <v>2225</v>
      </c>
      <c r="B472" s="3">
        <v>43732</v>
      </c>
      <c r="C472" s="2" t="s">
        <v>59</v>
      </c>
      <c r="D472" s="2">
        <v>5</v>
      </c>
      <c r="E472" s="2" t="s">
        <v>2240</v>
      </c>
      <c r="F472" s="2" t="s">
        <v>2244</v>
      </c>
      <c r="G472" s="2">
        <v>40</v>
      </c>
      <c r="H472" s="2" t="s">
        <v>2230</v>
      </c>
      <c r="I472" s="3">
        <v>45646</v>
      </c>
      <c r="J472" s="2" t="s">
        <v>1785</v>
      </c>
      <c r="K472" s="2"/>
      <c r="L472" s="2"/>
      <c r="M472" s="2" t="s">
        <v>2291</v>
      </c>
    </row>
    <row r="473" spans="1:13" x14ac:dyDescent="0.25">
      <c r="A473" s="3" t="s">
        <v>2225</v>
      </c>
      <c r="B473" s="3">
        <v>43732</v>
      </c>
      <c r="C473" s="2" t="s">
        <v>59</v>
      </c>
      <c r="D473" s="2">
        <v>5</v>
      </c>
      <c r="E473" s="2" t="s">
        <v>2240</v>
      </c>
      <c r="F473" s="2" t="s">
        <v>2245</v>
      </c>
      <c r="G473" s="2">
        <v>5</v>
      </c>
      <c r="H473" s="2" t="s">
        <v>2230</v>
      </c>
      <c r="I473" s="3">
        <v>45646</v>
      </c>
      <c r="J473" s="2" t="s">
        <v>1785</v>
      </c>
      <c r="K473" s="2"/>
      <c r="L473" s="2"/>
      <c r="M473" s="2" t="s">
        <v>2291</v>
      </c>
    </row>
    <row r="474" spans="1:13" x14ac:dyDescent="0.25">
      <c r="A474" s="3" t="s">
        <v>2225</v>
      </c>
      <c r="B474" s="3">
        <v>43732</v>
      </c>
      <c r="C474" s="2" t="s">
        <v>59</v>
      </c>
      <c r="D474" s="2">
        <v>5</v>
      </c>
      <c r="E474" s="2" t="s">
        <v>2240</v>
      </c>
      <c r="F474" s="2" t="s">
        <v>2255</v>
      </c>
      <c r="G474" s="2">
        <v>34</v>
      </c>
      <c r="H474" s="2" t="s">
        <v>2230</v>
      </c>
      <c r="I474" s="3">
        <v>45646</v>
      </c>
      <c r="J474" s="2" t="s">
        <v>1785</v>
      </c>
      <c r="K474" s="2"/>
      <c r="L474" s="2"/>
      <c r="M474" s="2" t="s">
        <v>2291</v>
      </c>
    </row>
    <row r="475" spans="1:13" x14ac:dyDescent="0.25">
      <c r="A475" s="3" t="s">
        <v>2225</v>
      </c>
      <c r="B475" s="3">
        <v>43732</v>
      </c>
      <c r="C475" s="2" t="s">
        <v>59</v>
      </c>
      <c r="D475" s="2">
        <v>5</v>
      </c>
      <c r="E475" s="2" t="s">
        <v>2240</v>
      </c>
      <c r="F475" s="2" t="s">
        <v>2256</v>
      </c>
      <c r="G475" s="2">
        <v>15</v>
      </c>
      <c r="H475" s="2" t="s">
        <v>2230</v>
      </c>
      <c r="I475" s="3">
        <v>45646</v>
      </c>
      <c r="J475" s="2" t="s">
        <v>1785</v>
      </c>
      <c r="K475" s="2"/>
      <c r="L475" s="2"/>
      <c r="M475" s="2" t="s">
        <v>2291</v>
      </c>
    </row>
    <row r="476" spans="1:13" x14ac:dyDescent="0.25">
      <c r="A476" s="3" t="s">
        <v>2225</v>
      </c>
      <c r="B476" s="3">
        <v>43732</v>
      </c>
      <c r="C476" s="2" t="s">
        <v>59</v>
      </c>
      <c r="D476" s="2">
        <v>5</v>
      </c>
      <c r="E476" s="2" t="s">
        <v>2240</v>
      </c>
      <c r="F476" s="2" t="s">
        <v>2257</v>
      </c>
      <c r="G476" s="2">
        <v>21</v>
      </c>
      <c r="H476" s="2" t="s">
        <v>2230</v>
      </c>
      <c r="I476" s="3">
        <v>45646</v>
      </c>
      <c r="J476" s="2" t="s">
        <v>1785</v>
      </c>
      <c r="K476" s="2"/>
      <c r="L476" s="2"/>
      <c r="M476" s="2" t="s">
        <v>2291</v>
      </c>
    </row>
    <row r="477" spans="1:13" x14ac:dyDescent="0.25">
      <c r="A477" s="3" t="s">
        <v>2225</v>
      </c>
      <c r="B477" s="3">
        <v>43732</v>
      </c>
      <c r="C477" s="2" t="s">
        <v>59</v>
      </c>
      <c r="D477" s="2">
        <v>5</v>
      </c>
      <c r="E477" s="2" t="s">
        <v>2240</v>
      </c>
      <c r="F477" s="2" t="s">
        <v>2258</v>
      </c>
      <c r="G477" s="2">
        <v>20</v>
      </c>
      <c r="H477" s="2" t="s">
        <v>2230</v>
      </c>
      <c r="I477" s="3">
        <v>45646</v>
      </c>
      <c r="J477" s="2" t="s">
        <v>1785</v>
      </c>
      <c r="K477" s="2"/>
      <c r="L477" s="2"/>
      <c r="M477" s="2" t="s">
        <v>2291</v>
      </c>
    </row>
    <row r="478" spans="1:13" x14ac:dyDescent="0.25">
      <c r="A478" s="3" t="s">
        <v>2225</v>
      </c>
      <c r="B478" s="3">
        <v>43732</v>
      </c>
      <c r="C478" s="2" t="s">
        <v>59</v>
      </c>
      <c r="D478" s="2">
        <v>5</v>
      </c>
      <c r="E478" s="2" t="s">
        <v>2240</v>
      </c>
      <c r="F478" s="2" t="s">
        <v>2259</v>
      </c>
      <c r="G478" s="2">
        <v>40</v>
      </c>
      <c r="H478" s="2" t="s">
        <v>2230</v>
      </c>
      <c r="I478" s="3">
        <v>45646</v>
      </c>
      <c r="J478" s="2" t="s">
        <v>1785</v>
      </c>
      <c r="K478" s="2"/>
      <c r="L478" s="2"/>
      <c r="M478" s="2" t="s">
        <v>2291</v>
      </c>
    </row>
    <row r="479" spans="1:13" x14ac:dyDescent="0.25">
      <c r="A479" s="3" t="s">
        <v>2225</v>
      </c>
      <c r="B479" s="3">
        <v>43732</v>
      </c>
      <c r="C479" s="2" t="s">
        <v>59</v>
      </c>
      <c r="D479" s="2">
        <v>5</v>
      </c>
      <c r="E479" s="2" t="s">
        <v>2240</v>
      </c>
      <c r="F479" s="2" t="s">
        <v>2260</v>
      </c>
      <c r="G479" s="2">
        <v>25</v>
      </c>
      <c r="H479" s="2" t="s">
        <v>2230</v>
      </c>
      <c r="I479" s="3">
        <v>45646</v>
      </c>
      <c r="J479" s="2" t="s">
        <v>1785</v>
      </c>
      <c r="K479" s="2"/>
      <c r="L479" s="2"/>
      <c r="M479" s="2" t="s">
        <v>2291</v>
      </c>
    </row>
    <row r="480" spans="1:13" x14ac:dyDescent="0.25">
      <c r="A480" s="3" t="s">
        <v>2225</v>
      </c>
      <c r="B480" s="3">
        <v>43732</v>
      </c>
      <c r="C480" s="2" t="s">
        <v>59</v>
      </c>
      <c r="D480" s="2">
        <v>5</v>
      </c>
      <c r="E480" s="2" t="s">
        <v>2240</v>
      </c>
      <c r="F480" s="2" t="s">
        <v>2261</v>
      </c>
      <c r="G480" s="2">
        <v>30</v>
      </c>
      <c r="H480" s="2" t="s">
        <v>2230</v>
      </c>
      <c r="I480" s="3">
        <v>45646</v>
      </c>
      <c r="J480" s="2" t="s">
        <v>1785</v>
      </c>
      <c r="K480" s="2"/>
      <c r="L480" s="2"/>
      <c r="M480" s="2" t="s">
        <v>2291</v>
      </c>
    </row>
    <row r="481" spans="1:13" x14ac:dyDescent="0.25">
      <c r="A481" s="3" t="s">
        <v>2225</v>
      </c>
      <c r="B481" s="3">
        <v>43732</v>
      </c>
      <c r="C481" s="2" t="s">
        <v>59</v>
      </c>
      <c r="D481" s="2">
        <v>5</v>
      </c>
      <c r="E481" s="2" t="s">
        <v>2240</v>
      </c>
      <c r="F481" s="2" t="s">
        <v>2262</v>
      </c>
      <c r="G481" s="2">
        <v>32</v>
      </c>
      <c r="H481" s="2" t="s">
        <v>2230</v>
      </c>
      <c r="I481" s="3">
        <v>45646</v>
      </c>
      <c r="J481" s="2" t="s">
        <v>1785</v>
      </c>
      <c r="K481" s="2"/>
      <c r="L481" s="2"/>
      <c r="M481" s="2" t="s">
        <v>2291</v>
      </c>
    </row>
    <row r="482" spans="1:13" x14ac:dyDescent="0.25">
      <c r="A482" s="3" t="s">
        <v>2225</v>
      </c>
      <c r="B482" s="3">
        <v>43732</v>
      </c>
      <c r="C482" s="2" t="s">
        <v>59</v>
      </c>
      <c r="D482" s="2">
        <v>5</v>
      </c>
      <c r="E482" s="2" t="s">
        <v>2240</v>
      </c>
      <c r="F482" s="2" t="s">
        <v>2263</v>
      </c>
      <c r="G482" s="2">
        <v>42</v>
      </c>
      <c r="H482" s="2" t="s">
        <v>2230</v>
      </c>
      <c r="I482" s="3">
        <v>45646</v>
      </c>
      <c r="J482" s="2" t="s">
        <v>1785</v>
      </c>
      <c r="K482" s="2"/>
      <c r="L482" s="2"/>
      <c r="M482" s="2" t="s">
        <v>2291</v>
      </c>
    </row>
    <row r="483" spans="1:13" x14ac:dyDescent="0.25">
      <c r="A483" s="3" t="s">
        <v>2225</v>
      </c>
      <c r="B483" s="3">
        <v>43732</v>
      </c>
      <c r="C483" s="2" t="s">
        <v>59</v>
      </c>
      <c r="D483" s="2">
        <v>5</v>
      </c>
      <c r="E483" s="2" t="s">
        <v>2240</v>
      </c>
      <c r="F483" s="2" t="s">
        <v>2264</v>
      </c>
      <c r="G483" s="2">
        <v>34</v>
      </c>
      <c r="H483" s="2" t="s">
        <v>2230</v>
      </c>
      <c r="I483" s="3">
        <v>45646</v>
      </c>
      <c r="J483" s="2" t="s">
        <v>1785</v>
      </c>
      <c r="K483" s="2"/>
      <c r="L483" s="2"/>
      <c r="M483" s="2" t="s">
        <v>2291</v>
      </c>
    </row>
    <row r="484" spans="1:13" x14ac:dyDescent="0.25">
      <c r="A484" s="3" t="s">
        <v>2225</v>
      </c>
      <c r="B484" s="3">
        <v>43732</v>
      </c>
      <c r="C484" s="2" t="s">
        <v>59</v>
      </c>
      <c r="D484" s="2">
        <v>5</v>
      </c>
      <c r="E484" s="2" t="s">
        <v>2240</v>
      </c>
      <c r="F484" s="2" t="s">
        <v>2265</v>
      </c>
      <c r="G484" s="2">
        <v>47</v>
      </c>
      <c r="H484" s="2" t="s">
        <v>2230</v>
      </c>
      <c r="I484" s="3">
        <v>45646</v>
      </c>
      <c r="J484" s="2" t="s">
        <v>1785</v>
      </c>
      <c r="K484" s="2"/>
      <c r="L484" s="2"/>
      <c r="M484" s="2" t="s">
        <v>2291</v>
      </c>
    </row>
    <row r="485" spans="1:13" x14ac:dyDescent="0.25">
      <c r="A485" s="3" t="s">
        <v>2225</v>
      </c>
      <c r="B485" s="3">
        <v>43732</v>
      </c>
      <c r="C485" s="2" t="s">
        <v>59</v>
      </c>
      <c r="D485" s="2">
        <v>5</v>
      </c>
      <c r="E485" s="2" t="s">
        <v>2240</v>
      </c>
      <c r="F485" s="2" t="s">
        <v>2266</v>
      </c>
      <c r="G485" s="2">
        <v>41</v>
      </c>
      <c r="H485" s="2" t="s">
        <v>2230</v>
      </c>
      <c r="I485" s="3">
        <v>45646</v>
      </c>
      <c r="J485" s="2" t="s">
        <v>1785</v>
      </c>
      <c r="K485" s="2"/>
      <c r="L485" s="2"/>
      <c r="M485" s="2" t="s">
        <v>2291</v>
      </c>
    </row>
    <row r="486" spans="1:13" x14ac:dyDescent="0.25">
      <c r="A486" s="3" t="s">
        <v>2225</v>
      </c>
      <c r="B486" s="3">
        <v>43732</v>
      </c>
      <c r="C486" s="2" t="s">
        <v>59</v>
      </c>
      <c r="D486" s="2">
        <v>5</v>
      </c>
      <c r="E486" s="2" t="s">
        <v>2240</v>
      </c>
      <c r="F486" s="2" t="s">
        <v>2267</v>
      </c>
      <c r="G486" s="2">
        <v>43</v>
      </c>
      <c r="H486" s="2" t="s">
        <v>2230</v>
      </c>
      <c r="I486" s="3">
        <v>45646</v>
      </c>
      <c r="J486" s="2" t="s">
        <v>1785</v>
      </c>
      <c r="K486" s="2"/>
      <c r="L486" s="2"/>
      <c r="M486" s="2" t="s">
        <v>2291</v>
      </c>
    </row>
    <row r="487" spans="1:13" x14ac:dyDescent="0.25">
      <c r="A487" s="3" t="s">
        <v>2225</v>
      </c>
      <c r="B487" s="3">
        <v>43732</v>
      </c>
      <c r="C487" s="2" t="s">
        <v>59</v>
      </c>
      <c r="D487" s="2">
        <v>5</v>
      </c>
      <c r="E487" s="2" t="s">
        <v>2240</v>
      </c>
      <c r="F487" s="2" t="s">
        <v>2268</v>
      </c>
      <c r="G487" s="2">
        <v>4</v>
      </c>
      <c r="H487" s="2" t="s">
        <v>2230</v>
      </c>
      <c r="I487" s="3">
        <v>45646</v>
      </c>
      <c r="J487" s="2" t="s">
        <v>1785</v>
      </c>
      <c r="K487" s="2"/>
      <c r="L487" s="2"/>
      <c r="M487" s="2" t="s">
        <v>2291</v>
      </c>
    </row>
    <row r="488" spans="1:13" x14ac:dyDescent="0.25">
      <c r="A488" s="3" t="s">
        <v>2225</v>
      </c>
      <c r="B488" s="3">
        <v>43732</v>
      </c>
      <c r="C488" s="2" t="s">
        <v>59</v>
      </c>
      <c r="D488" s="2">
        <v>5</v>
      </c>
      <c r="E488" s="2" t="s">
        <v>2240</v>
      </c>
      <c r="F488" s="2" t="s">
        <v>2269</v>
      </c>
      <c r="G488" s="2">
        <v>24</v>
      </c>
      <c r="H488" s="2" t="s">
        <v>2230</v>
      </c>
      <c r="I488" s="3">
        <v>45646</v>
      </c>
      <c r="J488" s="2" t="s">
        <v>1785</v>
      </c>
      <c r="K488" s="2"/>
      <c r="L488" s="2"/>
      <c r="M488" s="2" t="s">
        <v>2291</v>
      </c>
    </row>
    <row r="489" spans="1:13" x14ac:dyDescent="0.25">
      <c r="A489" s="3" t="s">
        <v>2225</v>
      </c>
      <c r="B489" s="3">
        <v>43732</v>
      </c>
      <c r="C489" s="2" t="s">
        <v>59</v>
      </c>
      <c r="D489" s="2">
        <v>5</v>
      </c>
      <c r="E489" s="2" t="s">
        <v>2240</v>
      </c>
      <c r="F489" s="2" t="s">
        <v>2270</v>
      </c>
      <c r="G489" s="2">
        <v>24</v>
      </c>
      <c r="H489" s="2" t="s">
        <v>2230</v>
      </c>
      <c r="I489" s="3">
        <v>45646</v>
      </c>
      <c r="J489" s="2" t="s">
        <v>1785</v>
      </c>
      <c r="K489" s="2"/>
      <c r="L489" s="2"/>
      <c r="M489" s="2" t="s">
        <v>2291</v>
      </c>
    </row>
    <row r="490" spans="1:13" x14ac:dyDescent="0.25">
      <c r="A490" s="3" t="s">
        <v>2225</v>
      </c>
      <c r="B490" s="3">
        <v>43732</v>
      </c>
      <c r="C490" s="2" t="s">
        <v>59</v>
      </c>
      <c r="D490" s="2">
        <v>5</v>
      </c>
      <c r="E490" s="2" t="s">
        <v>2240</v>
      </c>
      <c r="F490" s="2" t="s">
        <v>2271</v>
      </c>
      <c r="G490" s="2">
        <v>25</v>
      </c>
      <c r="H490" s="2" t="s">
        <v>2230</v>
      </c>
      <c r="I490" s="3">
        <v>45646</v>
      </c>
      <c r="J490" s="2" t="s">
        <v>1785</v>
      </c>
      <c r="K490" s="2"/>
      <c r="L490" s="2"/>
      <c r="M490" s="2" t="s">
        <v>2291</v>
      </c>
    </row>
    <row r="491" spans="1:13" x14ac:dyDescent="0.25">
      <c r="A491" s="3" t="s">
        <v>2225</v>
      </c>
      <c r="B491" s="3">
        <v>43732</v>
      </c>
      <c r="C491" s="2" t="s">
        <v>59</v>
      </c>
      <c r="D491" s="2">
        <v>5</v>
      </c>
      <c r="E491" s="2" t="s">
        <v>2240</v>
      </c>
      <c r="F491" s="2" t="s">
        <v>2272</v>
      </c>
      <c r="G491" s="2">
        <v>74</v>
      </c>
      <c r="H491" s="2" t="s">
        <v>2230</v>
      </c>
      <c r="I491" s="3">
        <v>45646</v>
      </c>
      <c r="J491" s="2" t="s">
        <v>1785</v>
      </c>
      <c r="K491" s="2"/>
      <c r="L491" s="2"/>
      <c r="M491" s="2" t="s">
        <v>2291</v>
      </c>
    </row>
    <row r="492" spans="1:13" x14ac:dyDescent="0.25">
      <c r="A492" s="3" t="s">
        <v>2225</v>
      </c>
      <c r="B492" s="3">
        <v>43732</v>
      </c>
      <c r="C492" s="2" t="s">
        <v>59</v>
      </c>
      <c r="D492" s="2">
        <v>5</v>
      </c>
      <c r="E492" s="2" t="s">
        <v>2240</v>
      </c>
      <c r="F492" s="2" t="s">
        <v>2273</v>
      </c>
      <c r="G492" s="2">
        <v>54</v>
      </c>
      <c r="H492" s="2" t="s">
        <v>2230</v>
      </c>
      <c r="I492" s="3">
        <v>45646</v>
      </c>
      <c r="J492" s="2" t="s">
        <v>1785</v>
      </c>
      <c r="K492" s="2"/>
      <c r="L492" s="2"/>
      <c r="M492" s="2" t="s">
        <v>2291</v>
      </c>
    </row>
    <row r="493" spans="1:13" x14ac:dyDescent="0.25">
      <c r="A493" s="3" t="s">
        <v>2225</v>
      </c>
      <c r="B493" s="3">
        <v>43732</v>
      </c>
      <c r="C493" s="2" t="s">
        <v>59</v>
      </c>
      <c r="D493" s="2">
        <v>5</v>
      </c>
      <c r="E493" s="2" t="s">
        <v>2240</v>
      </c>
      <c r="F493" s="2" t="s">
        <v>2274</v>
      </c>
      <c r="G493" s="2">
        <v>16</v>
      </c>
      <c r="H493" s="2" t="s">
        <v>2230</v>
      </c>
      <c r="I493" s="3">
        <v>45646</v>
      </c>
      <c r="J493" s="2" t="s">
        <v>1785</v>
      </c>
      <c r="K493" s="2"/>
      <c r="L493" s="2"/>
      <c r="M493" s="2" t="s">
        <v>2291</v>
      </c>
    </row>
    <row r="494" spans="1:13" x14ac:dyDescent="0.25">
      <c r="A494" s="3" t="s">
        <v>2225</v>
      </c>
      <c r="B494" s="3">
        <v>43732</v>
      </c>
      <c r="C494" s="2" t="s">
        <v>59</v>
      </c>
      <c r="D494" s="2">
        <v>5</v>
      </c>
      <c r="E494" s="2" t="s">
        <v>2240</v>
      </c>
      <c r="F494" s="2" t="s">
        <v>2275</v>
      </c>
      <c r="G494" s="2">
        <v>31</v>
      </c>
      <c r="H494" s="2" t="s">
        <v>2230</v>
      </c>
      <c r="I494" s="3">
        <v>45646</v>
      </c>
      <c r="J494" s="2" t="s">
        <v>1785</v>
      </c>
      <c r="K494" s="2"/>
      <c r="L494" s="2"/>
      <c r="M494" s="2" t="s">
        <v>2291</v>
      </c>
    </row>
    <row r="495" spans="1:13" x14ac:dyDescent="0.25">
      <c r="A495" s="3" t="s">
        <v>2225</v>
      </c>
      <c r="B495" s="3">
        <v>43732</v>
      </c>
      <c r="C495" s="2" t="s">
        <v>59</v>
      </c>
      <c r="D495" s="2">
        <v>5</v>
      </c>
      <c r="E495" s="2" t="s">
        <v>2240</v>
      </c>
      <c r="F495" s="2" t="s">
        <v>2276</v>
      </c>
      <c r="G495" s="2">
        <v>30</v>
      </c>
      <c r="H495" s="2" t="s">
        <v>2230</v>
      </c>
      <c r="I495" s="3">
        <v>45646</v>
      </c>
      <c r="J495" s="2" t="s">
        <v>1785</v>
      </c>
      <c r="K495" s="2"/>
      <c r="L495" s="2"/>
      <c r="M495" s="2" t="s">
        <v>2291</v>
      </c>
    </row>
    <row r="496" spans="1:13" x14ac:dyDescent="0.25">
      <c r="A496" s="3" t="s">
        <v>2225</v>
      </c>
      <c r="B496" s="3">
        <v>43732</v>
      </c>
      <c r="C496" s="2" t="s">
        <v>59</v>
      </c>
      <c r="D496" s="2">
        <v>5</v>
      </c>
      <c r="E496" s="2" t="s">
        <v>2240</v>
      </c>
      <c r="F496" s="2" t="s">
        <v>2277</v>
      </c>
      <c r="G496" s="2">
        <v>48</v>
      </c>
      <c r="H496" s="2" t="s">
        <v>2230</v>
      </c>
      <c r="I496" s="3">
        <v>45646</v>
      </c>
      <c r="J496" s="2" t="s">
        <v>1785</v>
      </c>
      <c r="K496" s="2"/>
      <c r="L496" s="2"/>
      <c r="M496" s="2" t="s">
        <v>2291</v>
      </c>
    </row>
    <row r="497" spans="1:13" x14ac:dyDescent="0.25">
      <c r="A497" s="3" t="s">
        <v>2225</v>
      </c>
      <c r="B497" s="3">
        <v>43732</v>
      </c>
      <c r="C497" s="2" t="s">
        <v>59</v>
      </c>
      <c r="D497" s="2">
        <v>5</v>
      </c>
      <c r="E497" s="2" t="s">
        <v>2240</v>
      </c>
      <c r="F497" s="2" t="s">
        <v>2278</v>
      </c>
      <c r="G497" s="2">
        <v>14</v>
      </c>
      <c r="H497" s="2" t="s">
        <v>2230</v>
      </c>
      <c r="I497" s="3">
        <v>45646</v>
      </c>
      <c r="J497" s="2" t="s">
        <v>1785</v>
      </c>
      <c r="K497" s="2"/>
      <c r="L497" s="2"/>
      <c r="M497" s="2" t="s">
        <v>2291</v>
      </c>
    </row>
    <row r="498" spans="1:13" x14ac:dyDescent="0.25">
      <c r="A498" s="3" t="s">
        <v>2225</v>
      </c>
      <c r="B498" s="3">
        <v>43732</v>
      </c>
      <c r="C498" s="2" t="s">
        <v>59</v>
      </c>
      <c r="D498" s="2">
        <v>5</v>
      </c>
      <c r="E498" s="2" t="s">
        <v>2240</v>
      </c>
      <c r="F498" s="2" t="s">
        <v>2279</v>
      </c>
      <c r="G498" s="2">
        <v>12</v>
      </c>
      <c r="H498" s="2" t="s">
        <v>2230</v>
      </c>
      <c r="I498" s="3">
        <v>45646</v>
      </c>
      <c r="J498" s="2" t="s">
        <v>1785</v>
      </c>
      <c r="K498" s="2"/>
      <c r="L498" s="2"/>
      <c r="M498" s="2" t="s">
        <v>2291</v>
      </c>
    </row>
    <row r="499" spans="1:13" x14ac:dyDescent="0.25">
      <c r="A499" s="3" t="s">
        <v>2225</v>
      </c>
      <c r="B499" s="3">
        <v>43732</v>
      </c>
      <c r="C499" s="2" t="s">
        <v>59</v>
      </c>
      <c r="D499" s="2">
        <v>5</v>
      </c>
      <c r="E499" s="2" t="s">
        <v>2240</v>
      </c>
      <c r="F499" s="2" t="s">
        <v>2280</v>
      </c>
      <c r="G499" s="2">
        <v>30</v>
      </c>
      <c r="H499" s="2" t="s">
        <v>2230</v>
      </c>
      <c r="I499" s="3">
        <v>45646</v>
      </c>
      <c r="J499" s="2" t="s">
        <v>1785</v>
      </c>
      <c r="K499" s="2"/>
      <c r="L499" s="2"/>
      <c r="M499" s="2" t="s">
        <v>2291</v>
      </c>
    </row>
    <row r="500" spans="1:13" x14ac:dyDescent="0.25">
      <c r="A500" s="3" t="s">
        <v>2225</v>
      </c>
      <c r="B500" s="3">
        <v>43732</v>
      </c>
      <c r="C500" s="2" t="s">
        <v>59</v>
      </c>
      <c r="D500" s="2">
        <v>5</v>
      </c>
      <c r="E500" s="2" t="s">
        <v>2240</v>
      </c>
      <c r="F500" s="2" t="s">
        <v>2281</v>
      </c>
      <c r="G500" s="2">
        <v>10</v>
      </c>
      <c r="H500" s="2" t="s">
        <v>2230</v>
      </c>
      <c r="I500" s="3">
        <v>45646</v>
      </c>
      <c r="J500" s="2" t="s">
        <v>1785</v>
      </c>
      <c r="K500" s="2"/>
      <c r="L500" s="2"/>
      <c r="M500" s="2" t="s">
        <v>2291</v>
      </c>
    </row>
    <row r="501" spans="1:13" x14ac:dyDescent="0.25">
      <c r="A501" s="3" t="s">
        <v>2225</v>
      </c>
      <c r="B501" s="3">
        <v>43732</v>
      </c>
      <c r="C501" s="2" t="s">
        <v>59</v>
      </c>
      <c r="D501" s="2">
        <v>5</v>
      </c>
      <c r="E501" s="2" t="s">
        <v>2240</v>
      </c>
      <c r="F501" s="2" t="s">
        <v>2282</v>
      </c>
      <c r="G501" s="2">
        <v>5</v>
      </c>
      <c r="H501" s="2" t="s">
        <v>2230</v>
      </c>
      <c r="I501" s="3">
        <v>45646</v>
      </c>
      <c r="J501" s="2" t="s">
        <v>1785</v>
      </c>
      <c r="K501" s="2"/>
      <c r="L501" s="2"/>
      <c r="M501" s="2" t="s">
        <v>2291</v>
      </c>
    </row>
    <row r="502" spans="1:13" x14ac:dyDescent="0.25">
      <c r="A502" s="3" t="s">
        <v>2225</v>
      </c>
      <c r="B502" s="3">
        <v>43732</v>
      </c>
      <c r="C502" s="2" t="s">
        <v>59</v>
      </c>
      <c r="D502" s="2">
        <v>5</v>
      </c>
      <c r="E502" s="2" t="s">
        <v>2240</v>
      </c>
      <c r="F502" s="2" t="s">
        <v>2283</v>
      </c>
      <c r="G502" s="2">
        <v>7</v>
      </c>
      <c r="H502" s="2" t="s">
        <v>2230</v>
      </c>
      <c r="I502" s="3">
        <v>45646</v>
      </c>
      <c r="J502" s="2" t="s">
        <v>1785</v>
      </c>
      <c r="K502" s="2"/>
      <c r="L502" s="2"/>
      <c r="M502" s="2" t="s">
        <v>2291</v>
      </c>
    </row>
    <row r="503" spans="1:13" x14ac:dyDescent="0.25">
      <c r="A503" s="3" t="s">
        <v>2225</v>
      </c>
      <c r="B503" s="3">
        <v>43732</v>
      </c>
      <c r="C503" s="2" t="s">
        <v>59</v>
      </c>
      <c r="D503" s="2">
        <v>5</v>
      </c>
      <c r="E503" s="2" t="s">
        <v>2240</v>
      </c>
      <c r="F503" s="2" t="s">
        <v>2284</v>
      </c>
      <c r="G503" s="2">
        <v>5</v>
      </c>
      <c r="H503" s="2" t="s">
        <v>2230</v>
      </c>
      <c r="I503" s="3">
        <v>45646</v>
      </c>
      <c r="J503" s="2" t="s">
        <v>1785</v>
      </c>
      <c r="K503" s="2"/>
      <c r="L503" s="2"/>
      <c r="M503" s="2" t="s">
        <v>2291</v>
      </c>
    </row>
    <row r="504" spans="1:13" x14ac:dyDescent="0.25">
      <c r="A504" s="3" t="s">
        <v>2225</v>
      </c>
      <c r="B504" s="3">
        <v>43732</v>
      </c>
      <c r="C504" s="2" t="s">
        <v>59</v>
      </c>
      <c r="D504" s="2">
        <v>5</v>
      </c>
      <c r="E504" s="2" t="s">
        <v>2240</v>
      </c>
      <c r="F504" s="2" t="s">
        <v>2285</v>
      </c>
      <c r="G504" s="2">
        <v>35</v>
      </c>
      <c r="H504" s="2" t="s">
        <v>2230</v>
      </c>
      <c r="I504" s="3">
        <v>45646</v>
      </c>
      <c r="J504" s="2" t="s">
        <v>1785</v>
      </c>
      <c r="K504" s="2"/>
      <c r="L504" s="2"/>
      <c r="M504" s="2" t="s">
        <v>2291</v>
      </c>
    </row>
    <row r="505" spans="1:13" x14ac:dyDescent="0.25">
      <c r="A505" s="3" t="s">
        <v>2225</v>
      </c>
      <c r="B505" s="3">
        <v>43732</v>
      </c>
      <c r="C505" s="2" t="s">
        <v>59</v>
      </c>
      <c r="D505" s="2">
        <v>5</v>
      </c>
      <c r="E505" s="2" t="s">
        <v>2240</v>
      </c>
      <c r="F505" s="2" t="s">
        <v>2286</v>
      </c>
      <c r="G505" s="2">
        <v>17</v>
      </c>
      <c r="H505" s="2" t="s">
        <v>2230</v>
      </c>
      <c r="I505" s="3">
        <v>45646</v>
      </c>
      <c r="J505" s="2" t="s">
        <v>1785</v>
      </c>
      <c r="K505" s="2"/>
      <c r="L505" s="2"/>
      <c r="M505" s="2" t="s">
        <v>2291</v>
      </c>
    </row>
    <row r="506" spans="1:13" x14ac:dyDescent="0.25">
      <c r="A506" s="3" t="s">
        <v>2225</v>
      </c>
      <c r="B506" s="3">
        <v>43732</v>
      </c>
      <c r="C506" s="2" t="s">
        <v>59</v>
      </c>
      <c r="D506" s="2">
        <v>5</v>
      </c>
      <c r="E506" s="2" t="s">
        <v>2240</v>
      </c>
      <c r="F506" s="2" t="s">
        <v>2287</v>
      </c>
      <c r="G506" s="2">
        <v>22</v>
      </c>
      <c r="H506" s="2" t="s">
        <v>2230</v>
      </c>
      <c r="I506" s="3">
        <v>45646</v>
      </c>
      <c r="J506" s="2" t="s">
        <v>1785</v>
      </c>
      <c r="K506" s="2"/>
      <c r="L506" s="2"/>
      <c r="M506" s="2" t="s">
        <v>2291</v>
      </c>
    </row>
    <row r="507" spans="1:13" x14ac:dyDescent="0.25">
      <c r="A507" s="3" t="s">
        <v>2225</v>
      </c>
      <c r="B507" s="3">
        <v>43732</v>
      </c>
      <c r="C507" s="2" t="s">
        <v>59</v>
      </c>
      <c r="D507" s="2">
        <v>5</v>
      </c>
      <c r="E507" s="2" t="s">
        <v>2240</v>
      </c>
      <c r="F507" s="2" t="s">
        <v>2288</v>
      </c>
      <c r="G507" s="2">
        <v>32</v>
      </c>
      <c r="H507" s="2" t="s">
        <v>2230</v>
      </c>
      <c r="I507" s="3">
        <v>45646</v>
      </c>
      <c r="J507" s="2" t="s">
        <v>1785</v>
      </c>
      <c r="K507" s="2"/>
      <c r="L507" s="2"/>
      <c r="M507" s="2" t="s">
        <v>2291</v>
      </c>
    </row>
    <row r="508" spans="1:13" x14ac:dyDescent="0.25">
      <c r="A508" s="3" t="s">
        <v>2225</v>
      </c>
      <c r="B508" s="3">
        <v>43732</v>
      </c>
      <c r="C508" s="2" t="s">
        <v>59</v>
      </c>
      <c r="D508" s="2">
        <v>5</v>
      </c>
      <c r="E508" s="2" t="s">
        <v>2240</v>
      </c>
      <c r="F508" s="2" t="s">
        <v>2289</v>
      </c>
      <c r="G508" s="2">
        <v>27</v>
      </c>
      <c r="H508" s="2" t="s">
        <v>2230</v>
      </c>
      <c r="I508" s="3">
        <v>45646</v>
      </c>
      <c r="J508" s="2" t="s">
        <v>1785</v>
      </c>
      <c r="K508" s="2"/>
      <c r="L508" s="2"/>
      <c r="M508" s="2" t="s">
        <v>2291</v>
      </c>
    </row>
    <row r="509" spans="1:13" x14ac:dyDescent="0.25">
      <c r="A509" s="3" t="s">
        <v>2225</v>
      </c>
      <c r="B509" s="3">
        <v>43732</v>
      </c>
      <c r="C509" s="2" t="s">
        <v>59</v>
      </c>
      <c r="D509" s="2">
        <v>5</v>
      </c>
      <c r="E509" s="2" t="s">
        <v>2241</v>
      </c>
      <c r="F509" s="2" t="s">
        <v>2246</v>
      </c>
      <c r="G509" s="2">
        <v>54</v>
      </c>
      <c r="H509" s="2" t="s">
        <v>2230</v>
      </c>
      <c r="I509" s="3">
        <v>45646</v>
      </c>
      <c r="J509" s="2" t="s">
        <v>1785</v>
      </c>
      <c r="K509" s="2"/>
      <c r="L509" s="2"/>
      <c r="M509" s="2" t="s">
        <v>2291</v>
      </c>
    </row>
    <row r="510" spans="1:13" x14ac:dyDescent="0.25">
      <c r="A510" s="3" t="s">
        <v>2225</v>
      </c>
      <c r="B510" s="3">
        <v>43732</v>
      </c>
      <c r="C510" s="2" t="s">
        <v>59</v>
      </c>
      <c r="D510" s="2">
        <v>5</v>
      </c>
      <c r="E510" s="2" t="s">
        <v>2241</v>
      </c>
      <c r="F510" s="2" t="s">
        <v>2247</v>
      </c>
      <c r="G510" s="2">
        <v>21</v>
      </c>
      <c r="H510" s="2" t="s">
        <v>2230</v>
      </c>
      <c r="I510" s="3">
        <v>45646</v>
      </c>
      <c r="J510" s="2" t="s">
        <v>1785</v>
      </c>
      <c r="K510" s="2"/>
      <c r="L510" s="2"/>
      <c r="M510" s="2" t="s">
        <v>2291</v>
      </c>
    </row>
    <row r="511" spans="1:13" x14ac:dyDescent="0.25">
      <c r="A511" s="3" t="s">
        <v>2225</v>
      </c>
      <c r="B511" s="3">
        <v>43732</v>
      </c>
      <c r="C511" s="2" t="s">
        <v>59</v>
      </c>
      <c r="D511" s="2">
        <v>5</v>
      </c>
      <c r="E511" s="2" t="s">
        <v>2241</v>
      </c>
      <c r="F511" s="2" t="s">
        <v>2248</v>
      </c>
      <c r="G511" s="2">
        <v>12</v>
      </c>
      <c r="H511" s="2" t="s">
        <v>2230</v>
      </c>
      <c r="I511" s="3">
        <v>45646</v>
      </c>
      <c r="J511" s="2" t="s">
        <v>1785</v>
      </c>
      <c r="K511" s="2"/>
      <c r="L511" s="2"/>
      <c r="M511" s="2" t="s">
        <v>2291</v>
      </c>
    </row>
    <row r="512" spans="1:13" x14ac:dyDescent="0.25">
      <c r="A512" s="3" t="s">
        <v>2225</v>
      </c>
      <c r="B512" s="3">
        <v>43732</v>
      </c>
      <c r="C512" s="2" t="s">
        <v>59</v>
      </c>
      <c r="D512" s="2">
        <v>5</v>
      </c>
      <c r="E512" s="2" t="s">
        <v>2241</v>
      </c>
      <c r="F512" s="2" t="s">
        <v>2249</v>
      </c>
      <c r="G512" s="2">
        <v>25</v>
      </c>
      <c r="H512" s="2" t="s">
        <v>2230</v>
      </c>
      <c r="I512" s="3">
        <v>45646</v>
      </c>
      <c r="J512" s="2" t="s">
        <v>1785</v>
      </c>
      <c r="K512" s="2"/>
      <c r="L512" s="2"/>
      <c r="M512" s="2" t="s">
        <v>2291</v>
      </c>
    </row>
    <row r="513" spans="1:13" x14ac:dyDescent="0.25">
      <c r="A513" s="3" t="s">
        <v>2225</v>
      </c>
      <c r="B513" s="3">
        <v>43732</v>
      </c>
      <c r="C513" s="2" t="s">
        <v>59</v>
      </c>
      <c r="D513" s="2">
        <v>5</v>
      </c>
      <c r="E513" s="2" t="s">
        <v>2241</v>
      </c>
      <c r="F513" s="2" t="s">
        <v>2250</v>
      </c>
      <c r="G513" s="2">
        <v>13</v>
      </c>
      <c r="H513" s="2" t="s">
        <v>2230</v>
      </c>
      <c r="I513" s="3">
        <v>45646</v>
      </c>
      <c r="J513" s="2" t="s">
        <v>1785</v>
      </c>
      <c r="K513" s="2"/>
      <c r="L513" s="2"/>
      <c r="M513" s="2" t="s">
        <v>2291</v>
      </c>
    </row>
    <row r="514" spans="1:13" x14ac:dyDescent="0.25">
      <c r="A514" s="3" t="s">
        <v>2225</v>
      </c>
      <c r="B514" s="3">
        <v>43732</v>
      </c>
      <c r="C514" s="2" t="s">
        <v>59</v>
      </c>
      <c r="D514" s="2">
        <v>5</v>
      </c>
      <c r="E514" s="2" t="s">
        <v>2241</v>
      </c>
      <c r="F514" s="2" t="s">
        <v>2251</v>
      </c>
      <c r="G514" s="2">
        <v>75</v>
      </c>
      <c r="H514" s="2" t="s">
        <v>2230</v>
      </c>
      <c r="I514" s="3">
        <v>45646</v>
      </c>
      <c r="J514" s="2" t="s">
        <v>1785</v>
      </c>
      <c r="K514" s="2"/>
      <c r="L514" s="2"/>
      <c r="M514" s="2" t="s">
        <v>2291</v>
      </c>
    </row>
    <row r="515" spans="1:13" x14ac:dyDescent="0.25">
      <c r="A515" s="3" t="s">
        <v>2225</v>
      </c>
      <c r="B515" s="3">
        <v>43732</v>
      </c>
      <c r="C515" s="2" t="s">
        <v>59</v>
      </c>
      <c r="D515" s="2">
        <v>5</v>
      </c>
      <c r="E515" s="2" t="s">
        <v>2241</v>
      </c>
      <c r="F515" s="2" t="s">
        <v>2252</v>
      </c>
      <c r="G515" s="2">
        <v>20</v>
      </c>
      <c r="H515" s="2" t="s">
        <v>2230</v>
      </c>
      <c r="I515" s="3">
        <v>45646</v>
      </c>
      <c r="J515" s="2" t="s">
        <v>1785</v>
      </c>
      <c r="K515" s="2"/>
      <c r="L515" s="2"/>
      <c r="M515" s="2" t="s">
        <v>2291</v>
      </c>
    </row>
    <row r="516" spans="1:13" x14ac:dyDescent="0.25">
      <c r="A516" s="3" t="s">
        <v>2225</v>
      </c>
      <c r="B516" s="3">
        <v>43732</v>
      </c>
      <c r="C516" s="2" t="s">
        <v>59</v>
      </c>
      <c r="D516" s="2">
        <v>5</v>
      </c>
      <c r="E516" s="2" t="s">
        <v>2241</v>
      </c>
      <c r="F516" s="2" t="s">
        <v>2253</v>
      </c>
      <c r="G516" s="2">
        <v>63</v>
      </c>
      <c r="H516" s="2" t="s">
        <v>2230</v>
      </c>
      <c r="I516" s="3">
        <v>45646</v>
      </c>
      <c r="J516" s="2" t="s">
        <v>1785</v>
      </c>
      <c r="K516" s="2"/>
      <c r="L516" s="2"/>
      <c r="M516" s="2" t="s">
        <v>2291</v>
      </c>
    </row>
    <row r="517" spans="1:13" x14ac:dyDescent="0.25">
      <c r="A517" s="3" t="s">
        <v>2225</v>
      </c>
      <c r="B517" s="3">
        <v>43732</v>
      </c>
      <c r="C517" s="2" t="s">
        <v>59</v>
      </c>
      <c r="D517" s="2">
        <v>5</v>
      </c>
      <c r="E517" s="2" t="s">
        <v>2241</v>
      </c>
      <c r="F517" s="2" t="s">
        <v>2254</v>
      </c>
      <c r="G517" s="2">
        <v>16</v>
      </c>
      <c r="H517" s="2" t="s">
        <v>2230</v>
      </c>
      <c r="I517" s="3">
        <v>45646</v>
      </c>
      <c r="J517" s="2" t="s">
        <v>1785</v>
      </c>
      <c r="K517" s="2"/>
      <c r="L517" s="2"/>
      <c r="M517" s="2" t="s">
        <v>2291</v>
      </c>
    </row>
    <row r="518" spans="1:13" x14ac:dyDescent="0.25">
      <c r="A518" s="3" t="s">
        <v>2225</v>
      </c>
      <c r="B518" s="3">
        <v>43732</v>
      </c>
      <c r="C518" s="2" t="s">
        <v>59</v>
      </c>
      <c r="D518" s="2">
        <v>5</v>
      </c>
      <c r="E518" s="2" t="s">
        <v>2241</v>
      </c>
      <c r="F518" s="2" t="s">
        <v>2240</v>
      </c>
      <c r="G518" s="2">
        <v>65</v>
      </c>
      <c r="H518" s="2" t="s">
        <v>2230</v>
      </c>
      <c r="I518" s="3">
        <v>45646</v>
      </c>
      <c r="J518" s="2" t="s">
        <v>1785</v>
      </c>
      <c r="K518" s="2"/>
      <c r="L518" s="2"/>
      <c r="M518" s="2" t="s">
        <v>2291</v>
      </c>
    </row>
    <row r="519" spans="1:13" x14ac:dyDescent="0.25">
      <c r="A519" s="3" t="s">
        <v>2225</v>
      </c>
      <c r="B519" s="3">
        <v>43732</v>
      </c>
      <c r="C519" s="2" t="s">
        <v>59</v>
      </c>
      <c r="D519" s="2">
        <v>5</v>
      </c>
      <c r="E519" s="2" t="s">
        <v>2241</v>
      </c>
      <c r="F519" s="2" t="s">
        <v>2241</v>
      </c>
      <c r="G519" s="2">
        <v>16</v>
      </c>
      <c r="H519" s="2" t="s">
        <v>2230</v>
      </c>
      <c r="I519" s="3">
        <v>45646</v>
      </c>
      <c r="J519" s="2" t="s">
        <v>1785</v>
      </c>
      <c r="K519" s="2"/>
      <c r="L519" s="2"/>
      <c r="M519" s="2" t="s">
        <v>2291</v>
      </c>
    </row>
    <row r="520" spans="1:13" x14ac:dyDescent="0.25">
      <c r="A520" s="3" t="s">
        <v>2225</v>
      </c>
      <c r="B520" s="3">
        <v>43732</v>
      </c>
      <c r="C520" s="2" t="s">
        <v>59</v>
      </c>
      <c r="D520" s="2">
        <v>5</v>
      </c>
      <c r="E520" s="2" t="s">
        <v>2241</v>
      </c>
      <c r="F520" s="2" t="s">
        <v>2242</v>
      </c>
      <c r="G520" s="2">
        <v>22</v>
      </c>
      <c r="H520" s="2" t="s">
        <v>2230</v>
      </c>
      <c r="I520" s="3">
        <v>45646</v>
      </c>
      <c r="J520" s="2" t="s">
        <v>1785</v>
      </c>
      <c r="K520" s="2"/>
      <c r="L520" s="2"/>
      <c r="M520" s="2" t="s">
        <v>2291</v>
      </c>
    </row>
    <row r="521" spans="1:13" x14ac:dyDescent="0.25">
      <c r="A521" s="3" t="s">
        <v>2225</v>
      </c>
      <c r="B521" s="3">
        <v>43732</v>
      </c>
      <c r="C521" s="2" t="s">
        <v>59</v>
      </c>
      <c r="D521" s="2">
        <v>5</v>
      </c>
      <c r="E521" s="2" t="s">
        <v>2241</v>
      </c>
      <c r="F521" s="2" t="s">
        <v>2243</v>
      </c>
      <c r="G521" s="2">
        <v>5</v>
      </c>
      <c r="H521" s="2" t="s">
        <v>2230</v>
      </c>
      <c r="I521" s="3">
        <v>45646</v>
      </c>
      <c r="J521" s="2" t="s">
        <v>1785</v>
      </c>
      <c r="K521" s="2"/>
      <c r="L521" s="2"/>
      <c r="M521" s="2" t="s">
        <v>2291</v>
      </c>
    </row>
    <row r="522" spans="1:13" x14ac:dyDescent="0.25">
      <c r="A522" s="3" t="s">
        <v>2225</v>
      </c>
      <c r="B522" s="3">
        <v>43732</v>
      </c>
      <c r="C522" s="2" t="s">
        <v>59</v>
      </c>
      <c r="D522" s="2">
        <v>5</v>
      </c>
      <c r="E522" s="2" t="s">
        <v>2241</v>
      </c>
      <c r="F522" s="2" t="s">
        <v>2244</v>
      </c>
      <c r="G522" s="2">
        <v>20</v>
      </c>
      <c r="H522" s="2" t="s">
        <v>2230</v>
      </c>
      <c r="I522" s="3">
        <v>45646</v>
      </c>
      <c r="J522" s="2" t="s">
        <v>1785</v>
      </c>
      <c r="K522" s="2"/>
      <c r="L522" s="2"/>
      <c r="M522" s="2" t="s">
        <v>2291</v>
      </c>
    </row>
    <row r="523" spans="1:13" x14ac:dyDescent="0.25">
      <c r="A523" s="3" t="s">
        <v>2225</v>
      </c>
      <c r="B523" s="3">
        <v>43732</v>
      </c>
      <c r="C523" s="2" t="s">
        <v>59</v>
      </c>
      <c r="D523" s="2">
        <v>5</v>
      </c>
      <c r="E523" s="2" t="s">
        <v>2241</v>
      </c>
      <c r="F523" s="2" t="s">
        <v>2245</v>
      </c>
      <c r="G523" s="2">
        <v>19</v>
      </c>
      <c r="H523" s="2" t="s">
        <v>2230</v>
      </c>
      <c r="I523" s="3">
        <v>45646</v>
      </c>
      <c r="J523" s="2" t="s">
        <v>1785</v>
      </c>
      <c r="K523" s="2"/>
      <c r="L523" s="2"/>
      <c r="M523" s="2" t="s">
        <v>2291</v>
      </c>
    </row>
    <row r="524" spans="1:13" x14ac:dyDescent="0.25">
      <c r="A524" s="3" t="s">
        <v>2225</v>
      </c>
      <c r="B524" s="3">
        <v>43732</v>
      </c>
      <c r="C524" s="2" t="s">
        <v>59</v>
      </c>
      <c r="D524" s="2">
        <v>5</v>
      </c>
      <c r="E524" s="2" t="s">
        <v>2241</v>
      </c>
      <c r="F524" s="2" t="s">
        <v>2255</v>
      </c>
      <c r="G524" s="2">
        <v>28</v>
      </c>
      <c r="H524" s="2" t="s">
        <v>2230</v>
      </c>
      <c r="I524" s="3">
        <v>45646</v>
      </c>
      <c r="J524" s="2" t="s">
        <v>1785</v>
      </c>
      <c r="K524" s="2"/>
      <c r="L524" s="2"/>
      <c r="M524" s="2" t="s">
        <v>2291</v>
      </c>
    </row>
    <row r="525" spans="1:13" x14ac:dyDescent="0.25">
      <c r="A525" s="3" t="s">
        <v>2225</v>
      </c>
      <c r="B525" s="3">
        <v>43732</v>
      </c>
      <c r="C525" s="2" t="s">
        <v>59</v>
      </c>
      <c r="D525" s="2">
        <v>5</v>
      </c>
      <c r="E525" s="2" t="s">
        <v>2241</v>
      </c>
      <c r="F525" s="2" t="s">
        <v>2256</v>
      </c>
      <c r="G525" s="2">
        <v>11</v>
      </c>
      <c r="H525" s="2" t="s">
        <v>2230</v>
      </c>
      <c r="I525" s="3">
        <v>45646</v>
      </c>
      <c r="J525" s="2" t="s">
        <v>1785</v>
      </c>
      <c r="K525" s="2"/>
      <c r="L525" s="2"/>
      <c r="M525" s="2" t="s">
        <v>2291</v>
      </c>
    </row>
    <row r="526" spans="1:13" x14ac:dyDescent="0.25">
      <c r="A526" s="3" t="s">
        <v>2225</v>
      </c>
      <c r="B526" s="3">
        <v>43732</v>
      </c>
      <c r="C526" s="2" t="s">
        <v>59</v>
      </c>
      <c r="D526" s="2">
        <v>5</v>
      </c>
      <c r="E526" s="2" t="s">
        <v>2241</v>
      </c>
      <c r="F526" s="2" t="s">
        <v>2257</v>
      </c>
      <c r="G526" s="2">
        <v>7</v>
      </c>
      <c r="H526" s="2" t="s">
        <v>2230</v>
      </c>
      <c r="I526" s="3">
        <v>45646</v>
      </c>
      <c r="J526" s="2" t="s">
        <v>1785</v>
      </c>
      <c r="K526" s="2"/>
      <c r="L526" s="2"/>
      <c r="M526" s="2" t="s">
        <v>2291</v>
      </c>
    </row>
    <row r="527" spans="1:13" x14ac:dyDescent="0.25">
      <c r="A527" s="3" t="s">
        <v>2225</v>
      </c>
      <c r="B527" s="3">
        <v>43732</v>
      </c>
      <c r="C527" s="2" t="s">
        <v>59</v>
      </c>
      <c r="D527" s="2">
        <v>5</v>
      </c>
      <c r="E527" s="2" t="s">
        <v>2241</v>
      </c>
      <c r="F527" s="2" t="s">
        <v>2258</v>
      </c>
      <c r="G527" s="2">
        <v>4</v>
      </c>
      <c r="H527" s="2" t="s">
        <v>2230</v>
      </c>
      <c r="I527" s="3">
        <v>45646</v>
      </c>
      <c r="J527" s="2" t="s">
        <v>1785</v>
      </c>
      <c r="K527" s="2"/>
      <c r="L527" s="2"/>
      <c r="M527" s="2" t="s">
        <v>2291</v>
      </c>
    </row>
    <row r="528" spans="1:13" x14ac:dyDescent="0.25">
      <c r="A528" s="3" t="s">
        <v>2225</v>
      </c>
      <c r="B528" s="3">
        <v>43732</v>
      </c>
      <c r="C528" s="2" t="s">
        <v>59</v>
      </c>
      <c r="D528" s="2">
        <v>5</v>
      </c>
      <c r="E528" s="2" t="s">
        <v>2241</v>
      </c>
      <c r="F528" s="2" t="s">
        <v>2259</v>
      </c>
      <c r="G528" s="2">
        <v>47</v>
      </c>
      <c r="H528" s="2" t="s">
        <v>2230</v>
      </c>
      <c r="I528" s="3">
        <v>45646</v>
      </c>
      <c r="J528" s="2" t="s">
        <v>1785</v>
      </c>
      <c r="K528" s="2"/>
      <c r="L528" s="2"/>
      <c r="M528" s="2" t="s">
        <v>2291</v>
      </c>
    </row>
    <row r="529" spans="1:13" x14ac:dyDescent="0.25">
      <c r="A529" s="3" t="s">
        <v>2225</v>
      </c>
      <c r="B529" s="3">
        <v>43732</v>
      </c>
      <c r="C529" s="2" t="s">
        <v>59</v>
      </c>
      <c r="D529" s="2">
        <v>5</v>
      </c>
      <c r="E529" s="2" t="s">
        <v>2241</v>
      </c>
      <c r="F529" s="2" t="s">
        <v>2260</v>
      </c>
      <c r="G529" s="2">
        <v>28</v>
      </c>
      <c r="H529" s="2" t="s">
        <v>2230</v>
      </c>
      <c r="I529" s="3">
        <v>45646</v>
      </c>
      <c r="J529" s="2" t="s">
        <v>1785</v>
      </c>
      <c r="K529" s="2"/>
      <c r="L529" s="2"/>
      <c r="M529" s="2" t="s">
        <v>2291</v>
      </c>
    </row>
    <row r="530" spans="1:13" x14ac:dyDescent="0.25">
      <c r="A530" s="3" t="s">
        <v>2225</v>
      </c>
      <c r="B530" s="3">
        <v>43732</v>
      </c>
      <c r="C530" s="2" t="s">
        <v>59</v>
      </c>
      <c r="D530" s="2">
        <v>5</v>
      </c>
      <c r="E530" s="2" t="s">
        <v>2241</v>
      </c>
      <c r="F530" s="2" t="s">
        <v>2261</v>
      </c>
      <c r="G530" s="2">
        <v>26</v>
      </c>
      <c r="H530" s="2" t="s">
        <v>2230</v>
      </c>
      <c r="I530" s="3">
        <v>45646</v>
      </c>
      <c r="J530" s="2" t="s">
        <v>1785</v>
      </c>
      <c r="K530" s="2"/>
      <c r="L530" s="2"/>
      <c r="M530" s="2" t="s">
        <v>2291</v>
      </c>
    </row>
    <row r="531" spans="1:13" x14ac:dyDescent="0.25">
      <c r="A531" s="3" t="s">
        <v>2225</v>
      </c>
      <c r="B531" s="3">
        <v>43732</v>
      </c>
      <c r="C531" s="2" t="s">
        <v>59</v>
      </c>
      <c r="D531" s="2">
        <v>5</v>
      </c>
      <c r="E531" s="2" t="s">
        <v>2241</v>
      </c>
      <c r="F531" s="2" t="s">
        <v>2262</v>
      </c>
      <c r="G531" s="2">
        <v>12</v>
      </c>
      <c r="H531" s="2" t="s">
        <v>2230</v>
      </c>
      <c r="I531" s="3">
        <v>45646</v>
      </c>
      <c r="J531" s="2" t="s">
        <v>1785</v>
      </c>
      <c r="K531" s="2"/>
      <c r="L531" s="2"/>
      <c r="M531" s="2" t="s">
        <v>2291</v>
      </c>
    </row>
    <row r="532" spans="1:13" x14ac:dyDescent="0.25">
      <c r="A532" s="3" t="s">
        <v>2225</v>
      </c>
      <c r="B532" s="3">
        <v>43732</v>
      </c>
      <c r="C532" s="2" t="s">
        <v>59</v>
      </c>
      <c r="D532" s="2">
        <v>5</v>
      </c>
      <c r="E532" s="2" t="s">
        <v>2241</v>
      </c>
      <c r="F532" s="2" t="s">
        <v>2263</v>
      </c>
      <c r="G532" s="2">
        <v>9</v>
      </c>
      <c r="H532" s="2" t="s">
        <v>2230</v>
      </c>
      <c r="I532" s="3">
        <v>45646</v>
      </c>
      <c r="J532" s="2" t="s">
        <v>1785</v>
      </c>
      <c r="K532" s="2"/>
      <c r="L532" s="2"/>
      <c r="M532" s="2" t="s">
        <v>2291</v>
      </c>
    </row>
    <row r="533" spans="1:13" x14ac:dyDescent="0.25">
      <c r="A533" s="3" t="s">
        <v>2225</v>
      </c>
      <c r="B533" s="3">
        <v>43732</v>
      </c>
      <c r="C533" s="2" t="s">
        <v>59</v>
      </c>
      <c r="D533" s="2">
        <v>5</v>
      </c>
      <c r="E533" s="2" t="s">
        <v>2241</v>
      </c>
      <c r="F533" s="2" t="s">
        <v>2264</v>
      </c>
      <c r="G533" s="2">
        <v>4</v>
      </c>
      <c r="H533" s="2" t="s">
        <v>2230</v>
      </c>
      <c r="I533" s="3">
        <v>45646</v>
      </c>
      <c r="J533" s="2" t="s">
        <v>1785</v>
      </c>
      <c r="K533" s="2"/>
      <c r="L533" s="2"/>
      <c r="M533" s="2" t="s">
        <v>2291</v>
      </c>
    </row>
    <row r="534" spans="1:13" x14ac:dyDescent="0.25">
      <c r="A534" s="3" t="s">
        <v>2225</v>
      </c>
      <c r="B534" s="3">
        <v>43732</v>
      </c>
      <c r="C534" s="2" t="s">
        <v>59</v>
      </c>
      <c r="D534" s="2">
        <v>5</v>
      </c>
      <c r="E534" s="2" t="s">
        <v>2241</v>
      </c>
      <c r="F534" s="2" t="s">
        <v>2265</v>
      </c>
      <c r="G534" s="2">
        <v>8</v>
      </c>
      <c r="H534" s="2" t="s">
        <v>2230</v>
      </c>
      <c r="I534" s="3">
        <v>45646</v>
      </c>
      <c r="J534" s="2" t="s">
        <v>1785</v>
      </c>
      <c r="K534" s="2"/>
      <c r="L534" s="2"/>
      <c r="M534" s="2" t="s">
        <v>2291</v>
      </c>
    </row>
    <row r="535" spans="1:13" x14ac:dyDescent="0.25">
      <c r="A535" s="3" t="s">
        <v>2225</v>
      </c>
      <c r="B535" s="3">
        <v>43732</v>
      </c>
      <c r="C535" s="2" t="s">
        <v>59</v>
      </c>
      <c r="D535" s="2">
        <v>5</v>
      </c>
      <c r="E535" s="2" t="s">
        <v>2241</v>
      </c>
      <c r="F535" s="2" t="s">
        <v>2266</v>
      </c>
      <c r="G535" s="2">
        <v>10</v>
      </c>
      <c r="H535" s="2" t="s">
        <v>2230</v>
      </c>
      <c r="I535" s="3">
        <v>45646</v>
      </c>
      <c r="J535" s="2" t="s">
        <v>1785</v>
      </c>
      <c r="K535" s="2"/>
      <c r="L535" s="2"/>
      <c r="M535" s="2" t="s">
        <v>2291</v>
      </c>
    </row>
    <row r="536" spans="1:13" x14ac:dyDescent="0.25">
      <c r="A536" s="3" t="s">
        <v>2225</v>
      </c>
      <c r="B536" s="3">
        <v>43732</v>
      </c>
      <c r="C536" s="2" t="s">
        <v>59</v>
      </c>
      <c r="D536" s="2">
        <v>5</v>
      </c>
      <c r="E536" s="2" t="s">
        <v>2241</v>
      </c>
      <c r="F536" s="2" t="s">
        <v>2267</v>
      </c>
      <c r="G536" s="2">
        <v>20</v>
      </c>
      <c r="H536" s="2" t="s">
        <v>2230</v>
      </c>
      <c r="I536" s="3">
        <v>45646</v>
      </c>
      <c r="J536" s="2" t="s">
        <v>1785</v>
      </c>
      <c r="K536" s="2"/>
      <c r="L536" s="2"/>
      <c r="M536" s="2" t="s">
        <v>2291</v>
      </c>
    </row>
    <row r="537" spans="1:13" x14ac:dyDescent="0.25">
      <c r="A537" s="3" t="s">
        <v>2225</v>
      </c>
      <c r="B537" s="3">
        <v>43732</v>
      </c>
      <c r="C537" s="2" t="s">
        <v>59</v>
      </c>
      <c r="D537" s="2">
        <v>5</v>
      </c>
      <c r="E537" s="2" t="s">
        <v>2241</v>
      </c>
      <c r="F537" s="2" t="s">
        <v>2268</v>
      </c>
      <c r="G537" s="2">
        <v>10</v>
      </c>
      <c r="H537" s="2" t="s">
        <v>2230</v>
      </c>
      <c r="I537" s="3">
        <v>45646</v>
      </c>
      <c r="J537" s="2" t="s">
        <v>1785</v>
      </c>
      <c r="K537" s="2"/>
      <c r="L537" s="2"/>
      <c r="M537" s="2" t="s">
        <v>2291</v>
      </c>
    </row>
    <row r="538" spans="1:13" x14ac:dyDescent="0.25">
      <c r="A538" s="3" t="s">
        <v>2225</v>
      </c>
      <c r="B538" s="3">
        <v>43732</v>
      </c>
      <c r="C538" s="2" t="s">
        <v>59</v>
      </c>
      <c r="D538" s="2">
        <v>5</v>
      </c>
      <c r="E538" s="2" t="s">
        <v>2241</v>
      </c>
      <c r="F538" s="2" t="s">
        <v>2269</v>
      </c>
      <c r="G538" s="2">
        <v>30</v>
      </c>
      <c r="H538" s="2" t="s">
        <v>2230</v>
      </c>
      <c r="I538" s="3">
        <v>45646</v>
      </c>
      <c r="J538" s="2" t="s">
        <v>1785</v>
      </c>
      <c r="K538" s="2"/>
      <c r="L538" s="2"/>
      <c r="M538" s="2" t="s">
        <v>2291</v>
      </c>
    </row>
    <row r="539" spans="1:13" x14ac:dyDescent="0.25">
      <c r="A539" s="3" t="s">
        <v>2225</v>
      </c>
      <c r="B539" s="3">
        <v>43732</v>
      </c>
      <c r="C539" s="2" t="s">
        <v>59</v>
      </c>
      <c r="D539" s="2">
        <v>5</v>
      </c>
      <c r="E539" s="2" t="s">
        <v>2241</v>
      </c>
      <c r="F539" s="2" t="s">
        <v>2270</v>
      </c>
      <c r="G539" s="2">
        <v>9</v>
      </c>
      <c r="H539" s="2" t="s">
        <v>2230</v>
      </c>
      <c r="I539" s="3">
        <v>45646</v>
      </c>
      <c r="J539" s="2" t="s">
        <v>1785</v>
      </c>
      <c r="K539" s="2"/>
      <c r="L539" s="2"/>
      <c r="M539" s="2" t="s">
        <v>2291</v>
      </c>
    </row>
    <row r="540" spans="1:13" x14ac:dyDescent="0.25">
      <c r="A540" s="3" t="s">
        <v>2225</v>
      </c>
      <c r="B540" s="3">
        <v>43732</v>
      </c>
      <c r="C540" s="2" t="s">
        <v>59</v>
      </c>
      <c r="D540" s="2">
        <v>5</v>
      </c>
      <c r="E540" s="2" t="s">
        <v>2241</v>
      </c>
      <c r="F540" s="2" t="s">
        <v>2271</v>
      </c>
      <c r="G540" s="2">
        <v>36</v>
      </c>
      <c r="H540" s="2" t="s">
        <v>2230</v>
      </c>
      <c r="I540" s="3">
        <v>45646</v>
      </c>
      <c r="J540" s="2" t="s">
        <v>1785</v>
      </c>
      <c r="K540" s="2"/>
      <c r="L540" s="2"/>
      <c r="M540" s="2" t="s">
        <v>2291</v>
      </c>
    </row>
    <row r="541" spans="1:13" x14ac:dyDescent="0.25">
      <c r="A541" s="3" t="s">
        <v>2225</v>
      </c>
      <c r="B541" s="3">
        <v>43732</v>
      </c>
      <c r="C541" s="2" t="s">
        <v>59</v>
      </c>
      <c r="D541" s="2">
        <v>5</v>
      </c>
      <c r="E541" s="2" t="s">
        <v>2241</v>
      </c>
      <c r="F541" s="2" t="s">
        <v>2272</v>
      </c>
      <c r="G541" s="2">
        <v>23</v>
      </c>
      <c r="H541" s="2" t="s">
        <v>2230</v>
      </c>
      <c r="I541" s="3">
        <v>45646</v>
      </c>
      <c r="J541" s="2" t="s">
        <v>1785</v>
      </c>
      <c r="K541" s="2"/>
      <c r="L541" s="2"/>
      <c r="M541" s="2" t="s">
        <v>2291</v>
      </c>
    </row>
    <row r="542" spans="1:13" x14ac:dyDescent="0.25">
      <c r="A542" s="3" t="s">
        <v>2225</v>
      </c>
      <c r="B542" s="3">
        <v>43732</v>
      </c>
      <c r="C542" s="2" t="s">
        <v>59</v>
      </c>
      <c r="D542" s="2">
        <v>5</v>
      </c>
      <c r="E542" s="2" t="s">
        <v>2241</v>
      </c>
      <c r="F542" s="2" t="s">
        <v>2273</v>
      </c>
      <c r="G542" s="2">
        <v>23</v>
      </c>
      <c r="H542" s="2" t="s">
        <v>2230</v>
      </c>
      <c r="I542" s="3">
        <v>45646</v>
      </c>
      <c r="J542" s="2" t="s">
        <v>1785</v>
      </c>
      <c r="K542" s="2"/>
      <c r="L542" s="2"/>
      <c r="M542" s="2" t="s">
        <v>2291</v>
      </c>
    </row>
    <row r="543" spans="1:13" x14ac:dyDescent="0.25">
      <c r="A543" s="3" t="s">
        <v>2225</v>
      </c>
      <c r="B543" s="3">
        <v>43732</v>
      </c>
      <c r="C543" s="2" t="s">
        <v>59</v>
      </c>
      <c r="D543" s="2">
        <v>5</v>
      </c>
      <c r="E543" s="2" t="s">
        <v>2241</v>
      </c>
      <c r="F543" s="2" t="s">
        <v>2274</v>
      </c>
      <c r="G543" s="2">
        <v>22</v>
      </c>
      <c r="H543" s="2" t="s">
        <v>2230</v>
      </c>
      <c r="I543" s="3">
        <v>45646</v>
      </c>
      <c r="J543" s="2" t="s">
        <v>1785</v>
      </c>
      <c r="K543" s="2"/>
      <c r="L543" s="2"/>
      <c r="M543" s="2" t="s">
        <v>2291</v>
      </c>
    </row>
    <row r="544" spans="1:13" x14ac:dyDescent="0.25">
      <c r="A544" s="3" t="s">
        <v>2225</v>
      </c>
      <c r="B544" s="3">
        <v>43732</v>
      </c>
      <c r="C544" s="2" t="s">
        <v>59</v>
      </c>
      <c r="D544" s="2">
        <v>5</v>
      </c>
      <c r="E544" s="2" t="s">
        <v>2241</v>
      </c>
      <c r="F544" s="2" t="s">
        <v>2275</v>
      </c>
      <c r="G544" s="2">
        <v>25</v>
      </c>
      <c r="H544" s="2" t="s">
        <v>2230</v>
      </c>
      <c r="I544" s="3">
        <v>45646</v>
      </c>
      <c r="J544" s="2" t="s">
        <v>1785</v>
      </c>
      <c r="K544" s="2"/>
      <c r="L544" s="2"/>
      <c r="M544" s="2" t="s">
        <v>2291</v>
      </c>
    </row>
    <row r="545" spans="1:13" x14ac:dyDescent="0.25">
      <c r="A545" s="3" t="s">
        <v>2225</v>
      </c>
      <c r="B545" s="3">
        <v>43732</v>
      </c>
      <c r="C545" s="2" t="s">
        <v>59</v>
      </c>
      <c r="D545" s="2">
        <v>5</v>
      </c>
      <c r="E545" s="2" t="s">
        <v>2241</v>
      </c>
      <c r="F545" s="2" t="s">
        <v>2276</v>
      </c>
      <c r="G545" s="2">
        <v>18</v>
      </c>
      <c r="H545" s="2" t="s">
        <v>2230</v>
      </c>
      <c r="I545" s="3">
        <v>45646</v>
      </c>
      <c r="J545" s="2" t="s">
        <v>1785</v>
      </c>
      <c r="K545" s="2"/>
      <c r="L545" s="2"/>
      <c r="M545" s="2" t="s">
        <v>2291</v>
      </c>
    </row>
    <row r="546" spans="1:13" x14ac:dyDescent="0.25">
      <c r="A546" s="3" t="s">
        <v>2225</v>
      </c>
      <c r="B546" s="3">
        <v>43732</v>
      </c>
      <c r="C546" s="2" t="s">
        <v>59</v>
      </c>
      <c r="D546" s="2">
        <v>5</v>
      </c>
      <c r="E546" s="2" t="s">
        <v>2241</v>
      </c>
      <c r="F546" s="2" t="s">
        <v>2277</v>
      </c>
      <c r="G546" s="2">
        <v>24</v>
      </c>
      <c r="H546" s="2" t="s">
        <v>2230</v>
      </c>
      <c r="I546" s="3">
        <v>45646</v>
      </c>
      <c r="J546" s="2" t="s">
        <v>1785</v>
      </c>
      <c r="K546" s="2"/>
      <c r="L546" s="2"/>
      <c r="M546" s="2" t="s">
        <v>2291</v>
      </c>
    </row>
    <row r="547" spans="1:13" x14ac:dyDescent="0.25">
      <c r="A547" s="3" t="s">
        <v>2225</v>
      </c>
      <c r="B547" s="3">
        <v>43732</v>
      </c>
      <c r="C547" s="2" t="s">
        <v>59</v>
      </c>
      <c r="D547" s="2">
        <v>5</v>
      </c>
      <c r="E547" s="2" t="s">
        <v>2241</v>
      </c>
      <c r="F547" s="2" t="s">
        <v>2278</v>
      </c>
      <c r="G547" s="2">
        <v>46</v>
      </c>
      <c r="H547" s="2" t="s">
        <v>2230</v>
      </c>
      <c r="I547" s="3">
        <v>45646</v>
      </c>
      <c r="J547" s="2" t="s">
        <v>1785</v>
      </c>
      <c r="K547" s="2"/>
      <c r="L547" s="2"/>
      <c r="M547" s="2" t="s">
        <v>2291</v>
      </c>
    </row>
    <row r="548" spans="1:13" x14ac:dyDescent="0.25">
      <c r="A548" s="3" t="s">
        <v>2225</v>
      </c>
      <c r="B548" s="3">
        <v>43732</v>
      </c>
      <c r="C548" s="2" t="s">
        <v>59</v>
      </c>
      <c r="D548" s="2">
        <v>5</v>
      </c>
      <c r="E548" s="2" t="s">
        <v>2241</v>
      </c>
      <c r="F548" s="2" t="s">
        <v>2279</v>
      </c>
      <c r="G548" s="2">
        <v>30</v>
      </c>
      <c r="H548" s="2" t="s">
        <v>2230</v>
      </c>
      <c r="I548" s="3">
        <v>45646</v>
      </c>
      <c r="J548" s="2" t="s">
        <v>1785</v>
      </c>
      <c r="K548" s="2"/>
      <c r="L548" s="2"/>
      <c r="M548" s="2" t="s">
        <v>2291</v>
      </c>
    </row>
    <row r="549" spans="1:13" x14ac:dyDescent="0.25">
      <c r="A549" s="3" t="s">
        <v>2225</v>
      </c>
      <c r="B549" s="3">
        <v>43732</v>
      </c>
      <c r="C549" s="2" t="s">
        <v>59</v>
      </c>
      <c r="D549" s="2">
        <v>5</v>
      </c>
      <c r="E549" s="2" t="s">
        <v>2241</v>
      </c>
      <c r="F549" s="2" t="s">
        <v>2280</v>
      </c>
      <c r="G549" s="2">
        <v>39</v>
      </c>
      <c r="H549" s="2" t="s">
        <v>2230</v>
      </c>
      <c r="I549" s="3">
        <v>45646</v>
      </c>
      <c r="J549" s="2" t="s">
        <v>1785</v>
      </c>
      <c r="K549" s="2"/>
      <c r="L549" s="2"/>
      <c r="M549" s="2" t="s">
        <v>2291</v>
      </c>
    </row>
    <row r="550" spans="1:13" x14ac:dyDescent="0.25">
      <c r="A550" s="3" t="s">
        <v>2225</v>
      </c>
      <c r="B550" s="3">
        <v>43732</v>
      </c>
      <c r="C550" s="2" t="s">
        <v>59</v>
      </c>
      <c r="D550" s="2">
        <v>5</v>
      </c>
      <c r="E550" s="2" t="s">
        <v>2241</v>
      </c>
      <c r="F550" s="2" t="s">
        <v>2281</v>
      </c>
      <c r="G550" s="2">
        <v>18</v>
      </c>
      <c r="H550" s="2" t="s">
        <v>2230</v>
      </c>
      <c r="I550" s="3">
        <v>45646</v>
      </c>
      <c r="J550" s="2" t="s">
        <v>1785</v>
      </c>
      <c r="K550" s="2"/>
      <c r="L550" s="2"/>
      <c r="M550" s="2" t="s">
        <v>2291</v>
      </c>
    </row>
    <row r="551" spans="1:13" x14ac:dyDescent="0.25">
      <c r="A551" s="3" t="s">
        <v>2225</v>
      </c>
      <c r="B551" s="3">
        <v>43732</v>
      </c>
      <c r="C551" s="2" t="s">
        <v>59</v>
      </c>
      <c r="D551" s="2">
        <v>5</v>
      </c>
      <c r="E551" s="2" t="s">
        <v>2241</v>
      </c>
      <c r="F551" s="2" t="s">
        <v>2282</v>
      </c>
      <c r="G551" s="2">
        <v>18</v>
      </c>
      <c r="H551" s="2" t="s">
        <v>2230</v>
      </c>
      <c r="I551" s="3">
        <v>45646</v>
      </c>
      <c r="J551" s="2" t="s">
        <v>1785</v>
      </c>
      <c r="K551" s="2"/>
      <c r="L551" s="2"/>
      <c r="M551" s="2" t="s">
        <v>2291</v>
      </c>
    </row>
    <row r="552" spans="1:13" x14ac:dyDescent="0.25">
      <c r="A552" s="3" t="s">
        <v>2225</v>
      </c>
      <c r="B552" s="3">
        <v>43732</v>
      </c>
      <c r="C552" s="2" t="s">
        <v>59</v>
      </c>
      <c r="D552" s="2">
        <v>5</v>
      </c>
      <c r="E552" s="2" t="s">
        <v>2241</v>
      </c>
      <c r="F552" s="2" t="s">
        <v>2283</v>
      </c>
      <c r="G552" s="2">
        <v>15</v>
      </c>
      <c r="H552" s="2" t="s">
        <v>2230</v>
      </c>
      <c r="I552" s="3">
        <v>45646</v>
      </c>
      <c r="J552" s="2" t="s">
        <v>1785</v>
      </c>
      <c r="K552" s="2"/>
      <c r="L552" s="2"/>
      <c r="M552" s="2" t="s">
        <v>2291</v>
      </c>
    </row>
    <row r="553" spans="1:13" x14ac:dyDescent="0.25">
      <c r="A553" s="3" t="s">
        <v>2225</v>
      </c>
      <c r="B553" s="3">
        <v>43732</v>
      </c>
      <c r="C553" s="2" t="s">
        <v>59</v>
      </c>
      <c r="D553" s="2">
        <v>5</v>
      </c>
      <c r="E553" s="2" t="s">
        <v>2241</v>
      </c>
      <c r="F553" s="2" t="s">
        <v>2284</v>
      </c>
      <c r="G553" s="2">
        <v>23</v>
      </c>
      <c r="H553" s="2" t="s">
        <v>2230</v>
      </c>
      <c r="I553" s="3">
        <v>45646</v>
      </c>
      <c r="J553" s="2" t="s">
        <v>1785</v>
      </c>
      <c r="K553" s="2"/>
      <c r="L553" s="2"/>
      <c r="M553" s="2" t="s">
        <v>2291</v>
      </c>
    </row>
    <row r="554" spans="1:13" x14ac:dyDescent="0.25">
      <c r="A554" s="3" t="s">
        <v>2225</v>
      </c>
      <c r="B554" s="3">
        <v>43732</v>
      </c>
      <c r="C554" s="2" t="s">
        <v>59</v>
      </c>
      <c r="D554" s="2">
        <v>5</v>
      </c>
      <c r="E554" s="2" t="s">
        <v>2241</v>
      </c>
      <c r="F554" s="2" t="s">
        <v>2285</v>
      </c>
      <c r="G554" s="2">
        <v>26</v>
      </c>
      <c r="H554" s="2" t="s">
        <v>2230</v>
      </c>
      <c r="I554" s="3">
        <v>45646</v>
      </c>
      <c r="J554" s="2" t="s">
        <v>1785</v>
      </c>
      <c r="K554" s="2"/>
      <c r="L554" s="2"/>
      <c r="M554" s="2" t="s">
        <v>2291</v>
      </c>
    </row>
    <row r="555" spans="1:13" x14ac:dyDescent="0.25">
      <c r="A555" s="3" t="s">
        <v>2225</v>
      </c>
      <c r="B555" s="3">
        <v>43732</v>
      </c>
      <c r="C555" s="2" t="s">
        <v>59</v>
      </c>
      <c r="D555" s="2">
        <v>5</v>
      </c>
      <c r="E555" s="2" t="s">
        <v>2241</v>
      </c>
      <c r="F555" s="2" t="s">
        <v>2286</v>
      </c>
      <c r="G555" s="2">
        <v>29</v>
      </c>
      <c r="H555" s="2" t="s">
        <v>2230</v>
      </c>
      <c r="I555" s="3">
        <v>45646</v>
      </c>
      <c r="J555" s="2" t="s">
        <v>1785</v>
      </c>
      <c r="K555" s="2"/>
      <c r="L555" s="2"/>
      <c r="M555" s="2" t="s">
        <v>2291</v>
      </c>
    </row>
    <row r="556" spans="1:13" x14ac:dyDescent="0.25">
      <c r="A556" s="3" t="s">
        <v>2225</v>
      </c>
      <c r="B556" s="3">
        <v>43732</v>
      </c>
      <c r="C556" s="2" t="s">
        <v>59</v>
      </c>
      <c r="D556" s="2">
        <v>5</v>
      </c>
      <c r="E556" s="2" t="s">
        <v>2241</v>
      </c>
      <c r="F556" s="2" t="s">
        <v>2287</v>
      </c>
      <c r="G556" s="2">
        <v>62</v>
      </c>
      <c r="H556" s="2" t="s">
        <v>2230</v>
      </c>
      <c r="I556" s="3">
        <v>45646</v>
      </c>
      <c r="J556" s="2" t="s">
        <v>1785</v>
      </c>
      <c r="K556" s="2"/>
      <c r="L556" s="2"/>
      <c r="M556" s="2" t="s">
        <v>2291</v>
      </c>
    </row>
    <row r="557" spans="1:13" x14ac:dyDescent="0.25">
      <c r="A557" s="3" t="s">
        <v>2225</v>
      </c>
      <c r="B557" s="3">
        <v>43732</v>
      </c>
      <c r="C557" s="2" t="s">
        <v>59</v>
      </c>
      <c r="D557" s="2">
        <v>5</v>
      </c>
      <c r="E557" s="2" t="s">
        <v>2241</v>
      </c>
      <c r="F557" s="2" t="s">
        <v>2288</v>
      </c>
      <c r="G557" s="2">
        <v>14</v>
      </c>
      <c r="H557" s="2" t="s">
        <v>2230</v>
      </c>
      <c r="I557" s="3">
        <v>45646</v>
      </c>
      <c r="J557" s="2" t="s">
        <v>1785</v>
      </c>
      <c r="K557" s="2"/>
      <c r="L557" s="2"/>
      <c r="M557" s="2" t="s">
        <v>2291</v>
      </c>
    </row>
    <row r="558" spans="1:13" x14ac:dyDescent="0.25">
      <c r="A558" s="3" t="s">
        <v>2225</v>
      </c>
      <c r="B558" s="3">
        <v>43732</v>
      </c>
      <c r="C558" s="2" t="s">
        <v>59</v>
      </c>
      <c r="D558" s="2">
        <v>5</v>
      </c>
      <c r="E558" s="2" t="s">
        <v>2241</v>
      </c>
      <c r="F558" s="2" t="s">
        <v>2289</v>
      </c>
      <c r="G558" s="2">
        <v>15</v>
      </c>
      <c r="H558" s="2" t="s">
        <v>2230</v>
      </c>
      <c r="I558" s="3">
        <v>45646</v>
      </c>
      <c r="J558" s="2" t="s">
        <v>1785</v>
      </c>
      <c r="K558" s="2"/>
      <c r="L558" s="2"/>
      <c r="M558" s="2" t="s">
        <v>2291</v>
      </c>
    </row>
    <row r="559" spans="1:13" x14ac:dyDescent="0.25">
      <c r="A559" s="3" t="s">
        <v>2225</v>
      </c>
      <c r="B559" s="3">
        <v>43732</v>
      </c>
      <c r="C559" s="2" t="s">
        <v>59</v>
      </c>
      <c r="D559" s="2">
        <v>5</v>
      </c>
      <c r="E559" s="2" t="s">
        <v>2242</v>
      </c>
      <c r="F559" s="2" t="s">
        <v>2246</v>
      </c>
      <c r="G559" s="2">
        <v>5</v>
      </c>
      <c r="H559" s="2" t="s">
        <v>2230</v>
      </c>
      <c r="I559" s="3">
        <v>45646</v>
      </c>
      <c r="J559" s="2" t="s">
        <v>1785</v>
      </c>
      <c r="K559" s="2"/>
      <c r="L559" s="2"/>
      <c r="M559" s="2" t="s">
        <v>2291</v>
      </c>
    </row>
    <row r="560" spans="1:13" x14ac:dyDescent="0.25">
      <c r="A560" s="3" t="s">
        <v>2225</v>
      </c>
      <c r="B560" s="3">
        <v>43732</v>
      </c>
      <c r="C560" s="2" t="s">
        <v>59</v>
      </c>
      <c r="D560" s="2">
        <v>5</v>
      </c>
      <c r="E560" s="2" t="s">
        <v>2242</v>
      </c>
      <c r="F560" s="2" t="s">
        <v>2247</v>
      </c>
      <c r="G560" s="2">
        <v>20</v>
      </c>
      <c r="H560" s="2" t="s">
        <v>2230</v>
      </c>
      <c r="I560" s="3">
        <v>45646</v>
      </c>
      <c r="J560" s="2" t="s">
        <v>1785</v>
      </c>
      <c r="K560" s="2"/>
      <c r="L560" s="2"/>
      <c r="M560" s="2" t="s">
        <v>2291</v>
      </c>
    </row>
    <row r="561" spans="1:13" x14ac:dyDescent="0.25">
      <c r="A561" s="3" t="s">
        <v>2225</v>
      </c>
      <c r="B561" s="3">
        <v>43732</v>
      </c>
      <c r="C561" s="2" t="s">
        <v>59</v>
      </c>
      <c r="D561" s="2">
        <v>5</v>
      </c>
      <c r="E561" s="2" t="s">
        <v>2242</v>
      </c>
      <c r="F561" s="2" t="s">
        <v>2248</v>
      </c>
      <c r="G561" s="2">
        <v>38</v>
      </c>
      <c r="H561" s="2" t="s">
        <v>2230</v>
      </c>
      <c r="I561" s="3">
        <v>45646</v>
      </c>
      <c r="J561" s="2" t="s">
        <v>1785</v>
      </c>
      <c r="K561" s="2"/>
      <c r="L561" s="2"/>
      <c r="M561" s="2" t="s">
        <v>2291</v>
      </c>
    </row>
    <row r="562" spans="1:13" x14ac:dyDescent="0.25">
      <c r="A562" s="3" t="s">
        <v>2225</v>
      </c>
      <c r="B562" s="3">
        <v>43732</v>
      </c>
      <c r="C562" s="2" t="s">
        <v>59</v>
      </c>
      <c r="D562" s="2">
        <v>5</v>
      </c>
      <c r="E562" s="2" t="s">
        <v>2242</v>
      </c>
      <c r="F562" s="2" t="s">
        <v>2249</v>
      </c>
      <c r="G562" s="2">
        <v>23</v>
      </c>
      <c r="H562" s="2" t="s">
        <v>2230</v>
      </c>
      <c r="I562" s="3">
        <v>45646</v>
      </c>
      <c r="J562" s="2" t="s">
        <v>1785</v>
      </c>
      <c r="K562" s="2"/>
      <c r="L562" s="2"/>
      <c r="M562" s="2" t="s">
        <v>2291</v>
      </c>
    </row>
    <row r="563" spans="1:13" x14ac:dyDescent="0.25">
      <c r="A563" s="3" t="s">
        <v>2225</v>
      </c>
      <c r="B563" s="3">
        <v>43732</v>
      </c>
      <c r="C563" s="2" t="s">
        <v>59</v>
      </c>
      <c r="D563" s="2">
        <v>5</v>
      </c>
      <c r="E563" s="2" t="s">
        <v>2242</v>
      </c>
      <c r="F563" s="2" t="s">
        <v>2250</v>
      </c>
      <c r="G563" s="2">
        <v>30</v>
      </c>
      <c r="H563" s="2" t="s">
        <v>2230</v>
      </c>
      <c r="I563" s="3">
        <v>45646</v>
      </c>
      <c r="J563" s="2" t="s">
        <v>1785</v>
      </c>
      <c r="K563" s="2"/>
      <c r="L563" s="2"/>
      <c r="M563" s="2" t="s">
        <v>2291</v>
      </c>
    </row>
    <row r="564" spans="1:13" x14ac:dyDescent="0.25">
      <c r="A564" s="3" t="s">
        <v>2225</v>
      </c>
      <c r="B564" s="3">
        <v>43732</v>
      </c>
      <c r="C564" s="2" t="s">
        <v>59</v>
      </c>
      <c r="D564" s="2">
        <v>5</v>
      </c>
      <c r="E564" s="2" t="s">
        <v>2242</v>
      </c>
      <c r="F564" s="2" t="s">
        <v>2251</v>
      </c>
      <c r="G564" s="2">
        <v>72</v>
      </c>
      <c r="H564" s="2" t="s">
        <v>2230</v>
      </c>
      <c r="I564" s="3">
        <v>45646</v>
      </c>
      <c r="J564" s="2" t="s">
        <v>1785</v>
      </c>
      <c r="K564" s="2"/>
      <c r="L564" s="2"/>
      <c r="M564" s="2" t="s">
        <v>2291</v>
      </c>
    </row>
    <row r="565" spans="1:13" x14ac:dyDescent="0.25">
      <c r="A565" s="3" t="s">
        <v>2225</v>
      </c>
      <c r="B565" s="3">
        <v>43732</v>
      </c>
      <c r="C565" s="2" t="s">
        <v>59</v>
      </c>
      <c r="D565" s="2">
        <v>5</v>
      </c>
      <c r="E565" s="2" t="s">
        <v>2242</v>
      </c>
      <c r="F565" s="2" t="s">
        <v>2252</v>
      </c>
      <c r="G565" s="2">
        <v>20</v>
      </c>
      <c r="H565" s="2" t="s">
        <v>2230</v>
      </c>
      <c r="I565" s="3">
        <v>45646</v>
      </c>
      <c r="J565" s="2" t="s">
        <v>1785</v>
      </c>
      <c r="K565" s="2"/>
      <c r="L565" s="2"/>
      <c r="M565" s="2" t="s">
        <v>2291</v>
      </c>
    </row>
    <row r="566" spans="1:13" x14ac:dyDescent="0.25">
      <c r="A566" s="3" t="s">
        <v>2225</v>
      </c>
      <c r="B566" s="3">
        <v>43732</v>
      </c>
      <c r="C566" s="2" t="s">
        <v>59</v>
      </c>
      <c r="D566" s="2">
        <v>5</v>
      </c>
      <c r="E566" s="2" t="s">
        <v>2242</v>
      </c>
      <c r="F566" s="2" t="s">
        <v>2253</v>
      </c>
      <c r="G566" s="2">
        <v>37</v>
      </c>
      <c r="H566" s="2" t="s">
        <v>2230</v>
      </c>
      <c r="I566" s="3">
        <v>45646</v>
      </c>
      <c r="J566" s="2" t="s">
        <v>1785</v>
      </c>
      <c r="K566" s="2"/>
      <c r="L566" s="2"/>
      <c r="M566" s="2" t="s">
        <v>2291</v>
      </c>
    </row>
    <row r="567" spans="1:13" x14ac:dyDescent="0.25">
      <c r="A567" s="3" t="s">
        <v>2225</v>
      </c>
      <c r="B567" s="3">
        <v>43732</v>
      </c>
      <c r="C567" s="2" t="s">
        <v>59</v>
      </c>
      <c r="D567" s="2">
        <v>5</v>
      </c>
      <c r="E567" s="2" t="s">
        <v>2242</v>
      </c>
      <c r="F567" s="2" t="s">
        <v>2254</v>
      </c>
      <c r="G567" s="2">
        <v>70</v>
      </c>
      <c r="H567" s="2" t="s">
        <v>2230</v>
      </c>
      <c r="I567" s="3">
        <v>45646</v>
      </c>
      <c r="J567" s="2" t="s">
        <v>1785</v>
      </c>
      <c r="K567" s="2"/>
      <c r="L567" s="2"/>
      <c r="M567" s="2" t="s">
        <v>2291</v>
      </c>
    </row>
    <row r="568" spans="1:13" x14ac:dyDescent="0.25">
      <c r="A568" s="3" t="s">
        <v>2225</v>
      </c>
      <c r="B568" s="3">
        <v>43732</v>
      </c>
      <c r="C568" s="2" t="s">
        <v>59</v>
      </c>
      <c r="D568" s="2">
        <v>5</v>
      </c>
      <c r="E568" s="2" t="s">
        <v>2242</v>
      </c>
      <c r="F568" s="2" t="s">
        <v>2240</v>
      </c>
      <c r="G568" s="2">
        <v>29</v>
      </c>
      <c r="H568" s="2" t="s">
        <v>2230</v>
      </c>
      <c r="I568" s="3">
        <v>45646</v>
      </c>
      <c r="J568" s="2" t="s">
        <v>1785</v>
      </c>
      <c r="K568" s="2"/>
      <c r="L568" s="2"/>
      <c r="M568" s="2" t="s">
        <v>2291</v>
      </c>
    </row>
    <row r="569" spans="1:13" x14ac:dyDescent="0.25">
      <c r="A569" s="3" t="s">
        <v>2225</v>
      </c>
      <c r="B569" s="3">
        <v>43732</v>
      </c>
      <c r="C569" s="2" t="s">
        <v>59</v>
      </c>
      <c r="D569" s="2">
        <v>5</v>
      </c>
      <c r="E569" s="2" t="s">
        <v>2242</v>
      </c>
      <c r="F569" s="2" t="s">
        <v>2241</v>
      </c>
      <c r="G569" s="2">
        <v>15</v>
      </c>
      <c r="H569" s="2" t="s">
        <v>2230</v>
      </c>
      <c r="I569" s="3">
        <v>45646</v>
      </c>
      <c r="J569" s="2" t="s">
        <v>1785</v>
      </c>
      <c r="K569" s="2"/>
      <c r="L569" s="2"/>
      <c r="M569" s="2" t="s">
        <v>2291</v>
      </c>
    </row>
    <row r="570" spans="1:13" x14ac:dyDescent="0.25">
      <c r="A570" s="3" t="s">
        <v>2225</v>
      </c>
      <c r="B570" s="3">
        <v>43732</v>
      </c>
      <c r="C570" s="2" t="s">
        <v>59</v>
      </c>
      <c r="D570" s="2">
        <v>5</v>
      </c>
      <c r="E570" s="2" t="s">
        <v>2242</v>
      </c>
      <c r="F570" s="2" t="s">
        <v>2242</v>
      </c>
      <c r="G570" s="2">
        <v>26</v>
      </c>
      <c r="H570" s="2" t="s">
        <v>2230</v>
      </c>
      <c r="I570" s="3">
        <v>45646</v>
      </c>
      <c r="J570" s="2" t="s">
        <v>1785</v>
      </c>
      <c r="K570" s="2"/>
      <c r="L570" s="2"/>
      <c r="M570" s="2" t="s">
        <v>2291</v>
      </c>
    </row>
    <row r="571" spans="1:13" x14ac:dyDescent="0.25">
      <c r="A571" s="3" t="s">
        <v>2225</v>
      </c>
      <c r="B571" s="3">
        <v>43732</v>
      </c>
      <c r="C571" s="2" t="s">
        <v>59</v>
      </c>
      <c r="D571" s="2">
        <v>5</v>
      </c>
      <c r="E571" s="2" t="s">
        <v>2242</v>
      </c>
      <c r="F571" s="2" t="s">
        <v>2243</v>
      </c>
      <c r="G571" s="2">
        <v>17</v>
      </c>
      <c r="H571" s="2" t="s">
        <v>2230</v>
      </c>
      <c r="I571" s="3">
        <v>45646</v>
      </c>
      <c r="J571" s="2" t="s">
        <v>1785</v>
      </c>
      <c r="K571" s="2"/>
      <c r="L571" s="2"/>
      <c r="M571" s="2" t="s">
        <v>2291</v>
      </c>
    </row>
    <row r="572" spans="1:13" x14ac:dyDescent="0.25">
      <c r="A572" s="3" t="s">
        <v>2225</v>
      </c>
      <c r="B572" s="3">
        <v>43732</v>
      </c>
      <c r="C572" s="2" t="s">
        <v>59</v>
      </c>
      <c r="D572" s="2">
        <v>5</v>
      </c>
      <c r="E572" s="2" t="s">
        <v>2242</v>
      </c>
      <c r="F572" s="2" t="s">
        <v>2244</v>
      </c>
      <c r="G572" s="2">
        <v>22</v>
      </c>
      <c r="H572" s="2" t="s">
        <v>2230</v>
      </c>
      <c r="I572" s="3">
        <v>45646</v>
      </c>
      <c r="J572" s="2" t="s">
        <v>1785</v>
      </c>
      <c r="K572" s="2"/>
      <c r="L572" s="2"/>
      <c r="M572" s="2" t="s">
        <v>2291</v>
      </c>
    </row>
    <row r="573" spans="1:13" x14ac:dyDescent="0.25">
      <c r="A573" s="3" t="s">
        <v>2225</v>
      </c>
      <c r="B573" s="3">
        <v>43732</v>
      </c>
      <c r="C573" s="2" t="s">
        <v>59</v>
      </c>
      <c r="D573" s="2">
        <v>5</v>
      </c>
      <c r="E573" s="2" t="s">
        <v>2242</v>
      </c>
      <c r="F573" s="2" t="s">
        <v>2245</v>
      </c>
      <c r="G573" s="2">
        <v>22</v>
      </c>
      <c r="H573" s="2" t="s">
        <v>2230</v>
      </c>
      <c r="I573" s="3">
        <v>45646</v>
      </c>
      <c r="J573" s="2" t="s">
        <v>1785</v>
      </c>
      <c r="K573" s="2"/>
      <c r="L573" s="2"/>
      <c r="M573" s="2" t="s">
        <v>2291</v>
      </c>
    </row>
    <row r="574" spans="1:13" x14ac:dyDescent="0.25">
      <c r="A574" s="3" t="s">
        <v>2225</v>
      </c>
      <c r="B574" s="3">
        <v>43732</v>
      </c>
      <c r="C574" s="2" t="s">
        <v>59</v>
      </c>
      <c r="D574" s="2">
        <v>5</v>
      </c>
      <c r="E574" s="2" t="s">
        <v>2242</v>
      </c>
      <c r="F574" s="2" t="s">
        <v>2255</v>
      </c>
      <c r="G574" s="2">
        <v>16</v>
      </c>
      <c r="H574" s="2" t="s">
        <v>2230</v>
      </c>
      <c r="I574" s="3">
        <v>45646</v>
      </c>
      <c r="J574" s="2" t="s">
        <v>1785</v>
      </c>
      <c r="K574" s="2"/>
      <c r="L574" s="2"/>
      <c r="M574" s="2" t="s">
        <v>2291</v>
      </c>
    </row>
    <row r="575" spans="1:13" x14ac:dyDescent="0.25">
      <c r="A575" s="3" t="s">
        <v>2225</v>
      </c>
      <c r="B575" s="3">
        <v>43732</v>
      </c>
      <c r="C575" s="2" t="s">
        <v>59</v>
      </c>
      <c r="D575" s="2">
        <v>5</v>
      </c>
      <c r="E575" s="2" t="s">
        <v>2242</v>
      </c>
      <c r="F575" s="2" t="s">
        <v>2256</v>
      </c>
      <c r="G575" s="2">
        <v>25</v>
      </c>
      <c r="H575" s="2" t="s">
        <v>2230</v>
      </c>
      <c r="I575" s="3">
        <v>45646</v>
      </c>
      <c r="J575" s="2" t="s">
        <v>1785</v>
      </c>
      <c r="K575" s="2"/>
      <c r="L575" s="2"/>
      <c r="M575" s="2" t="s">
        <v>2291</v>
      </c>
    </row>
    <row r="576" spans="1:13" x14ac:dyDescent="0.25">
      <c r="A576" s="3" t="s">
        <v>2225</v>
      </c>
      <c r="B576" s="3">
        <v>43732</v>
      </c>
      <c r="C576" s="2" t="s">
        <v>59</v>
      </c>
      <c r="D576" s="2">
        <v>5</v>
      </c>
      <c r="E576" s="2" t="s">
        <v>2242</v>
      </c>
      <c r="F576" s="2" t="s">
        <v>2257</v>
      </c>
      <c r="G576" s="2">
        <v>34</v>
      </c>
      <c r="H576" s="2" t="s">
        <v>2230</v>
      </c>
      <c r="I576" s="3">
        <v>45646</v>
      </c>
      <c r="J576" s="2" t="s">
        <v>1785</v>
      </c>
      <c r="K576" s="2"/>
      <c r="L576" s="2"/>
      <c r="M576" s="2" t="s">
        <v>2291</v>
      </c>
    </row>
    <row r="577" spans="1:13" x14ac:dyDescent="0.25">
      <c r="A577" s="3" t="s">
        <v>2225</v>
      </c>
      <c r="B577" s="3">
        <v>43732</v>
      </c>
      <c r="C577" s="2" t="s">
        <v>59</v>
      </c>
      <c r="D577" s="2">
        <v>5</v>
      </c>
      <c r="E577" s="2" t="s">
        <v>2242</v>
      </c>
      <c r="F577" s="2" t="s">
        <v>2258</v>
      </c>
      <c r="G577" s="2">
        <v>29</v>
      </c>
      <c r="H577" s="2" t="s">
        <v>2230</v>
      </c>
      <c r="I577" s="3">
        <v>45646</v>
      </c>
      <c r="J577" s="2" t="s">
        <v>1785</v>
      </c>
      <c r="K577" s="2"/>
      <c r="L577" s="2"/>
      <c r="M577" s="2" t="s">
        <v>2291</v>
      </c>
    </row>
    <row r="578" spans="1:13" x14ac:dyDescent="0.25">
      <c r="A578" s="3" t="s">
        <v>2225</v>
      </c>
      <c r="B578" s="3">
        <v>43732</v>
      </c>
      <c r="C578" s="2" t="s">
        <v>59</v>
      </c>
      <c r="D578" s="2">
        <v>5</v>
      </c>
      <c r="E578" s="2" t="s">
        <v>2242</v>
      </c>
      <c r="F578" s="2" t="s">
        <v>2259</v>
      </c>
      <c r="G578" s="2">
        <v>26</v>
      </c>
      <c r="H578" s="2" t="s">
        <v>2230</v>
      </c>
      <c r="I578" s="3">
        <v>45646</v>
      </c>
      <c r="J578" s="2" t="s">
        <v>1785</v>
      </c>
      <c r="K578" s="2"/>
      <c r="L578" s="2"/>
      <c r="M578" s="2" t="s">
        <v>2291</v>
      </c>
    </row>
    <row r="579" spans="1:13" x14ac:dyDescent="0.25">
      <c r="A579" s="3" t="s">
        <v>2225</v>
      </c>
      <c r="B579" s="3">
        <v>43732</v>
      </c>
      <c r="C579" s="2" t="s">
        <v>59</v>
      </c>
      <c r="D579" s="2">
        <v>5</v>
      </c>
      <c r="E579" s="2" t="s">
        <v>2242</v>
      </c>
      <c r="F579" s="2" t="s">
        <v>2260</v>
      </c>
      <c r="G579" s="2">
        <v>22</v>
      </c>
      <c r="H579" s="2" t="s">
        <v>2230</v>
      </c>
      <c r="I579" s="3">
        <v>45646</v>
      </c>
      <c r="J579" s="2" t="s">
        <v>1785</v>
      </c>
      <c r="K579" s="2"/>
      <c r="L579" s="2"/>
      <c r="M579" s="2" t="s">
        <v>2291</v>
      </c>
    </row>
    <row r="580" spans="1:13" x14ac:dyDescent="0.25">
      <c r="A580" s="3" t="s">
        <v>2225</v>
      </c>
      <c r="B580" s="3">
        <v>43732</v>
      </c>
      <c r="C580" s="2" t="s">
        <v>59</v>
      </c>
      <c r="D580" s="2">
        <v>5</v>
      </c>
      <c r="E580" s="2" t="s">
        <v>2242</v>
      </c>
      <c r="F580" s="2" t="s">
        <v>2261</v>
      </c>
      <c r="G580" s="2">
        <v>31</v>
      </c>
      <c r="H580" s="2" t="s">
        <v>2230</v>
      </c>
      <c r="I580" s="3">
        <v>45646</v>
      </c>
      <c r="J580" s="2" t="s">
        <v>1785</v>
      </c>
      <c r="K580" s="2"/>
      <c r="L580" s="2"/>
      <c r="M580" s="2" t="s">
        <v>2291</v>
      </c>
    </row>
    <row r="581" spans="1:13" x14ac:dyDescent="0.25">
      <c r="A581" s="3" t="s">
        <v>2225</v>
      </c>
      <c r="B581" s="3">
        <v>43732</v>
      </c>
      <c r="C581" s="2" t="s">
        <v>59</v>
      </c>
      <c r="D581" s="2">
        <v>5</v>
      </c>
      <c r="E581" s="2" t="s">
        <v>2242</v>
      </c>
      <c r="F581" s="2" t="s">
        <v>2262</v>
      </c>
      <c r="G581" s="2">
        <v>11</v>
      </c>
      <c r="H581" s="2" t="s">
        <v>2230</v>
      </c>
      <c r="I581" s="3">
        <v>45646</v>
      </c>
      <c r="J581" s="2" t="s">
        <v>1785</v>
      </c>
      <c r="K581" s="2"/>
      <c r="L581" s="2"/>
      <c r="M581" s="2" t="s">
        <v>2291</v>
      </c>
    </row>
    <row r="582" spans="1:13" x14ac:dyDescent="0.25">
      <c r="A582" s="3" t="s">
        <v>2225</v>
      </c>
      <c r="B582" s="3">
        <v>43732</v>
      </c>
      <c r="C582" s="2" t="s">
        <v>59</v>
      </c>
      <c r="D582" s="2">
        <v>5</v>
      </c>
      <c r="E582" s="2" t="s">
        <v>2242</v>
      </c>
      <c r="F582" s="2" t="s">
        <v>2263</v>
      </c>
      <c r="G582" s="2">
        <v>5</v>
      </c>
      <c r="H582" s="2" t="s">
        <v>2230</v>
      </c>
      <c r="I582" s="3">
        <v>45646</v>
      </c>
      <c r="J582" s="2" t="s">
        <v>1785</v>
      </c>
      <c r="K582" s="2"/>
      <c r="L582" s="2"/>
      <c r="M582" s="2" t="s">
        <v>2291</v>
      </c>
    </row>
    <row r="583" spans="1:13" x14ac:dyDescent="0.25">
      <c r="A583" s="3" t="s">
        <v>2225</v>
      </c>
      <c r="B583" s="3">
        <v>43732</v>
      </c>
      <c r="C583" s="2" t="s">
        <v>59</v>
      </c>
      <c r="D583" s="2">
        <v>5</v>
      </c>
      <c r="E583" s="2" t="s">
        <v>2242</v>
      </c>
      <c r="F583" s="2" t="s">
        <v>2264</v>
      </c>
      <c r="G583" s="2">
        <v>19</v>
      </c>
      <c r="H583" s="2" t="s">
        <v>2230</v>
      </c>
      <c r="I583" s="3">
        <v>45646</v>
      </c>
      <c r="J583" s="2" t="s">
        <v>1785</v>
      </c>
      <c r="K583" s="2"/>
      <c r="L583" s="2"/>
      <c r="M583" s="2" t="s">
        <v>2291</v>
      </c>
    </row>
    <row r="584" spans="1:13" x14ac:dyDescent="0.25">
      <c r="A584" s="3" t="s">
        <v>2225</v>
      </c>
      <c r="B584" s="3">
        <v>43732</v>
      </c>
      <c r="C584" s="2" t="s">
        <v>59</v>
      </c>
      <c r="D584" s="2">
        <v>5</v>
      </c>
      <c r="E584" s="2" t="s">
        <v>2242</v>
      </c>
      <c r="F584" s="2" t="s">
        <v>2265</v>
      </c>
      <c r="G584" s="2">
        <v>4</v>
      </c>
      <c r="H584" s="2" t="s">
        <v>2230</v>
      </c>
      <c r="I584" s="3">
        <v>45646</v>
      </c>
      <c r="J584" s="2" t="s">
        <v>1785</v>
      </c>
      <c r="K584" s="2"/>
      <c r="L584" s="2"/>
      <c r="M584" s="2" t="s">
        <v>2291</v>
      </c>
    </row>
    <row r="585" spans="1:13" x14ac:dyDescent="0.25">
      <c r="A585" s="3" t="s">
        <v>2225</v>
      </c>
      <c r="B585" s="3">
        <v>43732</v>
      </c>
      <c r="C585" s="2" t="s">
        <v>59</v>
      </c>
      <c r="D585" s="2">
        <v>5</v>
      </c>
      <c r="E585" s="2" t="s">
        <v>2242</v>
      </c>
      <c r="F585" s="2" t="s">
        <v>2266</v>
      </c>
      <c r="G585" s="2">
        <v>45</v>
      </c>
      <c r="H585" s="2" t="s">
        <v>2230</v>
      </c>
      <c r="I585" s="3">
        <v>45646</v>
      </c>
      <c r="J585" s="2" t="s">
        <v>1785</v>
      </c>
      <c r="K585" s="2"/>
      <c r="L585" s="2"/>
      <c r="M585" s="2" t="s">
        <v>2291</v>
      </c>
    </row>
    <row r="586" spans="1:13" x14ac:dyDescent="0.25">
      <c r="A586" s="3" t="s">
        <v>2225</v>
      </c>
      <c r="B586" s="3">
        <v>43732</v>
      </c>
      <c r="C586" s="2" t="s">
        <v>59</v>
      </c>
      <c r="D586" s="2">
        <v>5</v>
      </c>
      <c r="E586" s="2" t="s">
        <v>2242</v>
      </c>
      <c r="F586" s="2" t="s">
        <v>2267</v>
      </c>
      <c r="G586" s="2">
        <v>40</v>
      </c>
      <c r="H586" s="2" t="s">
        <v>2230</v>
      </c>
      <c r="I586" s="3">
        <v>45646</v>
      </c>
      <c r="J586" s="2" t="s">
        <v>1785</v>
      </c>
      <c r="K586" s="2"/>
      <c r="L586" s="2"/>
      <c r="M586" s="2" t="s">
        <v>2291</v>
      </c>
    </row>
    <row r="587" spans="1:13" x14ac:dyDescent="0.25">
      <c r="A587" s="3" t="s">
        <v>2225</v>
      </c>
      <c r="B587" s="3">
        <v>43732</v>
      </c>
      <c r="C587" s="2" t="s">
        <v>59</v>
      </c>
      <c r="D587" s="2">
        <v>5</v>
      </c>
      <c r="E587" s="2" t="s">
        <v>2242</v>
      </c>
      <c r="F587" s="2" t="s">
        <v>2268</v>
      </c>
      <c r="G587" s="2">
        <v>25</v>
      </c>
      <c r="H587" s="2" t="s">
        <v>2230</v>
      </c>
      <c r="I587" s="3">
        <v>45646</v>
      </c>
      <c r="J587" s="2" t="s">
        <v>1785</v>
      </c>
      <c r="K587" s="2"/>
      <c r="L587" s="2"/>
      <c r="M587" s="2" t="s">
        <v>2291</v>
      </c>
    </row>
    <row r="588" spans="1:13" x14ac:dyDescent="0.25">
      <c r="A588" s="3" t="s">
        <v>2225</v>
      </c>
      <c r="B588" s="3">
        <v>43732</v>
      </c>
      <c r="C588" s="2" t="s">
        <v>59</v>
      </c>
      <c r="D588" s="2">
        <v>5</v>
      </c>
      <c r="E588" s="2" t="s">
        <v>2242</v>
      </c>
      <c r="F588" s="2" t="s">
        <v>2269</v>
      </c>
      <c r="G588" s="2">
        <v>39</v>
      </c>
      <c r="H588" s="2" t="s">
        <v>2230</v>
      </c>
      <c r="I588" s="3">
        <v>45646</v>
      </c>
      <c r="J588" s="2" t="s">
        <v>1785</v>
      </c>
      <c r="K588" s="2"/>
      <c r="L588" s="2"/>
      <c r="M588" s="2" t="s">
        <v>2291</v>
      </c>
    </row>
    <row r="589" spans="1:13" x14ac:dyDescent="0.25">
      <c r="A589" s="3" t="s">
        <v>2225</v>
      </c>
      <c r="B589" s="3">
        <v>43732</v>
      </c>
      <c r="C589" s="2" t="s">
        <v>59</v>
      </c>
      <c r="D589" s="2">
        <v>5</v>
      </c>
      <c r="E589" s="2" t="s">
        <v>2242</v>
      </c>
      <c r="F589" s="2" t="s">
        <v>2270</v>
      </c>
      <c r="G589" s="2">
        <v>38</v>
      </c>
      <c r="H589" s="2" t="s">
        <v>2230</v>
      </c>
      <c r="I589" s="3">
        <v>45646</v>
      </c>
      <c r="J589" s="2" t="s">
        <v>1785</v>
      </c>
      <c r="K589" s="2"/>
      <c r="L589" s="2"/>
      <c r="M589" s="2" t="s">
        <v>2291</v>
      </c>
    </row>
    <row r="590" spans="1:13" x14ac:dyDescent="0.25">
      <c r="A590" s="3" t="s">
        <v>2225</v>
      </c>
      <c r="B590" s="3">
        <v>43732</v>
      </c>
      <c r="C590" s="2" t="s">
        <v>59</v>
      </c>
      <c r="D590" s="2">
        <v>5</v>
      </c>
      <c r="E590" s="2" t="s">
        <v>2242</v>
      </c>
      <c r="F590" s="2" t="s">
        <v>2271</v>
      </c>
      <c r="G590" s="2">
        <v>25</v>
      </c>
      <c r="H590" s="2" t="s">
        <v>2230</v>
      </c>
      <c r="I590" s="3">
        <v>45646</v>
      </c>
      <c r="J590" s="2" t="s">
        <v>1785</v>
      </c>
      <c r="K590" s="2"/>
      <c r="L590" s="2"/>
      <c r="M590" s="2" t="s">
        <v>2291</v>
      </c>
    </row>
    <row r="591" spans="1:13" x14ac:dyDescent="0.25">
      <c r="A591" s="3" t="s">
        <v>2225</v>
      </c>
      <c r="B591" s="3">
        <v>43732</v>
      </c>
      <c r="C591" s="2" t="s">
        <v>59</v>
      </c>
      <c r="D591" s="2">
        <v>5</v>
      </c>
      <c r="E591" s="2" t="s">
        <v>2242</v>
      </c>
      <c r="F591" s="2" t="s">
        <v>2272</v>
      </c>
      <c r="G591" s="2">
        <v>23</v>
      </c>
      <c r="H591" s="2" t="s">
        <v>2230</v>
      </c>
      <c r="I591" s="3">
        <v>45646</v>
      </c>
      <c r="J591" s="2" t="s">
        <v>1785</v>
      </c>
      <c r="K591" s="2"/>
      <c r="L591" s="2"/>
      <c r="M591" s="2" t="s">
        <v>2291</v>
      </c>
    </row>
    <row r="592" spans="1:13" x14ac:dyDescent="0.25">
      <c r="A592" s="3" t="s">
        <v>2225</v>
      </c>
      <c r="B592" s="3">
        <v>43732</v>
      </c>
      <c r="C592" s="2" t="s">
        <v>59</v>
      </c>
      <c r="D592" s="2">
        <v>5</v>
      </c>
      <c r="E592" s="2" t="s">
        <v>2242</v>
      </c>
      <c r="F592" s="2" t="s">
        <v>2273</v>
      </c>
      <c r="G592" s="2">
        <v>21</v>
      </c>
      <c r="H592" s="2" t="s">
        <v>2230</v>
      </c>
      <c r="I592" s="3">
        <v>45646</v>
      </c>
      <c r="J592" s="2" t="s">
        <v>1785</v>
      </c>
      <c r="K592" s="2"/>
      <c r="L592" s="2"/>
      <c r="M592" s="2" t="s">
        <v>2291</v>
      </c>
    </row>
    <row r="593" spans="1:13" x14ac:dyDescent="0.25">
      <c r="A593" s="3" t="s">
        <v>2225</v>
      </c>
      <c r="B593" s="3">
        <v>43732</v>
      </c>
      <c r="C593" s="2" t="s">
        <v>59</v>
      </c>
      <c r="D593" s="2">
        <v>5</v>
      </c>
      <c r="E593" s="2" t="s">
        <v>2242</v>
      </c>
      <c r="F593" s="2" t="s">
        <v>2274</v>
      </c>
      <c r="G593" s="2">
        <v>12</v>
      </c>
      <c r="H593" s="2" t="s">
        <v>2230</v>
      </c>
      <c r="I593" s="3">
        <v>45646</v>
      </c>
      <c r="J593" s="2" t="s">
        <v>1785</v>
      </c>
      <c r="K593" s="2"/>
      <c r="L593" s="2"/>
      <c r="M593" s="2" t="s">
        <v>2291</v>
      </c>
    </row>
    <row r="594" spans="1:13" x14ac:dyDescent="0.25">
      <c r="A594" s="3" t="s">
        <v>2225</v>
      </c>
      <c r="B594" s="3">
        <v>43732</v>
      </c>
      <c r="C594" s="2" t="s">
        <v>59</v>
      </c>
      <c r="D594" s="2">
        <v>5</v>
      </c>
      <c r="E594" s="2" t="s">
        <v>2242</v>
      </c>
      <c r="F594" s="2" t="s">
        <v>2275</v>
      </c>
      <c r="G594" s="2">
        <v>23</v>
      </c>
      <c r="H594" s="2" t="s">
        <v>2230</v>
      </c>
      <c r="I594" s="3">
        <v>45646</v>
      </c>
      <c r="J594" s="2" t="s">
        <v>1785</v>
      </c>
      <c r="K594" s="2"/>
      <c r="L594" s="2"/>
      <c r="M594" s="2" t="s">
        <v>2291</v>
      </c>
    </row>
    <row r="595" spans="1:13" x14ac:dyDescent="0.25">
      <c r="A595" s="3" t="s">
        <v>2225</v>
      </c>
      <c r="B595" s="3">
        <v>43732</v>
      </c>
      <c r="C595" s="2" t="s">
        <v>59</v>
      </c>
      <c r="D595" s="2">
        <v>5</v>
      </c>
      <c r="E595" s="2" t="s">
        <v>2242</v>
      </c>
      <c r="F595" s="2" t="s">
        <v>2276</v>
      </c>
      <c r="G595" s="2">
        <v>25</v>
      </c>
      <c r="H595" s="2" t="s">
        <v>2230</v>
      </c>
      <c r="I595" s="3">
        <v>45646</v>
      </c>
      <c r="J595" s="2" t="s">
        <v>1785</v>
      </c>
      <c r="K595" s="2"/>
      <c r="L595" s="2"/>
      <c r="M595" s="2" t="s">
        <v>2291</v>
      </c>
    </row>
    <row r="596" spans="1:13" x14ac:dyDescent="0.25">
      <c r="A596" s="3" t="s">
        <v>2225</v>
      </c>
      <c r="B596" s="3">
        <v>43732</v>
      </c>
      <c r="C596" s="2" t="s">
        <v>59</v>
      </c>
      <c r="D596" s="2">
        <v>5</v>
      </c>
      <c r="E596" s="2" t="s">
        <v>2242</v>
      </c>
      <c r="F596" s="2" t="s">
        <v>2277</v>
      </c>
      <c r="G596" s="2">
        <v>33</v>
      </c>
      <c r="H596" s="2" t="s">
        <v>2230</v>
      </c>
      <c r="I596" s="3">
        <v>45646</v>
      </c>
      <c r="J596" s="2" t="s">
        <v>1785</v>
      </c>
      <c r="K596" s="2"/>
      <c r="L596" s="2"/>
      <c r="M596" s="2" t="s">
        <v>2291</v>
      </c>
    </row>
    <row r="597" spans="1:13" x14ac:dyDescent="0.25">
      <c r="A597" s="3" t="s">
        <v>2225</v>
      </c>
      <c r="B597" s="3">
        <v>43732</v>
      </c>
      <c r="C597" s="2" t="s">
        <v>59</v>
      </c>
      <c r="D597" s="2">
        <v>5</v>
      </c>
      <c r="E597" s="2" t="s">
        <v>2242</v>
      </c>
      <c r="F597" s="2" t="s">
        <v>2278</v>
      </c>
      <c r="G597" s="2">
        <v>35</v>
      </c>
      <c r="H597" s="2" t="s">
        <v>2230</v>
      </c>
      <c r="I597" s="3">
        <v>45646</v>
      </c>
      <c r="J597" s="2" t="s">
        <v>1785</v>
      </c>
      <c r="K597" s="2"/>
      <c r="L597" s="2"/>
      <c r="M597" s="2" t="s">
        <v>2291</v>
      </c>
    </row>
    <row r="598" spans="1:13" x14ac:dyDescent="0.25">
      <c r="A598" s="3" t="s">
        <v>2225</v>
      </c>
      <c r="B598" s="3">
        <v>43732</v>
      </c>
      <c r="C598" s="2" t="s">
        <v>59</v>
      </c>
      <c r="D598" s="2">
        <v>5</v>
      </c>
      <c r="E598" s="2" t="s">
        <v>2242</v>
      </c>
      <c r="F598" s="2" t="s">
        <v>2279</v>
      </c>
      <c r="G598" s="2">
        <v>57</v>
      </c>
      <c r="H598" s="2" t="s">
        <v>2230</v>
      </c>
      <c r="I598" s="3">
        <v>45646</v>
      </c>
      <c r="J598" s="2" t="s">
        <v>1785</v>
      </c>
      <c r="K598" s="2"/>
      <c r="L598" s="2"/>
      <c r="M598" s="2" t="s">
        <v>2291</v>
      </c>
    </row>
    <row r="599" spans="1:13" x14ac:dyDescent="0.25">
      <c r="A599" s="3" t="s">
        <v>2225</v>
      </c>
      <c r="B599" s="3">
        <v>43732</v>
      </c>
      <c r="C599" s="2" t="s">
        <v>59</v>
      </c>
      <c r="D599" s="2">
        <v>5</v>
      </c>
      <c r="E599" s="2" t="s">
        <v>2242</v>
      </c>
      <c r="F599" s="2" t="s">
        <v>2280</v>
      </c>
      <c r="G599" s="2">
        <v>31</v>
      </c>
      <c r="H599" s="2" t="s">
        <v>2230</v>
      </c>
      <c r="I599" s="3">
        <v>45646</v>
      </c>
      <c r="J599" s="2" t="s">
        <v>1785</v>
      </c>
      <c r="K599" s="2"/>
      <c r="L599" s="2"/>
      <c r="M599" s="2" t="s">
        <v>2291</v>
      </c>
    </row>
    <row r="600" spans="1:13" x14ac:dyDescent="0.25">
      <c r="A600" s="3" t="s">
        <v>2225</v>
      </c>
      <c r="B600" s="3">
        <v>43732</v>
      </c>
      <c r="C600" s="2" t="s">
        <v>59</v>
      </c>
      <c r="D600" s="2">
        <v>5</v>
      </c>
      <c r="E600" s="2" t="s">
        <v>2242</v>
      </c>
      <c r="F600" s="2" t="s">
        <v>2281</v>
      </c>
      <c r="G600" s="2">
        <v>5</v>
      </c>
      <c r="H600" s="2" t="s">
        <v>2230</v>
      </c>
      <c r="I600" s="3">
        <v>45646</v>
      </c>
      <c r="J600" s="2" t="s">
        <v>1785</v>
      </c>
      <c r="K600" s="2"/>
      <c r="L600" s="2"/>
      <c r="M600" s="2" t="s">
        <v>2291</v>
      </c>
    </row>
    <row r="601" spans="1:13" x14ac:dyDescent="0.25">
      <c r="A601" s="3" t="s">
        <v>2225</v>
      </c>
      <c r="B601" s="3">
        <v>43732</v>
      </c>
      <c r="C601" s="2" t="s">
        <v>59</v>
      </c>
      <c r="D601" s="2">
        <v>5</v>
      </c>
      <c r="E601" s="2" t="s">
        <v>2242</v>
      </c>
      <c r="F601" s="2" t="s">
        <v>2282</v>
      </c>
      <c r="G601" s="2">
        <v>12</v>
      </c>
      <c r="H601" s="2" t="s">
        <v>2230</v>
      </c>
      <c r="I601" s="3">
        <v>45646</v>
      </c>
      <c r="J601" s="2" t="s">
        <v>1785</v>
      </c>
      <c r="K601" s="2"/>
      <c r="L601" s="2"/>
      <c r="M601" s="2" t="s">
        <v>2291</v>
      </c>
    </row>
    <row r="602" spans="1:13" x14ac:dyDescent="0.25">
      <c r="A602" s="3" t="s">
        <v>2225</v>
      </c>
      <c r="B602" s="3">
        <v>43732</v>
      </c>
      <c r="C602" s="2" t="s">
        <v>59</v>
      </c>
      <c r="D602" s="2">
        <v>5</v>
      </c>
      <c r="E602" s="2" t="s">
        <v>2242</v>
      </c>
      <c r="F602" s="2" t="s">
        <v>2283</v>
      </c>
      <c r="G602" s="2">
        <v>28</v>
      </c>
      <c r="H602" s="2" t="s">
        <v>2230</v>
      </c>
      <c r="I602" s="3">
        <v>45646</v>
      </c>
      <c r="J602" s="2" t="s">
        <v>1785</v>
      </c>
      <c r="K602" s="2"/>
      <c r="L602" s="2"/>
      <c r="M602" s="2" t="s">
        <v>2291</v>
      </c>
    </row>
    <row r="603" spans="1:13" x14ac:dyDescent="0.25">
      <c r="A603" s="3" t="s">
        <v>2225</v>
      </c>
      <c r="B603" s="3">
        <v>43732</v>
      </c>
      <c r="C603" s="2" t="s">
        <v>59</v>
      </c>
      <c r="D603" s="2">
        <v>5</v>
      </c>
      <c r="E603" s="2" t="s">
        <v>2242</v>
      </c>
      <c r="F603" s="2" t="s">
        <v>2284</v>
      </c>
      <c r="G603" s="2">
        <v>6</v>
      </c>
      <c r="H603" s="2" t="s">
        <v>2230</v>
      </c>
      <c r="I603" s="3">
        <v>45646</v>
      </c>
      <c r="J603" s="2" t="s">
        <v>1785</v>
      </c>
      <c r="K603" s="2"/>
      <c r="L603" s="2"/>
      <c r="M603" s="2" t="s">
        <v>2291</v>
      </c>
    </row>
    <row r="604" spans="1:13" x14ac:dyDescent="0.25">
      <c r="A604" s="3" t="s">
        <v>2225</v>
      </c>
      <c r="B604" s="3">
        <v>43732</v>
      </c>
      <c r="C604" s="2" t="s">
        <v>59</v>
      </c>
      <c r="D604" s="2">
        <v>5</v>
      </c>
      <c r="E604" s="2" t="s">
        <v>2242</v>
      </c>
      <c r="F604" s="2" t="s">
        <v>2285</v>
      </c>
      <c r="G604" s="2">
        <v>66</v>
      </c>
      <c r="H604" s="2" t="s">
        <v>2230</v>
      </c>
      <c r="I604" s="3">
        <v>45646</v>
      </c>
      <c r="J604" s="2" t="s">
        <v>1785</v>
      </c>
      <c r="K604" s="2"/>
      <c r="L604" s="2"/>
      <c r="M604" s="2" t="s">
        <v>2291</v>
      </c>
    </row>
    <row r="605" spans="1:13" x14ac:dyDescent="0.25">
      <c r="A605" s="3" t="s">
        <v>2225</v>
      </c>
      <c r="B605" s="3">
        <v>43732</v>
      </c>
      <c r="C605" s="2" t="s">
        <v>59</v>
      </c>
      <c r="D605" s="2">
        <v>5</v>
      </c>
      <c r="E605" s="2" t="s">
        <v>2242</v>
      </c>
      <c r="F605" s="2" t="s">
        <v>2286</v>
      </c>
      <c r="G605" s="2">
        <v>30</v>
      </c>
      <c r="H605" s="2" t="s">
        <v>2230</v>
      </c>
      <c r="I605" s="3">
        <v>45646</v>
      </c>
      <c r="J605" s="2" t="s">
        <v>1785</v>
      </c>
      <c r="K605" s="2"/>
      <c r="L605" s="2"/>
      <c r="M605" s="2" t="s">
        <v>2291</v>
      </c>
    </row>
    <row r="606" spans="1:13" x14ac:dyDescent="0.25">
      <c r="A606" s="3" t="s">
        <v>2225</v>
      </c>
      <c r="B606" s="3">
        <v>43732</v>
      </c>
      <c r="C606" s="2" t="s">
        <v>59</v>
      </c>
      <c r="D606" s="2">
        <v>5</v>
      </c>
      <c r="E606" s="2" t="s">
        <v>2242</v>
      </c>
      <c r="F606" s="2" t="s">
        <v>2287</v>
      </c>
      <c r="G606" s="2">
        <v>60</v>
      </c>
      <c r="H606" s="2" t="s">
        <v>2230</v>
      </c>
      <c r="I606" s="3">
        <v>45646</v>
      </c>
      <c r="J606" s="2" t="s">
        <v>1785</v>
      </c>
      <c r="K606" s="2"/>
      <c r="L606" s="2"/>
      <c r="M606" s="2" t="s">
        <v>2291</v>
      </c>
    </row>
    <row r="607" spans="1:13" x14ac:dyDescent="0.25">
      <c r="A607" s="3" t="s">
        <v>2225</v>
      </c>
      <c r="B607" s="3">
        <v>43732</v>
      </c>
      <c r="C607" s="2" t="s">
        <v>59</v>
      </c>
      <c r="D607" s="2">
        <v>5</v>
      </c>
      <c r="E607" s="2" t="s">
        <v>2242</v>
      </c>
      <c r="F607" s="2" t="s">
        <v>2288</v>
      </c>
      <c r="G607" s="2">
        <v>57</v>
      </c>
      <c r="H607" s="2" t="s">
        <v>2230</v>
      </c>
      <c r="I607" s="3">
        <v>45646</v>
      </c>
      <c r="J607" s="2" t="s">
        <v>1785</v>
      </c>
      <c r="K607" s="2"/>
      <c r="L607" s="2"/>
      <c r="M607" s="2" t="s">
        <v>2291</v>
      </c>
    </row>
    <row r="608" spans="1:13" x14ac:dyDescent="0.25">
      <c r="A608" s="3" t="s">
        <v>2225</v>
      </c>
      <c r="B608" s="3">
        <v>43732</v>
      </c>
      <c r="C608" s="2" t="s">
        <v>59</v>
      </c>
      <c r="D608" s="2">
        <v>5</v>
      </c>
      <c r="E608" s="2" t="s">
        <v>2242</v>
      </c>
      <c r="F608" s="2" t="s">
        <v>2289</v>
      </c>
      <c r="G608" s="2">
        <v>21</v>
      </c>
      <c r="H608" s="2" t="s">
        <v>2230</v>
      </c>
      <c r="I608" s="3">
        <v>45646</v>
      </c>
      <c r="J608" s="2" t="s">
        <v>1785</v>
      </c>
      <c r="K608" s="2"/>
      <c r="L608" s="2"/>
      <c r="M608" s="2" t="s">
        <v>2291</v>
      </c>
    </row>
    <row r="609" spans="1:13" x14ac:dyDescent="0.25">
      <c r="A609" s="3" t="s">
        <v>2225</v>
      </c>
      <c r="B609" s="3">
        <v>43732</v>
      </c>
      <c r="C609" s="2" t="s">
        <v>59</v>
      </c>
      <c r="D609" s="2">
        <v>5</v>
      </c>
      <c r="E609" s="2" t="s">
        <v>2243</v>
      </c>
      <c r="F609" s="2" t="s">
        <v>2246</v>
      </c>
      <c r="G609" s="2">
        <v>11</v>
      </c>
      <c r="H609" s="2" t="s">
        <v>2230</v>
      </c>
      <c r="I609" s="3">
        <v>45646</v>
      </c>
      <c r="J609" s="2" t="s">
        <v>1785</v>
      </c>
      <c r="K609" s="2"/>
      <c r="L609" s="2"/>
      <c r="M609" s="2" t="s">
        <v>2291</v>
      </c>
    </row>
    <row r="610" spans="1:13" x14ac:dyDescent="0.25">
      <c r="A610" s="3" t="s">
        <v>2225</v>
      </c>
      <c r="B610" s="3">
        <v>43732</v>
      </c>
      <c r="C610" s="2" t="s">
        <v>59</v>
      </c>
      <c r="D610" s="2">
        <v>5</v>
      </c>
      <c r="E610" s="2" t="s">
        <v>2243</v>
      </c>
      <c r="F610" s="2" t="s">
        <v>2247</v>
      </c>
      <c r="G610" s="2">
        <v>20</v>
      </c>
      <c r="H610" s="2" t="s">
        <v>2230</v>
      </c>
      <c r="I610" s="3">
        <v>45646</v>
      </c>
      <c r="J610" s="2" t="s">
        <v>1785</v>
      </c>
      <c r="K610" s="2"/>
      <c r="L610" s="2"/>
      <c r="M610" s="2" t="s">
        <v>2291</v>
      </c>
    </row>
    <row r="611" spans="1:13" x14ac:dyDescent="0.25">
      <c r="A611" s="3" t="s">
        <v>2225</v>
      </c>
      <c r="B611" s="3">
        <v>43732</v>
      </c>
      <c r="C611" s="2" t="s">
        <v>59</v>
      </c>
      <c r="D611" s="2">
        <v>5</v>
      </c>
      <c r="E611" s="2" t="s">
        <v>2243</v>
      </c>
      <c r="F611" s="2" t="s">
        <v>2248</v>
      </c>
      <c r="G611" s="2">
        <v>31</v>
      </c>
      <c r="H611" s="2" t="s">
        <v>2230</v>
      </c>
      <c r="I611" s="3">
        <v>45646</v>
      </c>
      <c r="J611" s="2" t="s">
        <v>1785</v>
      </c>
      <c r="K611" s="2"/>
      <c r="L611" s="2"/>
      <c r="M611" s="2" t="s">
        <v>2291</v>
      </c>
    </row>
    <row r="612" spans="1:13" x14ac:dyDescent="0.25">
      <c r="A612" s="3" t="s">
        <v>2225</v>
      </c>
      <c r="B612" s="3">
        <v>43732</v>
      </c>
      <c r="C612" s="2" t="s">
        <v>59</v>
      </c>
      <c r="D612" s="2">
        <v>5</v>
      </c>
      <c r="E612" s="2" t="s">
        <v>2243</v>
      </c>
      <c r="F612" s="2" t="s">
        <v>2249</v>
      </c>
      <c r="G612" s="2">
        <v>16</v>
      </c>
      <c r="H612" s="2" t="s">
        <v>2230</v>
      </c>
      <c r="I612" s="3">
        <v>45646</v>
      </c>
      <c r="J612" s="2" t="s">
        <v>1785</v>
      </c>
      <c r="K612" s="2"/>
      <c r="L612" s="2"/>
      <c r="M612" s="2" t="s">
        <v>2291</v>
      </c>
    </row>
    <row r="613" spans="1:13" x14ac:dyDescent="0.25">
      <c r="A613" s="3" t="s">
        <v>2225</v>
      </c>
      <c r="B613" s="3">
        <v>43732</v>
      </c>
      <c r="C613" s="2" t="s">
        <v>59</v>
      </c>
      <c r="D613" s="2">
        <v>5</v>
      </c>
      <c r="E613" s="2" t="s">
        <v>2243</v>
      </c>
      <c r="F613" s="2" t="s">
        <v>2250</v>
      </c>
      <c r="G613" s="2">
        <v>17</v>
      </c>
      <c r="H613" s="2" t="s">
        <v>2230</v>
      </c>
      <c r="I613" s="3">
        <v>45646</v>
      </c>
      <c r="J613" s="2" t="s">
        <v>1785</v>
      </c>
      <c r="K613" s="2"/>
      <c r="L613" s="2"/>
      <c r="M613" s="2" t="s">
        <v>2291</v>
      </c>
    </row>
    <row r="614" spans="1:13" x14ac:dyDescent="0.25">
      <c r="A614" s="3" t="s">
        <v>2225</v>
      </c>
      <c r="B614" s="3">
        <v>43732</v>
      </c>
      <c r="C614" s="2" t="s">
        <v>59</v>
      </c>
      <c r="D614" s="2">
        <v>5</v>
      </c>
      <c r="E614" s="2" t="s">
        <v>2243</v>
      </c>
      <c r="F614" s="2" t="s">
        <v>2251</v>
      </c>
      <c r="G614" s="2">
        <v>44</v>
      </c>
      <c r="H614" s="2" t="s">
        <v>2230</v>
      </c>
      <c r="I614" s="3">
        <v>45646</v>
      </c>
      <c r="J614" s="2" t="s">
        <v>1785</v>
      </c>
      <c r="K614" s="2"/>
      <c r="L614" s="2"/>
      <c r="M614" s="2" t="s">
        <v>2291</v>
      </c>
    </row>
    <row r="615" spans="1:13" x14ac:dyDescent="0.25">
      <c r="A615" s="3" t="s">
        <v>2225</v>
      </c>
      <c r="B615" s="3">
        <v>43732</v>
      </c>
      <c r="C615" s="2" t="s">
        <v>59</v>
      </c>
      <c r="D615" s="2">
        <v>5</v>
      </c>
      <c r="E615" s="2" t="s">
        <v>2243</v>
      </c>
      <c r="F615" s="2" t="s">
        <v>2252</v>
      </c>
      <c r="G615" s="2">
        <v>21</v>
      </c>
      <c r="H615" s="2" t="s">
        <v>2230</v>
      </c>
      <c r="I615" s="3">
        <v>45646</v>
      </c>
      <c r="J615" s="2" t="s">
        <v>1785</v>
      </c>
      <c r="K615" s="2"/>
      <c r="L615" s="2"/>
      <c r="M615" s="2" t="s">
        <v>2291</v>
      </c>
    </row>
    <row r="616" spans="1:13" x14ac:dyDescent="0.25">
      <c r="A616" s="3" t="s">
        <v>2225</v>
      </c>
      <c r="B616" s="3">
        <v>43732</v>
      </c>
      <c r="C616" s="2" t="s">
        <v>59</v>
      </c>
      <c r="D616" s="2">
        <v>5</v>
      </c>
      <c r="E616" s="2" t="s">
        <v>2243</v>
      </c>
      <c r="F616" s="2" t="s">
        <v>2253</v>
      </c>
      <c r="G616" s="2">
        <v>28</v>
      </c>
      <c r="H616" s="2" t="s">
        <v>2230</v>
      </c>
      <c r="I616" s="3">
        <v>45646</v>
      </c>
      <c r="J616" s="2" t="s">
        <v>1785</v>
      </c>
      <c r="K616" s="2"/>
      <c r="L616" s="2"/>
      <c r="M616" s="2" t="s">
        <v>2291</v>
      </c>
    </row>
    <row r="617" spans="1:13" x14ac:dyDescent="0.25">
      <c r="A617" s="3" t="s">
        <v>2225</v>
      </c>
      <c r="B617" s="3">
        <v>43732</v>
      </c>
      <c r="C617" s="2" t="s">
        <v>59</v>
      </c>
      <c r="D617" s="2">
        <v>5</v>
      </c>
      <c r="E617" s="2" t="s">
        <v>2243</v>
      </c>
      <c r="F617" s="2" t="s">
        <v>2254</v>
      </c>
      <c r="G617" s="2">
        <v>50</v>
      </c>
      <c r="H617" s="2" t="s">
        <v>2230</v>
      </c>
      <c r="I617" s="3">
        <v>45646</v>
      </c>
      <c r="J617" s="2" t="s">
        <v>1785</v>
      </c>
      <c r="K617" s="2"/>
      <c r="L617" s="2"/>
      <c r="M617" s="2" t="s">
        <v>2291</v>
      </c>
    </row>
    <row r="618" spans="1:13" x14ac:dyDescent="0.25">
      <c r="A618" s="3" t="s">
        <v>2225</v>
      </c>
      <c r="B618" s="3">
        <v>43732</v>
      </c>
      <c r="C618" s="2" t="s">
        <v>59</v>
      </c>
      <c r="D618" s="2">
        <v>5</v>
      </c>
      <c r="E618" s="2" t="s">
        <v>2243</v>
      </c>
      <c r="F618" s="2" t="s">
        <v>2240</v>
      </c>
      <c r="G618" s="2">
        <v>18</v>
      </c>
      <c r="H618" s="2" t="s">
        <v>2230</v>
      </c>
      <c r="I618" s="3">
        <v>45646</v>
      </c>
      <c r="J618" s="2" t="s">
        <v>1785</v>
      </c>
      <c r="K618" s="2"/>
      <c r="L618" s="2"/>
      <c r="M618" s="2" t="s">
        <v>2291</v>
      </c>
    </row>
    <row r="619" spans="1:13" x14ac:dyDescent="0.25">
      <c r="A619" s="3" t="s">
        <v>2225</v>
      </c>
      <c r="B619" s="3">
        <v>43732</v>
      </c>
      <c r="C619" s="2" t="s">
        <v>59</v>
      </c>
      <c r="D619" s="2">
        <v>5</v>
      </c>
      <c r="E619" s="2" t="s">
        <v>2243</v>
      </c>
      <c r="F619" s="2" t="s">
        <v>2241</v>
      </c>
      <c r="G619" s="2">
        <v>30</v>
      </c>
      <c r="H619" s="2" t="s">
        <v>2230</v>
      </c>
      <c r="I619" s="3">
        <v>45646</v>
      </c>
      <c r="J619" s="2" t="s">
        <v>1785</v>
      </c>
      <c r="K619" s="2"/>
      <c r="L619" s="2"/>
      <c r="M619" s="2" t="s">
        <v>2291</v>
      </c>
    </row>
    <row r="620" spans="1:13" x14ac:dyDescent="0.25">
      <c r="A620" s="3" t="s">
        <v>2225</v>
      </c>
      <c r="B620" s="3">
        <v>43732</v>
      </c>
      <c r="C620" s="2" t="s">
        <v>59</v>
      </c>
      <c r="D620" s="2">
        <v>5</v>
      </c>
      <c r="E620" s="2" t="s">
        <v>2243</v>
      </c>
      <c r="F620" s="2" t="s">
        <v>2242</v>
      </c>
      <c r="G620" s="2">
        <v>26</v>
      </c>
      <c r="H620" s="2" t="s">
        <v>2230</v>
      </c>
      <c r="I620" s="3">
        <v>45646</v>
      </c>
      <c r="J620" s="2" t="s">
        <v>1785</v>
      </c>
      <c r="K620" s="2"/>
      <c r="L620" s="2"/>
      <c r="M620" s="2" t="s">
        <v>2291</v>
      </c>
    </row>
    <row r="621" spans="1:13" x14ac:dyDescent="0.25">
      <c r="A621" s="3" t="s">
        <v>2225</v>
      </c>
      <c r="B621" s="3">
        <v>43732</v>
      </c>
      <c r="C621" s="2" t="s">
        <v>59</v>
      </c>
      <c r="D621" s="2">
        <v>5</v>
      </c>
      <c r="E621" s="2" t="s">
        <v>2243</v>
      </c>
      <c r="F621" s="2" t="s">
        <v>2243</v>
      </c>
      <c r="G621" s="2">
        <v>22</v>
      </c>
      <c r="H621" s="2" t="s">
        <v>2230</v>
      </c>
      <c r="I621" s="3">
        <v>45646</v>
      </c>
      <c r="J621" s="2" t="s">
        <v>1785</v>
      </c>
      <c r="K621" s="2"/>
      <c r="L621" s="2"/>
      <c r="M621" s="2" t="s">
        <v>2291</v>
      </c>
    </row>
    <row r="622" spans="1:13" x14ac:dyDescent="0.25">
      <c r="A622" s="3" t="s">
        <v>2225</v>
      </c>
      <c r="B622" s="3">
        <v>43732</v>
      </c>
      <c r="C622" s="2" t="s">
        <v>59</v>
      </c>
      <c r="D622" s="2">
        <v>5</v>
      </c>
      <c r="E622" s="2" t="s">
        <v>2243</v>
      </c>
      <c r="F622" s="2" t="s">
        <v>2244</v>
      </c>
      <c r="G622" s="2">
        <v>15</v>
      </c>
      <c r="H622" s="2" t="s">
        <v>2230</v>
      </c>
      <c r="I622" s="3">
        <v>45646</v>
      </c>
      <c r="J622" s="2" t="s">
        <v>1785</v>
      </c>
      <c r="K622" s="2"/>
      <c r="L622" s="2"/>
      <c r="M622" s="2" t="s">
        <v>2291</v>
      </c>
    </row>
    <row r="623" spans="1:13" x14ac:dyDescent="0.25">
      <c r="A623" s="3" t="s">
        <v>2225</v>
      </c>
      <c r="B623" s="3">
        <v>43732</v>
      </c>
      <c r="C623" s="2" t="s">
        <v>59</v>
      </c>
      <c r="D623" s="2">
        <v>5</v>
      </c>
      <c r="E623" s="2" t="s">
        <v>2243</v>
      </c>
      <c r="F623" s="2" t="s">
        <v>2245</v>
      </c>
      <c r="G623" s="2">
        <v>28</v>
      </c>
      <c r="H623" s="2" t="s">
        <v>2230</v>
      </c>
      <c r="I623" s="3">
        <v>45646</v>
      </c>
      <c r="J623" s="2" t="s">
        <v>1785</v>
      </c>
      <c r="K623" s="2"/>
      <c r="L623" s="2"/>
      <c r="M623" s="2" t="s">
        <v>2291</v>
      </c>
    </row>
    <row r="624" spans="1:13" x14ac:dyDescent="0.25">
      <c r="A624" s="3" t="s">
        <v>2225</v>
      </c>
      <c r="B624" s="3">
        <v>43732</v>
      </c>
      <c r="C624" s="2" t="s">
        <v>59</v>
      </c>
      <c r="D624" s="2">
        <v>5</v>
      </c>
      <c r="E624" s="2" t="s">
        <v>2243</v>
      </c>
      <c r="F624" s="2" t="s">
        <v>2255</v>
      </c>
      <c r="G624" s="2">
        <v>22</v>
      </c>
      <c r="H624" s="2" t="s">
        <v>2230</v>
      </c>
      <c r="I624" s="3">
        <v>45646</v>
      </c>
      <c r="J624" s="2" t="s">
        <v>1785</v>
      </c>
      <c r="K624" s="2"/>
      <c r="L624" s="2"/>
      <c r="M624" s="2" t="s">
        <v>2291</v>
      </c>
    </row>
    <row r="625" spans="1:13" x14ac:dyDescent="0.25">
      <c r="A625" s="3" t="s">
        <v>2225</v>
      </c>
      <c r="B625" s="3">
        <v>43732</v>
      </c>
      <c r="C625" s="2" t="s">
        <v>59</v>
      </c>
      <c r="D625" s="2">
        <v>5</v>
      </c>
      <c r="E625" s="2" t="s">
        <v>2243</v>
      </c>
      <c r="F625" s="2" t="s">
        <v>2256</v>
      </c>
      <c r="G625" s="2">
        <v>31</v>
      </c>
      <c r="H625" s="2" t="s">
        <v>2230</v>
      </c>
      <c r="I625" s="3">
        <v>45646</v>
      </c>
      <c r="J625" s="2" t="s">
        <v>1785</v>
      </c>
      <c r="K625" s="2"/>
      <c r="L625" s="2"/>
      <c r="M625" s="2" t="s">
        <v>2291</v>
      </c>
    </row>
    <row r="626" spans="1:13" x14ac:dyDescent="0.25">
      <c r="A626" s="3" t="s">
        <v>2225</v>
      </c>
      <c r="B626" s="3">
        <v>43732</v>
      </c>
      <c r="C626" s="2" t="s">
        <v>59</v>
      </c>
      <c r="D626" s="2">
        <v>5</v>
      </c>
      <c r="E626" s="2" t="s">
        <v>2243</v>
      </c>
      <c r="F626" s="2" t="s">
        <v>2257</v>
      </c>
      <c r="G626" s="2">
        <v>20</v>
      </c>
      <c r="H626" s="2" t="s">
        <v>2230</v>
      </c>
      <c r="I626" s="3">
        <v>45646</v>
      </c>
      <c r="J626" s="2" t="s">
        <v>1785</v>
      </c>
      <c r="K626" s="2"/>
      <c r="L626" s="2"/>
      <c r="M626" s="2" t="s">
        <v>2291</v>
      </c>
    </row>
    <row r="627" spans="1:13" x14ac:dyDescent="0.25">
      <c r="A627" s="3" t="s">
        <v>2225</v>
      </c>
      <c r="B627" s="3">
        <v>43732</v>
      </c>
      <c r="C627" s="2" t="s">
        <v>59</v>
      </c>
      <c r="D627" s="2">
        <v>5</v>
      </c>
      <c r="E627" s="2" t="s">
        <v>2243</v>
      </c>
      <c r="F627" s="2" t="s">
        <v>2258</v>
      </c>
      <c r="G627" s="2">
        <v>27</v>
      </c>
      <c r="H627" s="2" t="s">
        <v>2230</v>
      </c>
      <c r="I627" s="3">
        <v>45646</v>
      </c>
      <c r="J627" s="2" t="s">
        <v>1785</v>
      </c>
      <c r="K627" s="2"/>
      <c r="L627" s="2"/>
      <c r="M627" s="2" t="s">
        <v>2291</v>
      </c>
    </row>
    <row r="628" spans="1:13" x14ac:dyDescent="0.25">
      <c r="A628" s="3" t="s">
        <v>2225</v>
      </c>
      <c r="B628" s="3">
        <v>43732</v>
      </c>
      <c r="C628" s="2" t="s">
        <v>59</v>
      </c>
      <c r="D628" s="2">
        <v>5</v>
      </c>
      <c r="E628" s="2" t="s">
        <v>2243</v>
      </c>
      <c r="F628" s="2" t="s">
        <v>2259</v>
      </c>
      <c r="G628" s="2">
        <v>47</v>
      </c>
      <c r="H628" s="2" t="s">
        <v>2230</v>
      </c>
      <c r="I628" s="3">
        <v>45646</v>
      </c>
      <c r="J628" s="2" t="s">
        <v>1785</v>
      </c>
      <c r="K628" s="2"/>
      <c r="L628" s="2"/>
      <c r="M628" s="2" t="s">
        <v>2291</v>
      </c>
    </row>
    <row r="629" spans="1:13" x14ac:dyDescent="0.25">
      <c r="A629" s="3" t="s">
        <v>2225</v>
      </c>
      <c r="B629" s="3">
        <v>43732</v>
      </c>
      <c r="C629" s="2" t="s">
        <v>59</v>
      </c>
      <c r="D629" s="2">
        <v>5</v>
      </c>
      <c r="E629" s="2" t="s">
        <v>2243</v>
      </c>
      <c r="F629" s="2" t="s">
        <v>2260</v>
      </c>
      <c r="G629" s="2">
        <v>27</v>
      </c>
      <c r="H629" s="2" t="s">
        <v>2230</v>
      </c>
      <c r="I629" s="3">
        <v>45646</v>
      </c>
      <c r="J629" s="2" t="s">
        <v>1785</v>
      </c>
      <c r="K629" s="2"/>
      <c r="L629" s="2"/>
      <c r="M629" s="2" t="s">
        <v>2291</v>
      </c>
    </row>
    <row r="630" spans="1:13" x14ac:dyDescent="0.25">
      <c r="A630" s="3" t="s">
        <v>2225</v>
      </c>
      <c r="B630" s="3">
        <v>43732</v>
      </c>
      <c r="C630" s="2" t="s">
        <v>59</v>
      </c>
      <c r="D630" s="2">
        <v>5</v>
      </c>
      <c r="E630" s="2" t="s">
        <v>2243</v>
      </c>
      <c r="F630" s="2" t="s">
        <v>2261</v>
      </c>
      <c r="G630" s="2">
        <v>40</v>
      </c>
      <c r="H630" s="2" t="s">
        <v>2230</v>
      </c>
      <c r="I630" s="3">
        <v>45646</v>
      </c>
      <c r="J630" s="2" t="s">
        <v>1785</v>
      </c>
      <c r="K630" s="2"/>
      <c r="L630" s="2"/>
      <c r="M630" s="2" t="s">
        <v>2291</v>
      </c>
    </row>
    <row r="631" spans="1:13" x14ac:dyDescent="0.25">
      <c r="A631" s="3" t="s">
        <v>2225</v>
      </c>
      <c r="B631" s="3">
        <v>43732</v>
      </c>
      <c r="C631" s="2" t="s">
        <v>59</v>
      </c>
      <c r="D631" s="2">
        <v>5</v>
      </c>
      <c r="E631" s="2" t="s">
        <v>2243</v>
      </c>
      <c r="F631" s="2" t="s">
        <v>2262</v>
      </c>
      <c r="G631" s="2">
        <v>20</v>
      </c>
      <c r="H631" s="2" t="s">
        <v>2230</v>
      </c>
      <c r="I631" s="3">
        <v>45646</v>
      </c>
      <c r="J631" s="2" t="s">
        <v>1785</v>
      </c>
      <c r="K631" s="2"/>
      <c r="L631" s="2"/>
      <c r="M631" s="2" t="s">
        <v>2291</v>
      </c>
    </row>
    <row r="632" spans="1:13" x14ac:dyDescent="0.25">
      <c r="A632" s="3" t="s">
        <v>2225</v>
      </c>
      <c r="B632" s="3">
        <v>43732</v>
      </c>
      <c r="C632" s="2" t="s">
        <v>59</v>
      </c>
      <c r="D632" s="2">
        <v>5</v>
      </c>
      <c r="E632" s="2" t="s">
        <v>2243</v>
      </c>
      <c r="F632" s="2" t="s">
        <v>2263</v>
      </c>
      <c r="G632" s="2">
        <v>33</v>
      </c>
      <c r="H632" s="2" t="s">
        <v>2230</v>
      </c>
      <c r="I632" s="3">
        <v>45646</v>
      </c>
      <c r="J632" s="2" t="s">
        <v>1785</v>
      </c>
      <c r="K632" s="2"/>
      <c r="L632" s="2"/>
      <c r="M632" s="2" t="s">
        <v>2291</v>
      </c>
    </row>
    <row r="633" spans="1:13" x14ac:dyDescent="0.25">
      <c r="A633" s="3" t="s">
        <v>2225</v>
      </c>
      <c r="B633" s="3">
        <v>43732</v>
      </c>
      <c r="C633" s="2" t="s">
        <v>59</v>
      </c>
      <c r="D633" s="2">
        <v>5</v>
      </c>
      <c r="E633" s="2" t="s">
        <v>2243</v>
      </c>
      <c r="F633" s="2" t="s">
        <v>2264</v>
      </c>
      <c r="G633" s="2">
        <v>17</v>
      </c>
      <c r="H633" s="2" t="s">
        <v>2230</v>
      </c>
      <c r="I633" s="3">
        <v>45646</v>
      </c>
      <c r="J633" s="2" t="s">
        <v>1785</v>
      </c>
      <c r="K633" s="2"/>
      <c r="L633" s="2"/>
      <c r="M633" s="2" t="s">
        <v>2291</v>
      </c>
    </row>
    <row r="634" spans="1:13" x14ac:dyDescent="0.25">
      <c r="A634" s="3" t="s">
        <v>2225</v>
      </c>
      <c r="B634" s="3">
        <v>43732</v>
      </c>
      <c r="C634" s="2" t="s">
        <v>59</v>
      </c>
      <c r="D634" s="2">
        <v>5</v>
      </c>
      <c r="E634" s="2" t="s">
        <v>2243</v>
      </c>
      <c r="F634" s="2" t="s">
        <v>2265</v>
      </c>
      <c r="G634" s="2">
        <v>33</v>
      </c>
      <c r="H634" s="2" t="s">
        <v>2230</v>
      </c>
      <c r="I634" s="3">
        <v>45646</v>
      </c>
      <c r="J634" s="2" t="s">
        <v>1785</v>
      </c>
      <c r="K634" s="2"/>
      <c r="L634" s="2"/>
      <c r="M634" s="2" t="s">
        <v>2291</v>
      </c>
    </row>
    <row r="635" spans="1:13" x14ac:dyDescent="0.25">
      <c r="A635" s="3" t="s">
        <v>2225</v>
      </c>
      <c r="B635" s="3">
        <v>43732</v>
      </c>
      <c r="C635" s="2" t="s">
        <v>59</v>
      </c>
      <c r="D635" s="2">
        <v>5</v>
      </c>
      <c r="E635" s="2" t="s">
        <v>2243</v>
      </c>
      <c r="F635" s="2" t="s">
        <v>2266</v>
      </c>
      <c r="G635" s="2">
        <v>16</v>
      </c>
      <c r="H635" s="2" t="s">
        <v>2230</v>
      </c>
      <c r="I635" s="3">
        <v>45646</v>
      </c>
      <c r="J635" s="2" t="s">
        <v>1785</v>
      </c>
      <c r="K635" s="2"/>
      <c r="L635" s="2"/>
      <c r="M635" s="2" t="s">
        <v>2291</v>
      </c>
    </row>
    <row r="636" spans="1:13" x14ac:dyDescent="0.25">
      <c r="A636" s="3" t="s">
        <v>2225</v>
      </c>
      <c r="B636" s="3">
        <v>43732</v>
      </c>
      <c r="C636" s="2" t="s">
        <v>59</v>
      </c>
      <c r="D636" s="2">
        <v>5</v>
      </c>
      <c r="E636" s="2" t="s">
        <v>2243</v>
      </c>
      <c r="F636" s="2" t="s">
        <v>2267</v>
      </c>
      <c r="G636" s="2">
        <v>40</v>
      </c>
      <c r="H636" s="2" t="s">
        <v>2230</v>
      </c>
      <c r="I636" s="3">
        <v>45646</v>
      </c>
      <c r="J636" s="2" t="s">
        <v>1785</v>
      </c>
      <c r="K636" s="2"/>
      <c r="L636" s="2"/>
      <c r="M636" s="2" t="s">
        <v>2291</v>
      </c>
    </row>
    <row r="637" spans="1:13" x14ac:dyDescent="0.25">
      <c r="A637" s="3" t="s">
        <v>2225</v>
      </c>
      <c r="B637" s="3">
        <v>43732</v>
      </c>
      <c r="C637" s="2" t="s">
        <v>59</v>
      </c>
      <c r="D637" s="2">
        <v>5</v>
      </c>
      <c r="E637" s="2" t="s">
        <v>2243</v>
      </c>
      <c r="F637" s="2" t="s">
        <v>2268</v>
      </c>
      <c r="G637" s="2">
        <v>36</v>
      </c>
      <c r="H637" s="2" t="s">
        <v>2230</v>
      </c>
      <c r="I637" s="3">
        <v>45646</v>
      </c>
      <c r="J637" s="2" t="s">
        <v>1785</v>
      </c>
      <c r="K637" s="2"/>
      <c r="L637" s="2"/>
      <c r="M637" s="2" t="s">
        <v>2291</v>
      </c>
    </row>
    <row r="638" spans="1:13" x14ac:dyDescent="0.25">
      <c r="A638" s="3" t="s">
        <v>2225</v>
      </c>
      <c r="B638" s="3">
        <v>43732</v>
      </c>
      <c r="C638" s="2" t="s">
        <v>59</v>
      </c>
      <c r="D638" s="2">
        <v>5</v>
      </c>
      <c r="E638" s="2" t="s">
        <v>2243</v>
      </c>
      <c r="F638" s="2" t="s">
        <v>2269</v>
      </c>
      <c r="G638" s="2">
        <v>15</v>
      </c>
      <c r="H638" s="2" t="s">
        <v>2230</v>
      </c>
      <c r="I638" s="3">
        <v>45646</v>
      </c>
      <c r="J638" s="2" t="s">
        <v>1785</v>
      </c>
      <c r="K638" s="2"/>
      <c r="L638" s="2"/>
      <c r="M638" s="2" t="s">
        <v>2291</v>
      </c>
    </row>
    <row r="639" spans="1:13" x14ac:dyDescent="0.25">
      <c r="A639" s="3" t="s">
        <v>2225</v>
      </c>
      <c r="B639" s="3">
        <v>43732</v>
      </c>
      <c r="C639" s="2" t="s">
        <v>59</v>
      </c>
      <c r="D639" s="2">
        <v>5</v>
      </c>
      <c r="E639" s="2" t="s">
        <v>2243</v>
      </c>
      <c r="F639" s="2" t="s">
        <v>2270</v>
      </c>
      <c r="G639" s="2">
        <v>8</v>
      </c>
      <c r="H639" s="2" t="s">
        <v>2230</v>
      </c>
      <c r="I639" s="3">
        <v>45646</v>
      </c>
      <c r="J639" s="2" t="s">
        <v>1785</v>
      </c>
      <c r="K639" s="2"/>
      <c r="L639" s="2"/>
      <c r="M639" s="2" t="s">
        <v>2291</v>
      </c>
    </row>
    <row r="640" spans="1:13" x14ac:dyDescent="0.25">
      <c r="A640" s="3" t="s">
        <v>2225</v>
      </c>
      <c r="B640" s="3">
        <v>43732</v>
      </c>
      <c r="C640" s="2" t="s">
        <v>59</v>
      </c>
      <c r="D640" s="2">
        <v>5</v>
      </c>
      <c r="E640" s="2" t="s">
        <v>2243</v>
      </c>
      <c r="F640" s="2" t="s">
        <v>2271</v>
      </c>
      <c r="G640" s="2">
        <v>12</v>
      </c>
      <c r="H640" s="2" t="s">
        <v>2230</v>
      </c>
      <c r="I640" s="3">
        <v>45646</v>
      </c>
      <c r="J640" s="2" t="s">
        <v>1785</v>
      </c>
      <c r="K640" s="2"/>
      <c r="L640" s="2"/>
      <c r="M640" s="2" t="s">
        <v>2291</v>
      </c>
    </row>
    <row r="641" spans="1:13" x14ac:dyDescent="0.25">
      <c r="A641" s="3" t="s">
        <v>2225</v>
      </c>
      <c r="B641" s="3">
        <v>43732</v>
      </c>
      <c r="C641" s="2" t="s">
        <v>59</v>
      </c>
      <c r="D641" s="2">
        <v>5</v>
      </c>
      <c r="E641" s="2" t="s">
        <v>2243</v>
      </c>
      <c r="F641" s="2" t="s">
        <v>2272</v>
      </c>
      <c r="G641" s="2">
        <v>35</v>
      </c>
      <c r="H641" s="2" t="s">
        <v>2230</v>
      </c>
      <c r="I641" s="3">
        <v>45646</v>
      </c>
      <c r="J641" s="2" t="s">
        <v>1785</v>
      </c>
      <c r="K641" s="2"/>
      <c r="L641" s="2"/>
      <c r="M641" s="2" t="s">
        <v>2291</v>
      </c>
    </row>
    <row r="642" spans="1:13" x14ac:dyDescent="0.25">
      <c r="A642" s="3" t="s">
        <v>2225</v>
      </c>
      <c r="B642" s="3">
        <v>43732</v>
      </c>
      <c r="C642" s="2" t="s">
        <v>59</v>
      </c>
      <c r="D642" s="2">
        <v>5</v>
      </c>
      <c r="E642" s="2" t="s">
        <v>2243</v>
      </c>
      <c r="F642" s="2" t="s">
        <v>2273</v>
      </c>
      <c r="G642" s="2">
        <v>30</v>
      </c>
      <c r="H642" s="2" t="s">
        <v>2230</v>
      </c>
      <c r="I642" s="3">
        <v>45646</v>
      </c>
      <c r="J642" s="2" t="s">
        <v>1785</v>
      </c>
      <c r="K642" s="2"/>
      <c r="L642" s="2"/>
      <c r="M642" s="2" t="s">
        <v>2291</v>
      </c>
    </row>
    <row r="643" spans="1:13" x14ac:dyDescent="0.25">
      <c r="A643" s="3" t="s">
        <v>2225</v>
      </c>
      <c r="B643" s="3">
        <v>43732</v>
      </c>
      <c r="C643" s="2" t="s">
        <v>59</v>
      </c>
      <c r="D643" s="2">
        <v>5</v>
      </c>
      <c r="E643" s="2" t="s">
        <v>2243</v>
      </c>
      <c r="F643" s="2" t="s">
        <v>2274</v>
      </c>
      <c r="G643" s="2">
        <v>25</v>
      </c>
      <c r="H643" s="2" t="s">
        <v>2230</v>
      </c>
      <c r="I643" s="3">
        <v>45646</v>
      </c>
      <c r="J643" s="2" t="s">
        <v>1785</v>
      </c>
      <c r="K643" s="2"/>
      <c r="L643" s="2"/>
      <c r="M643" s="2" t="s">
        <v>2291</v>
      </c>
    </row>
    <row r="644" spans="1:13" x14ac:dyDescent="0.25">
      <c r="A644" s="3" t="s">
        <v>2225</v>
      </c>
      <c r="B644" s="3">
        <v>43732</v>
      </c>
      <c r="C644" s="2" t="s">
        <v>59</v>
      </c>
      <c r="D644" s="2">
        <v>5</v>
      </c>
      <c r="E644" s="2" t="s">
        <v>2243</v>
      </c>
      <c r="F644" s="2" t="s">
        <v>2275</v>
      </c>
      <c r="G644" s="2">
        <v>15</v>
      </c>
      <c r="H644" s="2" t="s">
        <v>2230</v>
      </c>
      <c r="I644" s="3">
        <v>45646</v>
      </c>
      <c r="J644" s="2" t="s">
        <v>1785</v>
      </c>
      <c r="K644" s="2"/>
      <c r="L644" s="2"/>
      <c r="M644" s="2" t="s">
        <v>2291</v>
      </c>
    </row>
    <row r="645" spans="1:13" x14ac:dyDescent="0.25">
      <c r="A645" s="3" t="s">
        <v>2225</v>
      </c>
      <c r="B645" s="3">
        <v>43732</v>
      </c>
      <c r="C645" s="2" t="s">
        <v>59</v>
      </c>
      <c r="D645" s="2">
        <v>5</v>
      </c>
      <c r="E645" s="2" t="s">
        <v>2243</v>
      </c>
      <c r="F645" s="2" t="s">
        <v>2276</v>
      </c>
      <c r="G645" s="2">
        <v>55</v>
      </c>
      <c r="H645" s="2" t="s">
        <v>2230</v>
      </c>
      <c r="I645" s="3">
        <v>45646</v>
      </c>
      <c r="J645" s="2" t="s">
        <v>1785</v>
      </c>
      <c r="K645" s="2"/>
      <c r="L645" s="2"/>
      <c r="M645" s="2" t="s">
        <v>2291</v>
      </c>
    </row>
    <row r="646" spans="1:13" x14ac:dyDescent="0.25">
      <c r="A646" s="3" t="s">
        <v>2225</v>
      </c>
      <c r="B646" s="3">
        <v>43732</v>
      </c>
      <c r="C646" s="2" t="s">
        <v>59</v>
      </c>
      <c r="D646" s="2">
        <v>5</v>
      </c>
      <c r="E646" s="2" t="s">
        <v>2243</v>
      </c>
      <c r="F646" s="2" t="s">
        <v>2277</v>
      </c>
      <c r="G646" s="2">
        <v>29</v>
      </c>
      <c r="H646" s="2" t="s">
        <v>2230</v>
      </c>
      <c r="I646" s="3">
        <v>45646</v>
      </c>
      <c r="J646" s="2" t="s">
        <v>1785</v>
      </c>
      <c r="K646" s="2"/>
      <c r="L646" s="2"/>
      <c r="M646" s="2" t="s">
        <v>2291</v>
      </c>
    </row>
    <row r="647" spans="1:13" x14ac:dyDescent="0.25">
      <c r="A647" s="3" t="s">
        <v>2225</v>
      </c>
      <c r="B647" s="3">
        <v>43732</v>
      </c>
      <c r="C647" s="2" t="s">
        <v>59</v>
      </c>
      <c r="D647" s="2">
        <v>5</v>
      </c>
      <c r="E647" s="2" t="s">
        <v>2243</v>
      </c>
      <c r="F647" s="2" t="s">
        <v>2278</v>
      </c>
      <c r="G647" s="2">
        <v>65</v>
      </c>
      <c r="H647" s="2" t="s">
        <v>2230</v>
      </c>
      <c r="I647" s="3">
        <v>45646</v>
      </c>
      <c r="J647" s="2" t="s">
        <v>1785</v>
      </c>
      <c r="K647" s="2"/>
      <c r="L647" s="2"/>
      <c r="M647" s="2" t="s">
        <v>2291</v>
      </c>
    </row>
    <row r="648" spans="1:13" x14ac:dyDescent="0.25">
      <c r="A648" s="3" t="s">
        <v>2225</v>
      </c>
      <c r="B648" s="3">
        <v>43732</v>
      </c>
      <c r="C648" s="2" t="s">
        <v>59</v>
      </c>
      <c r="D648" s="2">
        <v>5</v>
      </c>
      <c r="E648" s="2" t="s">
        <v>2243</v>
      </c>
      <c r="F648" s="2" t="s">
        <v>2279</v>
      </c>
      <c r="G648" s="2">
        <v>27</v>
      </c>
      <c r="H648" s="2" t="s">
        <v>2230</v>
      </c>
      <c r="I648" s="3">
        <v>45646</v>
      </c>
      <c r="J648" s="2" t="s">
        <v>1785</v>
      </c>
      <c r="K648" s="2"/>
      <c r="L648" s="2"/>
      <c r="M648" s="2" t="s">
        <v>2291</v>
      </c>
    </row>
    <row r="649" spans="1:13" x14ac:dyDescent="0.25">
      <c r="A649" s="3" t="s">
        <v>2225</v>
      </c>
      <c r="B649" s="3">
        <v>43732</v>
      </c>
      <c r="C649" s="2" t="s">
        <v>59</v>
      </c>
      <c r="D649" s="2">
        <v>5</v>
      </c>
      <c r="E649" s="2" t="s">
        <v>2243</v>
      </c>
      <c r="F649" s="2" t="s">
        <v>2280</v>
      </c>
      <c r="G649" s="2">
        <v>5</v>
      </c>
      <c r="H649" s="2" t="s">
        <v>2230</v>
      </c>
      <c r="I649" s="3">
        <v>45646</v>
      </c>
      <c r="J649" s="2" t="s">
        <v>1785</v>
      </c>
      <c r="K649" s="2"/>
      <c r="L649" s="2"/>
      <c r="M649" s="2" t="s">
        <v>2291</v>
      </c>
    </row>
    <row r="650" spans="1:13" x14ac:dyDescent="0.25">
      <c r="A650" s="3" t="s">
        <v>2225</v>
      </c>
      <c r="B650" s="3">
        <v>43732</v>
      </c>
      <c r="C650" s="2" t="s">
        <v>59</v>
      </c>
      <c r="D650" s="2">
        <v>5</v>
      </c>
      <c r="E650" s="2" t="s">
        <v>2243</v>
      </c>
      <c r="F650" s="2" t="s">
        <v>2281</v>
      </c>
      <c r="G650" s="2">
        <v>37</v>
      </c>
      <c r="H650" s="2" t="s">
        <v>2230</v>
      </c>
      <c r="I650" s="3">
        <v>45646</v>
      </c>
      <c r="J650" s="2" t="s">
        <v>1785</v>
      </c>
      <c r="K650" s="2"/>
      <c r="L650" s="2"/>
      <c r="M650" s="2" t="s">
        <v>2291</v>
      </c>
    </row>
    <row r="651" spans="1:13" x14ac:dyDescent="0.25">
      <c r="A651" s="3" t="s">
        <v>2225</v>
      </c>
      <c r="B651" s="3">
        <v>43732</v>
      </c>
      <c r="C651" s="2" t="s">
        <v>59</v>
      </c>
      <c r="D651" s="2">
        <v>5</v>
      </c>
      <c r="E651" s="2" t="s">
        <v>2243</v>
      </c>
      <c r="F651" s="2" t="s">
        <v>2282</v>
      </c>
      <c r="G651" s="2">
        <v>25</v>
      </c>
      <c r="H651" s="2" t="s">
        <v>2230</v>
      </c>
      <c r="I651" s="3">
        <v>45646</v>
      </c>
      <c r="J651" s="2" t="s">
        <v>1785</v>
      </c>
      <c r="K651" s="2"/>
      <c r="L651" s="2"/>
      <c r="M651" s="2" t="s">
        <v>2291</v>
      </c>
    </row>
    <row r="652" spans="1:13" x14ac:dyDescent="0.25">
      <c r="A652" s="3" t="s">
        <v>2225</v>
      </c>
      <c r="B652" s="3">
        <v>43732</v>
      </c>
      <c r="C652" s="2" t="s">
        <v>59</v>
      </c>
      <c r="D652" s="2">
        <v>5</v>
      </c>
      <c r="E652" s="2" t="s">
        <v>2243</v>
      </c>
      <c r="F652" s="2" t="s">
        <v>2283</v>
      </c>
      <c r="G652" s="2">
        <v>34</v>
      </c>
      <c r="H652" s="2" t="s">
        <v>2230</v>
      </c>
      <c r="I652" s="3">
        <v>45646</v>
      </c>
      <c r="J652" s="2" t="s">
        <v>1785</v>
      </c>
      <c r="K652" s="2"/>
      <c r="L652" s="2"/>
      <c r="M652" s="2" t="s">
        <v>2291</v>
      </c>
    </row>
    <row r="653" spans="1:13" x14ac:dyDescent="0.25">
      <c r="A653" s="3" t="s">
        <v>2225</v>
      </c>
      <c r="B653" s="3">
        <v>43732</v>
      </c>
      <c r="C653" s="2" t="s">
        <v>59</v>
      </c>
      <c r="D653" s="2">
        <v>5</v>
      </c>
      <c r="E653" s="2" t="s">
        <v>2243</v>
      </c>
      <c r="F653" s="2" t="s">
        <v>2284</v>
      </c>
      <c r="G653" s="2">
        <v>24</v>
      </c>
      <c r="H653" s="2" t="s">
        <v>2230</v>
      </c>
      <c r="I653" s="3">
        <v>45646</v>
      </c>
      <c r="J653" s="2" t="s">
        <v>1785</v>
      </c>
      <c r="K653" s="2"/>
      <c r="L653" s="2"/>
      <c r="M653" s="2" t="s">
        <v>2291</v>
      </c>
    </row>
    <row r="654" spans="1:13" x14ac:dyDescent="0.25">
      <c r="A654" s="3" t="s">
        <v>2225</v>
      </c>
      <c r="B654" s="3">
        <v>43732</v>
      </c>
      <c r="C654" s="2" t="s">
        <v>59</v>
      </c>
      <c r="D654" s="2">
        <v>5</v>
      </c>
      <c r="E654" s="2" t="s">
        <v>2243</v>
      </c>
      <c r="F654" s="2" t="s">
        <v>2285</v>
      </c>
      <c r="G654" s="2">
        <v>22</v>
      </c>
      <c r="H654" s="2" t="s">
        <v>2230</v>
      </c>
      <c r="I654" s="3">
        <v>45646</v>
      </c>
      <c r="J654" s="2" t="s">
        <v>1785</v>
      </c>
      <c r="K654" s="2"/>
      <c r="L654" s="2"/>
      <c r="M654" s="2" t="s">
        <v>2291</v>
      </c>
    </row>
    <row r="655" spans="1:13" x14ac:dyDescent="0.25">
      <c r="A655" s="3" t="s">
        <v>2225</v>
      </c>
      <c r="B655" s="3">
        <v>43732</v>
      </c>
      <c r="C655" s="2" t="s">
        <v>59</v>
      </c>
      <c r="D655" s="2">
        <v>5</v>
      </c>
      <c r="E655" s="2" t="s">
        <v>2243</v>
      </c>
      <c r="F655" s="2" t="s">
        <v>2286</v>
      </c>
      <c r="G655" s="2">
        <v>18</v>
      </c>
      <c r="H655" s="2" t="s">
        <v>2230</v>
      </c>
      <c r="I655" s="3">
        <v>45646</v>
      </c>
      <c r="J655" s="2" t="s">
        <v>1785</v>
      </c>
      <c r="K655" s="2"/>
      <c r="L655" s="2"/>
      <c r="M655" s="2" t="s">
        <v>2291</v>
      </c>
    </row>
    <row r="656" spans="1:13" x14ac:dyDescent="0.25">
      <c r="A656" s="3" t="s">
        <v>2225</v>
      </c>
      <c r="B656" s="3">
        <v>43732</v>
      </c>
      <c r="C656" s="2" t="s">
        <v>59</v>
      </c>
      <c r="D656" s="2">
        <v>5</v>
      </c>
      <c r="E656" s="2" t="s">
        <v>2243</v>
      </c>
      <c r="F656" s="2" t="s">
        <v>2287</v>
      </c>
      <c r="G656" s="2">
        <v>46</v>
      </c>
      <c r="H656" s="2" t="s">
        <v>2230</v>
      </c>
      <c r="I656" s="3">
        <v>45646</v>
      </c>
      <c r="J656" s="2" t="s">
        <v>1785</v>
      </c>
      <c r="K656" s="2"/>
      <c r="L656" s="2"/>
      <c r="M656" s="2" t="s">
        <v>2291</v>
      </c>
    </row>
    <row r="657" spans="1:13" x14ac:dyDescent="0.25">
      <c r="A657" s="3" t="s">
        <v>2225</v>
      </c>
      <c r="B657" s="3">
        <v>43732</v>
      </c>
      <c r="C657" s="2" t="s">
        <v>59</v>
      </c>
      <c r="D657" s="2">
        <v>5</v>
      </c>
      <c r="E657" s="2" t="s">
        <v>2243</v>
      </c>
      <c r="F657" s="2" t="s">
        <v>2288</v>
      </c>
      <c r="G657" s="2">
        <v>36</v>
      </c>
      <c r="H657" s="2" t="s">
        <v>2230</v>
      </c>
      <c r="I657" s="3">
        <v>45646</v>
      </c>
      <c r="J657" s="2" t="s">
        <v>1785</v>
      </c>
      <c r="K657" s="2"/>
      <c r="L657" s="2"/>
      <c r="M657" s="2" t="s">
        <v>2291</v>
      </c>
    </row>
    <row r="658" spans="1:13" x14ac:dyDescent="0.25">
      <c r="A658" s="3" t="s">
        <v>2225</v>
      </c>
      <c r="B658" s="3">
        <v>43732</v>
      </c>
      <c r="C658" s="2" t="s">
        <v>59</v>
      </c>
      <c r="D658" s="2">
        <v>5</v>
      </c>
      <c r="E658" s="2" t="s">
        <v>2243</v>
      </c>
      <c r="F658" s="2" t="s">
        <v>2289</v>
      </c>
      <c r="G658" s="2">
        <v>20</v>
      </c>
      <c r="H658" s="2" t="s">
        <v>2230</v>
      </c>
      <c r="I658" s="3">
        <v>45646</v>
      </c>
      <c r="J658" s="2" t="s">
        <v>1785</v>
      </c>
      <c r="K658" s="2"/>
      <c r="L658" s="2"/>
      <c r="M658" s="2" t="s">
        <v>2291</v>
      </c>
    </row>
    <row r="659" spans="1:13" x14ac:dyDescent="0.25">
      <c r="A659" s="3" t="s">
        <v>2225</v>
      </c>
      <c r="B659" s="3">
        <v>43732</v>
      </c>
      <c r="C659" s="2" t="s">
        <v>59</v>
      </c>
      <c r="D659" s="2">
        <v>5</v>
      </c>
      <c r="E659" s="2" t="s">
        <v>2244</v>
      </c>
      <c r="F659" s="2" t="s">
        <v>2246</v>
      </c>
      <c r="G659" s="2">
        <v>28</v>
      </c>
      <c r="H659" s="2" t="s">
        <v>2230</v>
      </c>
      <c r="I659" s="3">
        <v>45646</v>
      </c>
      <c r="J659" s="2" t="s">
        <v>1785</v>
      </c>
      <c r="K659" s="2"/>
      <c r="L659" s="2"/>
      <c r="M659" s="2" t="s">
        <v>2291</v>
      </c>
    </row>
    <row r="660" spans="1:13" x14ac:dyDescent="0.25">
      <c r="A660" s="3" t="s">
        <v>2225</v>
      </c>
      <c r="B660" s="3">
        <v>43732</v>
      </c>
      <c r="C660" s="2" t="s">
        <v>59</v>
      </c>
      <c r="D660" s="2">
        <v>5</v>
      </c>
      <c r="E660" s="2" t="s">
        <v>2244</v>
      </c>
      <c r="F660" s="2" t="s">
        <v>2247</v>
      </c>
      <c r="G660" s="2">
        <v>31</v>
      </c>
      <c r="H660" s="2" t="s">
        <v>2230</v>
      </c>
      <c r="I660" s="3">
        <v>45646</v>
      </c>
      <c r="J660" s="2" t="s">
        <v>1785</v>
      </c>
      <c r="K660" s="2"/>
      <c r="L660" s="2"/>
      <c r="M660" s="2" t="s">
        <v>2291</v>
      </c>
    </row>
    <row r="661" spans="1:13" x14ac:dyDescent="0.25">
      <c r="A661" s="3" t="s">
        <v>2225</v>
      </c>
      <c r="B661" s="3">
        <v>43732</v>
      </c>
      <c r="C661" s="2" t="s">
        <v>59</v>
      </c>
      <c r="D661" s="2">
        <v>5</v>
      </c>
      <c r="E661" s="2" t="s">
        <v>2244</v>
      </c>
      <c r="F661" s="2" t="s">
        <v>2248</v>
      </c>
      <c r="G661" s="2">
        <v>32</v>
      </c>
      <c r="H661" s="2" t="s">
        <v>2230</v>
      </c>
      <c r="I661" s="3">
        <v>45646</v>
      </c>
      <c r="J661" s="2" t="s">
        <v>1785</v>
      </c>
      <c r="K661" s="2"/>
      <c r="L661" s="2"/>
      <c r="M661" s="2" t="s">
        <v>2291</v>
      </c>
    </row>
    <row r="662" spans="1:13" x14ac:dyDescent="0.25">
      <c r="A662" s="3" t="s">
        <v>2225</v>
      </c>
      <c r="B662" s="3">
        <v>43732</v>
      </c>
      <c r="C662" s="2" t="s">
        <v>59</v>
      </c>
      <c r="D662" s="2">
        <v>5</v>
      </c>
      <c r="E662" s="2" t="s">
        <v>2244</v>
      </c>
      <c r="F662" s="2" t="s">
        <v>2249</v>
      </c>
      <c r="G662" s="2">
        <v>30</v>
      </c>
      <c r="H662" s="2" t="s">
        <v>2230</v>
      </c>
      <c r="I662" s="3">
        <v>45646</v>
      </c>
      <c r="J662" s="2" t="s">
        <v>1785</v>
      </c>
      <c r="K662" s="2"/>
      <c r="L662" s="2"/>
      <c r="M662" s="2" t="s">
        <v>2291</v>
      </c>
    </row>
    <row r="663" spans="1:13" x14ac:dyDescent="0.25">
      <c r="A663" s="3" t="s">
        <v>2225</v>
      </c>
      <c r="B663" s="3">
        <v>43732</v>
      </c>
      <c r="C663" s="2" t="s">
        <v>59</v>
      </c>
      <c r="D663" s="2">
        <v>5</v>
      </c>
      <c r="E663" s="2" t="s">
        <v>2244</v>
      </c>
      <c r="F663" s="2" t="s">
        <v>2250</v>
      </c>
      <c r="G663" s="2">
        <v>18</v>
      </c>
      <c r="H663" s="2" t="s">
        <v>2230</v>
      </c>
      <c r="I663" s="3">
        <v>45646</v>
      </c>
      <c r="J663" s="2" t="s">
        <v>1785</v>
      </c>
      <c r="K663" s="2"/>
      <c r="L663" s="2"/>
      <c r="M663" s="2" t="s">
        <v>2291</v>
      </c>
    </row>
    <row r="664" spans="1:13" x14ac:dyDescent="0.25">
      <c r="A664" s="3" t="s">
        <v>2225</v>
      </c>
      <c r="B664" s="3">
        <v>43732</v>
      </c>
      <c r="C664" s="2" t="s">
        <v>59</v>
      </c>
      <c r="D664" s="2">
        <v>5</v>
      </c>
      <c r="E664" s="2" t="s">
        <v>2244</v>
      </c>
      <c r="F664" s="2" t="s">
        <v>2251</v>
      </c>
      <c r="G664" s="2">
        <v>24</v>
      </c>
      <c r="H664" s="2" t="s">
        <v>2230</v>
      </c>
      <c r="I664" s="3">
        <v>45646</v>
      </c>
      <c r="J664" s="2" t="s">
        <v>1785</v>
      </c>
      <c r="K664" s="2"/>
      <c r="L664" s="2"/>
      <c r="M664" s="2" t="s">
        <v>2291</v>
      </c>
    </row>
    <row r="665" spans="1:13" x14ac:dyDescent="0.25">
      <c r="A665" s="3" t="s">
        <v>2225</v>
      </c>
      <c r="B665" s="3">
        <v>43732</v>
      </c>
      <c r="C665" s="2" t="s">
        <v>59</v>
      </c>
      <c r="D665" s="2">
        <v>5</v>
      </c>
      <c r="E665" s="2" t="s">
        <v>2244</v>
      </c>
      <c r="F665" s="2" t="s">
        <v>2252</v>
      </c>
      <c r="G665" s="2">
        <v>25</v>
      </c>
      <c r="H665" s="2" t="s">
        <v>2230</v>
      </c>
      <c r="I665" s="3">
        <v>45646</v>
      </c>
      <c r="J665" s="2" t="s">
        <v>1785</v>
      </c>
      <c r="K665" s="2"/>
      <c r="L665" s="2"/>
      <c r="M665" s="2" t="s">
        <v>2291</v>
      </c>
    </row>
    <row r="666" spans="1:13" x14ac:dyDescent="0.25">
      <c r="A666" s="3" t="s">
        <v>2225</v>
      </c>
      <c r="B666" s="3">
        <v>43732</v>
      </c>
      <c r="C666" s="2" t="s">
        <v>59</v>
      </c>
      <c r="D666" s="2">
        <v>5</v>
      </c>
      <c r="E666" s="2" t="s">
        <v>2244</v>
      </c>
      <c r="F666" s="2" t="s">
        <v>2253</v>
      </c>
      <c r="G666" s="2">
        <v>20</v>
      </c>
      <c r="H666" s="2" t="s">
        <v>2230</v>
      </c>
      <c r="I666" s="3">
        <v>45646</v>
      </c>
      <c r="J666" s="2" t="s">
        <v>1785</v>
      </c>
      <c r="K666" s="2"/>
      <c r="L666" s="2"/>
      <c r="M666" s="2" t="s">
        <v>2291</v>
      </c>
    </row>
    <row r="667" spans="1:13" x14ac:dyDescent="0.25">
      <c r="A667" s="3" t="s">
        <v>2225</v>
      </c>
      <c r="B667" s="3">
        <v>43732</v>
      </c>
      <c r="C667" s="2" t="s">
        <v>59</v>
      </c>
      <c r="D667" s="2">
        <v>5</v>
      </c>
      <c r="E667" s="2" t="s">
        <v>2244</v>
      </c>
      <c r="F667" s="2" t="s">
        <v>2254</v>
      </c>
      <c r="G667" s="2">
        <v>24</v>
      </c>
      <c r="H667" s="2" t="s">
        <v>2230</v>
      </c>
      <c r="I667" s="3">
        <v>45646</v>
      </c>
      <c r="J667" s="2" t="s">
        <v>1785</v>
      </c>
      <c r="K667" s="2"/>
      <c r="L667" s="2"/>
      <c r="M667" s="2" t="s">
        <v>2291</v>
      </c>
    </row>
    <row r="668" spans="1:13" x14ac:dyDescent="0.25">
      <c r="A668" s="3" t="s">
        <v>2225</v>
      </c>
      <c r="B668" s="3">
        <v>43732</v>
      </c>
      <c r="C668" s="2" t="s">
        <v>59</v>
      </c>
      <c r="D668" s="2">
        <v>5</v>
      </c>
      <c r="E668" s="2" t="s">
        <v>2244</v>
      </c>
      <c r="F668" s="2" t="s">
        <v>2240</v>
      </c>
      <c r="G668" s="2">
        <v>10</v>
      </c>
      <c r="H668" s="2" t="s">
        <v>2230</v>
      </c>
      <c r="I668" s="3">
        <v>45646</v>
      </c>
      <c r="J668" s="2" t="s">
        <v>1785</v>
      </c>
      <c r="K668" s="2"/>
      <c r="L668" s="2"/>
      <c r="M668" s="2" t="s">
        <v>2291</v>
      </c>
    </row>
    <row r="669" spans="1:13" x14ac:dyDescent="0.25">
      <c r="A669" s="3" t="s">
        <v>2225</v>
      </c>
      <c r="B669" s="3">
        <v>43732</v>
      </c>
      <c r="C669" s="2" t="s">
        <v>59</v>
      </c>
      <c r="D669" s="2">
        <v>5</v>
      </c>
      <c r="E669" s="2" t="s">
        <v>2244</v>
      </c>
      <c r="F669" s="2" t="s">
        <v>2241</v>
      </c>
      <c r="G669" s="2">
        <v>56</v>
      </c>
      <c r="H669" s="2" t="s">
        <v>2230</v>
      </c>
      <c r="I669" s="3">
        <v>45646</v>
      </c>
      <c r="J669" s="2" t="s">
        <v>1785</v>
      </c>
      <c r="K669" s="2"/>
      <c r="L669" s="2"/>
      <c r="M669" s="2" t="s">
        <v>2291</v>
      </c>
    </row>
    <row r="670" spans="1:13" x14ac:dyDescent="0.25">
      <c r="A670" s="3" t="s">
        <v>2225</v>
      </c>
      <c r="B670" s="3">
        <v>43732</v>
      </c>
      <c r="C670" s="2" t="s">
        <v>59</v>
      </c>
      <c r="D670" s="2">
        <v>5</v>
      </c>
      <c r="E670" s="2" t="s">
        <v>2244</v>
      </c>
      <c r="F670" s="2" t="s">
        <v>2242</v>
      </c>
      <c r="G670" s="2">
        <v>30</v>
      </c>
      <c r="H670" s="2" t="s">
        <v>2230</v>
      </c>
      <c r="I670" s="3">
        <v>45646</v>
      </c>
      <c r="J670" s="2" t="s">
        <v>1785</v>
      </c>
      <c r="K670" s="2"/>
      <c r="L670" s="2"/>
      <c r="M670" s="2" t="s">
        <v>2291</v>
      </c>
    </row>
    <row r="671" spans="1:13" x14ac:dyDescent="0.25">
      <c r="A671" s="3" t="s">
        <v>2225</v>
      </c>
      <c r="B671" s="3">
        <v>43732</v>
      </c>
      <c r="C671" s="2" t="s">
        <v>59</v>
      </c>
      <c r="D671" s="2">
        <v>5</v>
      </c>
      <c r="E671" s="2" t="s">
        <v>2244</v>
      </c>
      <c r="F671" s="2" t="s">
        <v>2243</v>
      </c>
      <c r="G671" s="2">
        <v>5</v>
      </c>
      <c r="H671" s="2" t="s">
        <v>2230</v>
      </c>
      <c r="I671" s="3">
        <v>45646</v>
      </c>
      <c r="J671" s="2" t="s">
        <v>1785</v>
      </c>
      <c r="K671" s="2"/>
      <c r="L671" s="2"/>
      <c r="M671" s="2" t="s">
        <v>2291</v>
      </c>
    </row>
    <row r="672" spans="1:13" x14ac:dyDescent="0.25">
      <c r="A672" s="3" t="s">
        <v>2225</v>
      </c>
      <c r="B672" s="3">
        <v>43732</v>
      </c>
      <c r="C672" s="2" t="s">
        <v>59</v>
      </c>
      <c r="D672" s="2">
        <v>5</v>
      </c>
      <c r="E672" s="2" t="s">
        <v>2244</v>
      </c>
      <c r="F672" s="2" t="s">
        <v>2244</v>
      </c>
      <c r="G672" s="2">
        <v>33</v>
      </c>
      <c r="H672" s="2" t="s">
        <v>2230</v>
      </c>
      <c r="I672" s="3">
        <v>45646</v>
      </c>
      <c r="J672" s="2" t="s">
        <v>1785</v>
      </c>
      <c r="K672" s="2"/>
      <c r="L672" s="2"/>
      <c r="M672" s="2" t="s">
        <v>2291</v>
      </c>
    </row>
    <row r="673" spans="1:13" x14ac:dyDescent="0.25">
      <c r="A673" s="3" t="s">
        <v>2225</v>
      </c>
      <c r="B673" s="3">
        <v>43732</v>
      </c>
      <c r="C673" s="2" t="s">
        <v>59</v>
      </c>
      <c r="D673" s="2">
        <v>5</v>
      </c>
      <c r="E673" s="2" t="s">
        <v>2244</v>
      </c>
      <c r="F673" s="2" t="s">
        <v>2245</v>
      </c>
      <c r="G673" s="2">
        <v>4</v>
      </c>
      <c r="H673" s="2" t="s">
        <v>2230</v>
      </c>
      <c r="I673" s="3">
        <v>45646</v>
      </c>
      <c r="J673" s="2" t="s">
        <v>1785</v>
      </c>
      <c r="K673" s="2"/>
      <c r="L673" s="2"/>
      <c r="M673" s="2" t="s">
        <v>2291</v>
      </c>
    </row>
    <row r="674" spans="1:13" x14ac:dyDescent="0.25">
      <c r="A674" s="3" t="s">
        <v>2225</v>
      </c>
      <c r="B674" s="3">
        <v>43732</v>
      </c>
      <c r="C674" s="2" t="s">
        <v>59</v>
      </c>
      <c r="D674" s="2">
        <v>5</v>
      </c>
      <c r="E674" s="2" t="s">
        <v>2244</v>
      </c>
      <c r="F674" s="2" t="s">
        <v>2255</v>
      </c>
      <c r="G674" s="2">
        <v>8</v>
      </c>
      <c r="H674" s="2" t="s">
        <v>2230</v>
      </c>
      <c r="I674" s="3">
        <v>45646</v>
      </c>
      <c r="J674" s="2" t="s">
        <v>1785</v>
      </c>
      <c r="K674" s="2"/>
      <c r="L674" s="2"/>
      <c r="M674" s="2" t="s">
        <v>2291</v>
      </c>
    </row>
    <row r="675" spans="1:13" x14ac:dyDescent="0.25">
      <c r="A675" s="3" t="s">
        <v>2225</v>
      </c>
      <c r="B675" s="3">
        <v>43732</v>
      </c>
      <c r="C675" s="2" t="s">
        <v>59</v>
      </c>
      <c r="D675" s="2">
        <v>5</v>
      </c>
      <c r="E675" s="2" t="s">
        <v>2244</v>
      </c>
      <c r="F675" s="2" t="s">
        <v>2256</v>
      </c>
      <c r="G675" s="2">
        <v>5</v>
      </c>
      <c r="H675" s="2" t="s">
        <v>2230</v>
      </c>
      <c r="I675" s="3">
        <v>45646</v>
      </c>
      <c r="J675" s="2" t="s">
        <v>1785</v>
      </c>
      <c r="K675" s="2"/>
      <c r="L675" s="2"/>
      <c r="M675" s="2" t="s">
        <v>2291</v>
      </c>
    </row>
    <row r="676" spans="1:13" x14ac:dyDescent="0.25">
      <c r="A676" s="3" t="s">
        <v>2225</v>
      </c>
      <c r="B676" s="3">
        <v>43732</v>
      </c>
      <c r="C676" s="2" t="s">
        <v>59</v>
      </c>
      <c r="D676" s="2">
        <v>5</v>
      </c>
      <c r="E676" s="2" t="s">
        <v>2244</v>
      </c>
      <c r="F676" s="2" t="s">
        <v>2257</v>
      </c>
      <c r="G676" s="2">
        <v>7</v>
      </c>
      <c r="H676" s="2" t="s">
        <v>2230</v>
      </c>
      <c r="I676" s="3">
        <v>45646</v>
      </c>
      <c r="J676" s="2" t="s">
        <v>1785</v>
      </c>
      <c r="K676" s="2"/>
      <c r="L676" s="2"/>
      <c r="M676" s="2" t="s">
        <v>2291</v>
      </c>
    </row>
    <row r="677" spans="1:13" x14ac:dyDescent="0.25">
      <c r="A677" s="3" t="s">
        <v>2225</v>
      </c>
      <c r="B677" s="3">
        <v>43732</v>
      </c>
      <c r="C677" s="2" t="s">
        <v>59</v>
      </c>
      <c r="D677" s="2">
        <v>5</v>
      </c>
      <c r="E677" s="2" t="s">
        <v>2244</v>
      </c>
      <c r="F677" s="2" t="s">
        <v>2258</v>
      </c>
      <c r="G677" s="2">
        <v>55</v>
      </c>
      <c r="H677" s="2" t="s">
        <v>2230</v>
      </c>
      <c r="I677" s="3">
        <v>45646</v>
      </c>
      <c r="J677" s="2" t="s">
        <v>1785</v>
      </c>
      <c r="K677" s="2"/>
      <c r="L677" s="2"/>
      <c r="M677" s="2" t="s">
        <v>2291</v>
      </c>
    </row>
    <row r="678" spans="1:13" x14ac:dyDescent="0.25">
      <c r="A678" s="3" t="s">
        <v>2225</v>
      </c>
      <c r="B678" s="3">
        <v>43732</v>
      </c>
      <c r="C678" s="2" t="s">
        <v>59</v>
      </c>
      <c r="D678" s="2">
        <v>5</v>
      </c>
      <c r="E678" s="2" t="s">
        <v>2244</v>
      </c>
      <c r="F678" s="2" t="s">
        <v>2259</v>
      </c>
      <c r="G678" s="2">
        <v>63</v>
      </c>
      <c r="H678" s="2" t="s">
        <v>2230</v>
      </c>
      <c r="I678" s="3">
        <v>45646</v>
      </c>
      <c r="J678" s="2" t="s">
        <v>1785</v>
      </c>
      <c r="K678" s="2"/>
      <c r="L678" s="2"/>
      <c r="M678" s="2" t="s">
        <v>2291</v>
      </c>
    </row>
    <row r="679" spans="1:13" x14ac:dyDescent="0.25">
      <c r="A679" s="3" t="s">
        <v>2225</v>
      </c>
      <c r="B679" s="3">
        <v>43732</v>
      </c>
      <c r="C679" s="2" t="s">
        <v>59</v>
      </c>
      <c r="D679" s="2">
        <v>5</v>
      </c>
      <c r="E679" s="2" t="s">
        <v>2244</v>
      </c>
      <c r="F679" s="2" t="s">
        <v>2260</v>
      </c>
      <c r="G679" s="2">
        <v>8</v>
      </c>
      <c r="H679" s="2" t="s">
        <v>2230</v>
      </c>
      <c r="I679" s="3">
        <v>45646</v>
      </c>
      <c r="J679" s="2" t="s">
        <v>1785</v>
      </c>
      <c r="K679" s="2"/>
      <c r="L679" s="2"/>
      <c r="M679" s="2" t="s">
        <v>2291</v>
      </c>
    </row>
    <row r="680" spans="1:13" x14ac:dyDescent="0.25">
      <c r="A680" s="3" t="s">
        <v>2225</v>
      </c>
      <c r="B680" s="3">
        <v>43732</v>
      </c>
      <c r="C680" s="2" t="s">
        <v>59</v>
      </c>
      <c r="D680" s="2">
        <v>5</v>
      </c>
      <c r="E680" s="2" t="s">
        <v>2244</v>
      </c>
      <c r="F680" s="2" t="s">
        <v>2261</v>
      </c>
      <c r="G680" s="2">
        <v>18</v>
      </c>
      <c r="H680" s="2" t="s">
        <v>2230</v>
      </c>
      <c r="I680" s="3">
        <v>45646</v>
      </c>
      <c r="J680" s="2" t="s">
        <v>1785</v>
      </c>
      <c r="K680" s="2"/>
      <c r="L680" s="2"/>
      <c r="M680" s="2" t="s">
        <v>2291</v>
      </c>
    </row>
    <row r="681" spans="1:13" x14ac:dyDescent="0.25">
      <c r="A681" s="3" t="s">
        <v>2225</v>
      </c>
      <c r="B681" s="3">
        <v>43732</v>
      </c>
      <c r="C681" s="2" t="s">
        <v>59</v>
      </c>
      <c r="D681" s="2">
        <v>5</v>
      </c>
      <c r="E681" s="2" t="s">
        <v>2244</v>
      </c>
      <c r="F681" s="2" t="s">
        <v>2262</v>
      </c>
      <c r="G681" s="2">
        <v>25</v>
      </c>
      <c r="H681" s="2" t="s">
        <v>2230</v>
      </c>
      <c r="I681" s="3">
        <v>45646</v>
      </c>
      <c r="J681" s="2" t="s">
        <v>1785</v>
      </c>
      <c r="K681" s="2"/>
      <c r="L681" s="2"/>
      <c r="M681" s="2" t="s">
        <v>2291</v>
      </c>
    </row>
    <row r="682" spans="1:13" x14ac:dyDescent="0.25">
      <c r="A682" s="3" t="s">
        <v>2225</v>
      </c>
      <c r="B682" s="3">
        <v>43732</v>
      </c>
      <c r="C682" s="2" t="s">
        <v>59</v>
      </c>
      <c r="D682" s="2">
        <v>5</v>
      </c>
      <c r="E682" s="2" t="s">
        <v>2244</v>
      </c>
      <c r="F682" s="2" t="s">
        <v>2263</v>
      </c>
      <c r="G682" s="2">
        <v>11</v>
      </c>
      <c r="H682" s="2" t="s">
        <v>2230</v>
      </c>
      <c r="I682" s="3">
        <v>45646</v>
      </c>
      <c r="J682" s="2" t="s">
        <v>1785</v>
      </c>
      <c r="K682" s="2"/>
      <c r="L682" s="2"/>
      <c r="M682" s="2" t="s">
        <v>2291</v>
      </c>
    </row>
    <row r="683" spans="1:13" x14ac:dyDescent="0.25">
      <c r="A683" s="3" t="s">
        <v>2225</v>
      </c>
      <c r="B683" s="3">
        <v>43732</v>
      </c>
      <c r="C683" s="2" t="s">
        <v>59</v>
      </c>
      <c r="D683" s="2">
        <v>5</v>
      </c>
      <c r="E683" s="2" t="s">
        <v>2244</v>
      </c>
      <c r="F683" s="2" t="s">
        <v>2264</v>
      </c>
      <c r="G683" s="2">
        <v>10</v>
      </c>
      <c r="H683" s="2" t="s">
        <v>2230</v>
      </c>
      <c r="I683" s="3">
        <v>45646</v>
      </c>
      <c r="J683" s="2" t="s">
        <v>1785</v>
      </c>
      <c r="K683" s="2"/>
      <c r="L683" s="2"/>
      <c r="M683" s="2" t="s">
        <v>2291</v>
      </c>
    </row>
    <row r="684" spans="1:13" x14ac:dyDescent="0.25">
      <c r="A684" s="3" t="s">
        <v>2225</v>
      </c>
      <c r="B684" s="3">
        <v>43732</v>
      </c>
      <c r="C684" s="2" t="s">
        <v>59</v>
      </c>
      <c r="D684" s="2">
        <v>5</v>
      </c>
      <c r="E684" s="2" t="s">
        <v>2244</v>
      </c>
      <c r="F684" s="2" t="s">
        <v>2265</v>
      </c>
      <c r="G684" s="2">
        <v>30</v>
      </c>
      <c r="H684" s="2" t="s">
        <v>2230</v>
      </c>
      <c r="I684" s="3">
        <v>45646</v>
      </c>
      <c r="J684" s="2" t="s">
        <v>1785</v>
      </c>
      <c r="K684" s="2"/>
      <c r="L684" s="2"/>
      <c r="M684" s="2" t="s">
        <v>2291</v>
      </c>
    </row>
    <row r="685" spans="1:13" x14ac:dyDescent="0.25">
      <c r="A685" s="3" t="s">
        <v>2225</v>
      </c>
      <c r="B685" s="3">
        <v>43732</v>
      </c>
      <c r="C685" s="2" t="s">
        <v>59</v>
      </c>
      <c r="D685" s="2">
        <v>5</v>
      </c>
      <c r="E685" s="2" t="s">
        <v>2244</v>
      </c>
      <c r="F685" s="2" t="s">
        <v>2266</v>
      </c>
      <c r="G685" s="2">
        <v>33</v>
      </c>
      <c r="H685" s="2" t="s">
        <v>2230</v>
      </c>
      <c r="I685" s="3">
        <v>45646</v>
      </c>
      <c r="J685" s="2" t="s">
        <v>1785</v>
      </c>
      <c r="K685" s="2"/>
      <c r="L685" s="2"/>
      <c r="M685" s="2" t="s">
        <v>2291</v>
      </c>
    </row>
    <row r="686" spans="1:13" x14ac:dyDescent="0.25">
      <c r="A686" s="3" t="s">
        <v>2225</v>
      </c>
      <c r="B686" s="3">
        <v>43732</v>
      </c>
      <c r="C686" s="2" t="s">
        <v>59</v>
      </c>
      <c r="D686" s="2">
        <v>5</v>
      </c>
      <c r="E686" s="2" t="s">
        <v>2244</v>
      </c>
      <c r="F686" s="2" t="s">
        <v>2267</v>
      </c>
      <c r="G686" s="2">
        <v>26</v>
      </c>
      <c r="H686" s="2" t="s">
        <v>2230</v>
      </c>
      <c r="I686" s="3">
        <v>45646</v>
      </c>
      <c r="J686" s="2" t="s">
        <v>1785</v>
      </c>
      <c r="K686" s="2"/>
      <c r="L686" s="2"/>
      <c r="M686" s="2" t="s">
        <v>2291</v>
      </c>
    </row>
    <row r="687" spans="1:13" x14ac:dyDescent="0.25">
      <c r="A687" s="3" t="s">
        <v>2225</v>
      </c>
      <c r="B687" s="3">
        <v>43732</v>
      </c>
      <c r="C687" s="2" t="s">
        <v>59</v>
      </c>
      <c r="D687" s="2">
        <v>5</v>
      </c>
      <c r="E687" s="2" t="s">
        <v>2244</v>
      </c>
      <c r="F687" s="2" t="s">
        <v>2268</v>
      </c>
      <c r="G687" s="2">
        <v>21</v>
      </c>
      <c r="H687" s="2" t="s">
        <v>2230</v>
      </c>
      <c r="I687" s="3">
        <v>45646</v>
      </c>
      <c r="J687" s="2" t="s">
        <v>1785</v>
      </c>
      <c r="K687" s="2"/>
      <c r="L687" s="2"/>
      <c r="M687" s="2" t="s">
        <v>2291</v>
      </c>
    </row>
    <row r="688" spans="1:13" x14ac:dyDescent="0.25">
      <c r="A688" s="3" t="s">
        <v>2225</v>
      </c>
      <c r="B688" s="3">
        <v>43732</v>
      </c>
      <c r="C688" s="2" t="s">
        <v>59</v>
      </c>
      <c r="D688" s="2">
        <v>5</v>
      </c>
      <c r="E688" s="2" t="s">
        <v>2244</v>
      </c>
      <c r="F688" s="2" t="s">
        <v>2269</v>
      </c>
      <c r="G688" s="2">
        <v>23</v>
      </c>
      <c r="H688" s="2" t="s">
        <v>2230</v>
      </c>
      <c r="I688" s="3">
        <v>45646</v>
      </c>
      <c r="J688" s="2" t="s">
        <v>1785</v>
      </c>
      <c r="K688" s="2"/>
      <c r="L688" s="2"/>
      <c r="M688" s="2" t="s">
        <v>2291</v>
      </c>
    </row>
    <row r="689" spans="1:13" x14ac:dyDescent="0.25">
      <c r="A689" s="3" t="s">
        <v>2225</v>
      </c>
      <c r="B689" s="3">
        <v>43732</v>
      </c>
      <c r="C689" s="2" t="s">
        <v>59</v>
      </c>
      <c r="D689" s="2">
        <v>5</v>
      </c>
      <c r="E689" s="2" t="s">
        <v>2244</v>
      </c>
      <c r="F689" s="2" t="s">
        <v>2270</v>
      </c>
      <c r="G689" s="2">
        <v>28</v>
      </c>
      <c r="H689" s="2" t="s">
        <v>2230</v>
      </c>
      <c r="I689" s="3">
        <v>45646</v>
      </c>
      <c r="J689" s="2" t="s">
        <v>1785</v>
      </c>
      <c r="K689" s="2"/>
      <c r="L689" s="2"/>
      <c r="M689" s="2" t="s">
        <v>2291</v>
      </c>
    </row>
    <row r="690" spans="1:13" x14ac:dyDescent="0.25">
      <c r="A690" s="3" t="s">
        <v>2225</v>
      </c>
      <c r="B690" s="3">
        <v>43732</v>
      </c>
      <c r="C690" s="2" t="s">
        <v>59</v>
      </c>
      <c r="D690" s="2">
        <v>5</v>
      </c>
      <c r="E690" s="2" t="s">
        <v>2244</v>
      </c>
      <c r="F690" s="2" t="s">
        <v>2271</v>
      </c>
      <c r="G690" s="2">
        <v>40</v>
      </c>
      <c r="H690" s="2" t="s">
        <v>2230</v>
      </c>
      <c r="I690" s="3">
        <v>45646</v>
      </c>
      <c r="J690" s="2" t="s">
        <v>1785</v>
      </c>
      <c r="K690" s="2"/>
      <c r="L690" s="2"/>
      <c r="M690" s="2" t="s">
        <v>2291</v>
      </c>
    </row>
    <row r="691" spans="1:13" x14ac:dyDescent="0.25">
      <c r="A691" s="3" t="s">
        <v>2225</v>
      </c>
      <c r="B691" s="3">
        <v>43732</v>
      </c>
      <c r="C691" s="2" t="s">
        <v>59</v>
      </c>
      <c r="D691" s="2">
        <v>5</v>
      </c>
      <c r="E691" s="2" t="s">
        <v>2244</v>
      </c>
      <c r="F691" s="2" t="s">
        <v>2272</v>
      </c>
      <c r="G691" s="2">
        <v>26</v>
      </c>
      <c r="H691" s="2" t="s">
        <v>2230</v>
      </c>
      <c r="I691" s="3">
        <v>45646</v>
      </c>
      <c r="J691" s="2" t="s">
        <v>1785</v>
      </c>
      <c r="K691" s="2"/>
      <c r="L691" s="2"/>
      <c r="M691" s="2" t="s">
        <v>2291</v>
      </c>
    </row>
    <row r="692" spans="1:13" x14ac:dyDescent="0.25">
      <c r="A692" s="3" t="s">
        <v>2225</v>
      </c>
      <c r="B692" s="3">
        <v>43732</v>
      </c>
      <c r="C692" s="2" t="s">
        <v>59</v>
      </c>
      <c r="D692" s="2">
        <v>5</v>
      </c>
      <c r="E692" s="2" t="s">
        <v>2244</v>
      </c>
      <c r="F692" s="2" t="s">
        <v>2273</v>
      </c>
      <c r="G692" s="2">
        <v>33</v>
      </c>
      <c r="H692" s="2" t="s">
        <v>2230</v>
      </c>
      <c r="I692" s="3">
        <v>45646</v>
      </c>
      <c r="J692" s="2" t="s">
        <v>1785</v>
      </c>
      <c r="K692" s="2"/>
      <c r="L692" s="2"/>
      <c r="M692" s="2" t="s">
        <v>2291</v>
      </c>
    </row>
    <row r="693" spans="1:13" x14ac:dyDescent="0.25">
      <c r="A693" s="3" t="s">
        <v>2225</v>
      </c>
      <c r="B693" s="3">
        <v>43732</v>
      </c>
      <c r="C693" s="2" t="s">
        <v>59</v>
      </c>
      <c r="D693" s="2">
        <v>5</v>
      </c>
      <c r="E693" s="2" t="s">
        <v>2244</v>
      </c>
      <c r="F693" s="2" t="s">
        <v>2274</v>
      </c>
      <c r="G693" s="2">
        <v>25</v>
      </c>
      <c r="H693" s="2" t="s">
        <v>2230</v>
      </c>
      <c r="I693" s="3">
        <v>45646</v>
      </c>
      <c r="J693" s="2" t="s">
        <v>1785</v>
      </c>
      <c r="K693" s="2"/>
      <c r="L693" s="2"/>
      <c r="M693" s="2" t="s">
        <v>2291</v>
      </c>
    </row>
    <row r="694" spans="1:13" x14ac:dyDescent="0.25">
      <c r="A694" s="3" t="s">
        <v>2225</v>
      </c>
      <c r="B694" s="3">
        <v>43732</v>
      </c>
      <c r="C694" s="2" t="s">
        <v>59</v>
      </c>
      <c r="D694" s="2">
        <v>5</v>
      </c>
      <c r="E694" s="2" t="s">
        <v>2244</v>
      </c>
      <c r="F694" s="2" t="s">
        <v>2275</v>
      </c>
      <c r="G694" s="2">
        <v>30</v>
      </c>
      <c r="H694" s="2" t="s">
        <v>2230</v>
      </c>
      <c r="I694" s="3">
        <v>45646</v>
      </c>
      <c r="J694" s="2" t="s">
        <v>1785</v>
      </c>
      <c r="K694" s="2"/>
      <c r="L694" s="2"/>
      <c r="M694" s="2" t="s">
        <v>2291</v>
      </c>
    </row>
    <row r="695" spans="1:13" x14ac:dyDescent="0.25">
      <c r="A695" s="3" t="s">
        <v>2225</v>
      </c>
      <c r="B695" s="3">
        <v>43732</v>
      </c>
      <c r="C695" s="2" t="s">
        <v>59</v>
      </c>
      <c r="D695" s="2">
        <v>5</v>
      </c>
      <c r="E695" s="2" t="s">
        <v>2244</v>
      </c>
      <c r="F695" s="2" t="s">
        <v>2276</v>
      </c>
      <c r="G695" s="2">
        <v>25</v>
      </c>
      <c r="H695" s="2" t="s">
        <v>2230</v>
      </c>
      <c r="I695" s="3">
        <v>45646</v>
      </c>
      <c r="J695" s="2" t="s">
        <v>1785</v>
      </c>
      <c r="K695" s="2"/>
      <c r="L695" s="2"/>
      <c r="M695" s="2" t="s">
        <v>2291</v>
      </c>
    </row>
    <row r="696" spans="1:13" x14ac:dyDescent="0.25">
      <c r="A696" s="3" t="s">
        <v>2225</v>
      </c>
      <c r="B696" s="3">
        <v>43732</v>
      </c>
      <c r="C696" s="2" t="s">
        <v>59</v>
      </c>
      <c r="D696" s="2">
        <v>5</v>
      </c>
      <c r="E696" s="2" t="s">
        <v>2244</v>
      </c>
      <c r="F696" s="2" t="s">
        <v>2277</v>
      </c>
      <c r="G696" s="2">
        <v>31</v>
      </c>
      <c r="H696" s="2" t="s">
        <v>2230</v>
      </c>
      <c r="I696" s="3">
        <v>45646</v>
      </c>
      <c r="J696" s="2" t="s">
        <v>1785</v>
      </c>
      <c r="K696" s="2"/>
      <c r="L696" s="2"/>
      <c r="M696" s="2" t="s">
        <v>2291</v>
      </c>
    </row>
    <row r="697" spans="1:13" x14ac:dyDescent="0.25">
      <c r="A697" s="3" t="s">
        <v>2225</v>
      </c>
      <c r="B697" s="3">
        <v>43732</v>
      </c>
      <c r="C697" s="2" t="s">
        <v>59</v>
      </c>
      <c r="D697" s="2">
        <v>5</v>
      </c>
      <c r="E697" s="2" t="s">
        <v>2244</v>
      </c>
      <c r="F697" s="2" t="s">
        <v>2278</v>
      </c>
      <c r="G697" s="2">
        <v>15</v>
      </c>
      <c r="H697" s="2" t="s">
        <v>2230</v>
      </c>
      <c r="I697" s="3">
        <v>45646</v>
      </c>
      <c r="J697" s="2" t="s">
        <v>1785</v>
      </c>
      <c r="K697" s="2"/>
      <c r="L697" s="2"/>
      <c r="M697" s="2" t="s">
        <v>2291</v>
      </c>
    </row>
    <row r="698" spans="1:13" x14ac:dyDescent="0.25">
      <c r="A698" s="3" t="s">
        <v>2225</v>
      </c>
      <c r="B698" s="3">
        <v>43732</v>
      </c>
      <c r="C698" s="2" t="s">
        <v>59</v>
      </c>
      <c r="D698" s="2">
        <v>5</v>
      </c>
      <c r="E698" s="2" t="s">
        <v>2244</v>
      </c>
      <c r="F698" s="2" t="s">
        <v>2279</v>
      </c>
      <c r="G698" s="2">
        <v>35</v>
      </c>
      <c r="H698" s="2" t="s">
        <v>2230</v>
      </c>
      <c r="I698" s="3">
        <v>45646</v>
      </c>
      <c r="J698" s="2" t="s">
        <v>1785</v>
      </c>
      <c r="K698" s="2"/>
      <c r="L698" s="2"/>
      <c r="M698" s="2" t="s">
        <v>2291</v>
      </c>
    </row>
    <row r="699" spans="1:13" x14ac:dyDescent="0.25">
      <c r="A699" s="3" t="s">
        <v>2225</v>
      </c>
      <c r="B699" s="3">
        <v>43732</v>
      </c>
      <c r="C699" s="2" t="s">
        <v>59</v>
      </c>
      <c r="D699" s="2">
        <v>5</v>
      </c>
      <c r="E699" s="2" t="s">
        <v>2244</v>
      </c>
      <c r="F699" s="2" t="s">
        <v>2280</v>
      </c>
      <c r="G699" s="2">
        <v>24</v>
      </c>
      <c r="H699" s="2" t="s">
        <v>2230</v>
      </c>
      <c r="I699" s="3">
        <v>45646</v>
      </c>
      <c r="J699" s="2" t="s">
        <v>1785</v>
      </c>
      <c r="K699" s="2"/>
      <c r="L699" s="2"/>
      <c r="M699" s="2" t="s">
        <v>2291</v>
      </c>
    </row>
    <row r="700" spans="1:13" x14ac:dyDescent="0.25">
      <c r="A700" s="3" t="s">
        <v>2225</v>
      </c>
      <c r="B700" s="3">
        <v>43732</v>
      </c>
      <c r="C700" s="2" t="s">
        <v>59</v>
      </c>
      <c r="D700" s="2">
        <v>5</v>
      </c>
      <c r="E700" s="2" t="s">
        <v>2244</v>
      </c>
      <c r="F700" s="2" t="s">
        <v>2281</v>
      </c>
      <c r="G700" s="2">
        <v>23</v>
      </c>
      <c r="H700" s="2" t="s">
        <v>2230</v>
      </c>
      <c r="I700" s="3">
        <v>45646</v>
      </c>
      <c r="J700" s="2" t="s">
        <v>1785</v>
      </c>
      <c r="K700" s="2"/>
      <c r="L700" s="2"/>
      <c r="M700" s="2" t="s">
        <v>2291</v>
      </c>
    </row>
    <row r="701" spans="1:13" x14ac:dyDescent="0.25">
      <c r="A701" s="3" t="s">
        <v>2225</v>
      </c>
      <c r="B701" s="3">
        <v>43732</v>
      </c>
      <c r="C701" s="2" t="s">
        <v>59</v>
      </c>
      <c r="D701" s="2">
        <v>5</v>
      </c>
      <c r="E701" s="2" t="s">
        <v>2244</v>
      </c>
      <c r="F701" s="2" t="s">
        <v>2282</v>
      </c>
      <c r="G701" s="2">
        <v>39</v>
      </c>
      <c r="H701" s="2" t="s">
        <v>2230</v>
      </c>
      <c r="I701" s="3">
        <v>45646</v>
      </c>
      <c r="J701" s="2" t="s">
        <v>1785</v>
      </c>
      <c r="K701" s="2"/>
      <c r="L701" s="2"/>
      <c r="M701" s="2" t="s">
        <v>2291</v>
      </c>
    </row>
    <row r="702" spans="1:13" x14ac:dyDescent="0.25">
      <c r="A702" s="3" t="s">
        <v>2225</v>
      </c>
      <c r="B702" s="3">
        <v>43732</v>
      </c>
      <c r="C702" s="2" t="s">
        <v>59</v>
      </c>
      <c r="D702" s="2">
        <v>5</v>
      </c>
      <c r="E702" s="2" t="s">
        <v>2244</v>
      </c>
      <c r="F702" s="2" t="s">
        <v>2283</v>
      </c>
      <c r="G702" s="2">
        <v>36</v>
      </c>
      <c r="H702" s="2" t="s">
        <v>2230</v>
      </c>
      <c r="I702" s="3">
        <v>45646</v>
      </c>
      <c r="J702" s="2" t="s">
        <v>1785</v>
      </c>
      <c r="K702" s="2"/>
      <c r="L702" s="2"/>
      <c r="M702" s="2" t="s">
        <v>2291</v>
      </c>
    </row>
    <row r="703" spans="1:13" x14ac:dyDescent="0.25">
      <c r="A703" s="3" t="s">
        <v>2225</v>
      </c>
      <c r="B703" s="3">
        <v>43732</v>
      </c>
      <c r="C703" s="2" t="s">
        <v>59</v>
      </c>
      <c r="D703" s="2">
        <v>5</v>
      </c>
      <c r="E703" s="2" t="s">
        <v>2244</v>
      </c>
      <c r="F703" s="2" t="s">
        <v>2284</v>
      </c>
      <c r="G703" s="2">
        <v>24</v>
      </c>
      <c r="H703" s="2" t="s">
        <v>2230</v>
      </c>
      <c r="I703" s="3">
        <v>45646</v>
      </c>
      <c r="J703" s="2" t="s">
        <v>1785</v>
      </c>
      <c r="K703" s="2"/>
      <c r="L703" s="2"/>
      <c r="M703" s="2" t="s">
        <v>2291</v>
      </c>
    </row>
    <row r="704" spans="1:13" x14ac:dyDescent="0.25">
      <c r="A704" s="3" t="s">
        <v>2225</v>
      </c>
      <c r="B704" s="3">
        <v>43732</v>
      </c>
      <c r="C704" s="2" t="s">
        <v>59</v>
      </c>
      <c r="D704" s="2">
        <v>5</v>
      </c>
      <c r="E704" s="2" t="s">
        <v>2244</v>
      </c>
      <c r="F704" s="2" t="s">
        <v>2285</v>
      </c>
      <c r="G704" s="2">
        <v>28</v>
      </c>
      <c r="H704" s="2" t="s">
        <v>2230</v>
      </c>
      <c r="I704" s="3">
        <v>45646</v>
      </c>
      <c r="J704" s="2" t="s">
        <v>1785</v>
      </c>
      <c r="K704" s="2"/>
      <c r="L704" s="2"/>
      <c r="M704" s="2" t="s">
        <v>2291</v>
      </c>
    </row>
    <row r="705" spans="1:13" x14ac:dyDescent="0.25">
      <c r="A705" s="3" t="s">
        <v>2225</v>
      </c>
      <c r="B705" s="3">
        <v>43732</v>
      </c>
      <c r="C705" s="2" t="s">
        <v>59</v>
      </c>
      <c r="D705" s="2">
        <v>5</v>
      </c>
      <c r="E705" s="2" t="s">
        <v>2244</v>
      </c>
      <c r="F705" s="2" t="s">
        <v>2286</v>
      </c>
      <c r="G705" s="2">
        <v>22</v>
      </c>
      <c r="H705" s="2" t="s">
        <v>2230</v>
      </c>
      <c r="I705" s="3">
        <v>45646</v>
      </c>
      <c r="J705" s="2" t="s">
        <v>1785</v>
      </c>
      <c r="K705" s="2"/>
      <c r="L705" s="2"/>
      <c r="M705" s="2" t="s">
        <v>2291</v>
      </c>
    </row>
    <row r="706" spans="1:13" x14ac:dyDescent="0.25">
      <c r="A706" s="3" t="s">
        <v>2225</v>
      </c>
      <c r="B706" s="3">
        <v>43732</v>
      </c>
      <c r="C706" s="2" t="s">
        <v>59</v>
      </c>
      <c r="D706" s="2">
        <v>5</v>
      </c>
      <c r="E706" s="2" t="s">
        <v>2244</v>
      </c>
      <c r="F706" s="2" t="s">
        <v>2287</v>
      </c>
      <c r="G706" s="2">
        <v>30</v>
      </c>
      <c r="H706" s="2" t="s">
        <v>2230</v>
      </c>
      <c r="I706" s="3">
        <v>45646</v>
      </c>
      <c r="J706" s="2" t="s">
        <v>1785</v>
      </c>
      <c r="K706" s="2"/>
      <c r="L706" s="2"/>
      <c r="M706" s="2" t="s">
        <v>2291</v>
      </c>
    </row>
    <row r="707" spans="1:13" x14ac:dyDescent="0.25">
      <c r="A707" s="3" t="s">
        <v>2225</v>
      </c>
      <c r="B707" s="3">
        <v>43732</v>
      </c>
      <c r="C707" s="2" t="s">
        <v>59</v>
      </c>
      <c r="D707" s="2">
        <v>5</v>
      </c>
      <c r="E707" s="2" t="s">
        <v>2244</v>
      </c>
      <c r="F707" s="2" t="s">
        <v>2288</v>
      </c>
      <c r="G707" s="2">
        <v>16</v>
      </c>
      <c r="H707" s="2" t="s">
        <v>2230</v>
      </c>
      <c r="I707" s="3">
        <v>45646</v>
      </c>
      <c r="J707" s="2" t="s">
        <v>1785</v>
      </c>
      <c r="K707" s="2"/>
      <c r="L707" s="2"/>
      <c r="M707" s="2" t="s">
        <v>2291</v>
      </c>
    </row>
    <row r="708" spans="1:13" x14ac:dyDescent="0.25">
      <c r="A708" s="3" t="s">
        <v>2225</v>
      </c>
      <c r="B708" s="3">
        <v>43732</v>
      </c>
      <c r="C708" s="2" t="s">
        <v>59</v>
      </c>
      <c r="D708" s="2">
        <v>5</v>
      </c>
      <c r="E708" s="2" t="s">
        <v>2244</v>
      </c>
      <c r="F708" s="2" t="s">
        <v>2289</v>
      </c>
      <c r="G708" s="2">
        <v>35</v>
      </c>
      <c r="H708" s="2" t="s">
        <v>2230</v>
      </c>
      <c r="I708" s="3">
        <v>45646</v>
      </c>
      <c r="J708" s="2" t="s">
        <v>1785</v>
      </c>
      <c r="K708" s="2"/>
      <c r="L708" s="2"/>
      <c r="M708" s="2" t="s">
        <v>2291</v>
      </c>
    </row>
    <row r="709" spans="1:13" x14ac:dyDescent="0.25">
      <c r="A709" s="3" t="s">
        <v>2225</v>
      </c>
      <c r="B709" s="3">
        <v>43732</v>
      </c>
      <c r="C709" s="2" t="s">
        <v>59</v>
      </c>
      <c r="D709" s="2">
        <v>5</v>
      </c>
      <c r="E709" s="2" t="s">
        <v>2245</v>
      </c>
      <c r="F709" s="2" t="s">
        <v>2246</v>
      </c>
      <c r="G709" s="2">
        <v>6</v>
      </c>
      <c r="H709" s="2" t="s">
        <v>2230</v>
      </c>
      <c r="I709" s="3">
        <v>45646</v>
      </c>
      <c r="J709" s="2" t="s">
        <v>1785</v>
      </c>
      <c r="K709" s="2"/>
      <c r="L709" s="2"/>
      <c r="M709" s="2" t="s">
        <v>2291</v>
      </c>
    </row>
    <row r="710" spans="1:13" x14ac:dyDescent="0.25">
      <c r="A710" s="3" t="s">
        <v>2225</v>
      </c>
      <c r="B710" s="3">
        <v>43732</v>
      </c>
      <c r="C710" s="2" t="s">
        <v>59</v>
      </c>
      <c r="D710" s="2">
        <v>5</v>
      </c>
      <c r="E710" s="2" t="s">
        <v>2245</v>
      </c>
      <c r="F710" s="2" t="s">
        <v>2247</v>
      </c>
      <c r="G710" s="2">
        <v>54</v>
      </c>
      <c r="H710" s="2" t="s">
        <v>2230</v>
      </c>
      <c r="I710" s="3">
        <v>45646</v>
      </c>
      <c r="J710" s="2" t="s">
        <v>1785</v>
      </c>
      <c r="K710" s="2"/>
      <c r="L710" s="2"/>
      <c r="M710" s="2" t="s">
        <v>2291</v>
      </c>
    </row>
    <row r="711" spans="1:13" x14ac:dyDescent="0.25">
      <c r="A711" s="3" t="s">
        <v>2225</v>
      </c>
      <c r="B711" s="3">
        <v>43732</v>
      </c>
      <c r="C711" s="2" t="s">
        <v>59</v>
      </c>
      <c r="D711" s="2">
        <v>5</v>
      </c>
      <c r="E711" s="2" t="s">
        <v>2245</v>
      </c>
      <c r="F711" s="2" t="s">
        <v>2248</v>
      </c>
      <c r="G711" s="2">
        <v>8</v>
      </c>
      <c r="H711" s="2" t="s">
        <v>2230</v>
      </c>
      <c r="I711" s="3">
        <v>45646</v>
      </c>
      <c r="J711" s="2" t="s">
        <v>1785</v>
      </c>
      <c r="K711" s="2"/>
      <c r="L711" s="2"/>
      <c r="M711" s="2" t="s">
        <v>2291</v>
      </c>
    </row>
    <row r="712" spans="1:13" x14ac:dyDescent="0.25">
      <c r="A712" s="3" t="s">
        <v>2225</v>
      </c>
      <c r="B712" s="3">
        <v>43732</v>
      </c>
      <c r="C712" s="2" t="s">
        <v>59</v>
      </c>
      <c r="D712" s="2">
        <v>5</v>
      </c>
      <c r="E712" s="2" t="s">
        <v>2245</v>
      </c>
      <c r="F712" s="2" t="s">
        <v>2249</v>
      </c>
      <c r="G712" s="2">
        <v>20</v>
      </c>
      <c r="H712" s="2" t="s">
        <v>2230</v>
      </c>
      <c r="I712" s="3">
        <v>45646</v>
      </c>
      <c r="J712" s="2" t="s">
        <v>1785</v>
      </c>
      <c r="K712" s="2"/>
      <c r="L712" s="2"/>
      <c r="M712" s="2" t="s">
        <v>2291</v>
      </c>
    </row>
    <row r="713" spans="1:13" x14ac:dyDescent="0.25">
      <c r="A713" s="3" t="s">
        <v>2225</v>
      </c>
      <c r="B713" s="3">
        <v>43732</v>
      </c>
      <c r="C713" s="2" t="s">
        <v>59</v>
      </c>
      <c r="D713" s="2">
        <v>5</v>
      </c>
      <c r="E713" s="2" t="s">
        <v>2245</v>
      </c>
      <c r="F713" s="2" t="s">
        <v>2250</v>
      </c>
      <c r="G713" s="2">
        <v>24</v>
      </c>
      <c r="H713" s="2" t="s">
        <v>2230</v>
      </c>
      <c r="I713" s="3">
        <v>45646</v>
      </c>
      <c r="J713" s="2" t="s">
        <v>1785</v>
      </c>
      <c r="K713" s="2"/>
      <c r="L713" s="2"/>
      <c r="M713" s="2" t="s">
        <v>2291</v>
      </c>
    </row>
    <row r="714" spans="1:13" x14ac:dyDescent="0.25">
      <c r="A714" s="3" t="s">
        <v>2225</v>
      </c>
      <c r="B714" s="3">
        <v>43732</v>
      </c>
      <c r="C714" s="2" t="s">
        <v>59</v>
      </c>
      <c r="D714" s="2">
        <v>5</v>
      </c>
      <c r="E714" s="2" t="s">
        <v>2245</v>
      </c>
      <c r="F714" s="2" t="s">
        <v>2251</v>
      </c>
      <c r="G714" s="2">
        <v>22</v>
      </c>
      <c r="H714" s="2" t="s">
        <v>2230</v>
      </c>
      <c r="I714" s="3">
        <v>45646</v>
      </c>
      <c r="J714" s="2" t="s">
        <v>1785</v>
      </c>
      <c r="K714" s="2"/>
      <c r="L714" s="2"/>
      <c r="M714" s="2" t="s">
        <v>2291</v>
      </c>
    </row>
    <row r="715" spans="1:13" x14ac:dyDescent="0.25">
      <c r="A715" s="3" t="s">
        <v>2225</v>
      </c>
      <c r="B715" s="3">
        <v>43732</v>
      </c>
      <c r="C715" s="2" t="s">
        <v>59</v>
      </c>
      <c r="D715" s="2">
        <v>5</v>
      </c>
      <c r="E715" s="2" t="s">
        <v>2245</v>
      </c>
      <c r="F715" s="2" t="s">
        <v>2252</v>
      </c>
      <c r="G715" s="2">
        <v>75</v>
      </c>
      <c r="H715" s="2" t="s">
        <v>2230</v>
      </c>
      <c r="I715" s="3">
        <v>45646</v>
      </c>
      <c r="J715" s="2" t="s">
        <v>1785</v>
      </c>
      <c r="K715" s="2"/>
      <c r="L715" s="2"/>
      <c r="M715" s="2" t="s">
        <v>2291</v>
      </c>
    </row>
    <row r="716" spans="1:13" x14ac:dyDescent="0.25">
      <c r="A716" s="3" t="s">
        <v>2225</v>
      </c>
      <c r="B716" s="3">
        <v>43732</v>
      </c>
      <c r="C716" s="2" t="s">
        <v>59</v>
      </c>
      <c r="D716" s="2">
        <v>5</v>
      </c>
      <c r="E716" s="2" t="s">
        <v>2245</v>
      </c>
      <c r="F716" s="2" t="s">
        <v>2253</v>
      </c>
      <c r="G716" s="2">
        <v>26</v>
      </c>
      <c r="H716" s="2" t="s">
        <v>2230</v>
      </c>
      <c r="I716" s="3">
        <v>45646</v>
      </c>
      <c r="J716" s="2" t="s">
        <v>1785</v>
      </c>
      <c r="K716" s="2"/>
      <c r="L716" s="2"/>
      <c r="M716" s="2" t="s">
        <v>2291</v>
      </c>
    </row>
    <row r="717" spans="1:13" x14ac:dyDescent="0.25">
      <c r="A717" s="3" t="s">
        <v>2225</v>
      </c>
      <c r="B717" s="3">
        <v>43732</v>
      </c>
      <c r="C717" s="2" t="s">
        <v>59</v>
      </c>
      <c r="D717" s="2">
        <v>5</v>
      </c>
      <c r="E717" s="2" t="s">
        <v>2245</v>
      </c>
      <c r="F717" s="2" t="s">
        <v>2254</v>
      </c>
      <c r="G717" s="2">
        <v>81</v>
      </c>
      <c r="H717" s="2" t="s">
        <v>2230</v>
      </c>
      <c r="I717" s="3">
        <v>45646</v>
      </c>
      <c r="J717" s="2" t="s">
        <v>1785</v>
      </c>
      <c r="K717" s="2"/>
      <c r="L717" s="2"/>
      <c r="M717" s="2" t="s">
        <v>2291</v>
      </c>
    </row>
    <row r="718" spans="1:13" x14ac:dyDescent="0.25">
      <c r="A718" s="3" t="s">
        <v>2225</v>
      </c>
      <c r="B718" s="3">
        <v>43732</v>
      </c>
      <c r="C718" s="2" t="s">
        <v>59</v>
      </c>
      <c r="D718" s="2">
        <v>5</v>
      </c>
      <c r="E718" s="2" t="s">
        <v>2245</v>
      </c>
      <c r="F718" s="2" t="s">
        <v>2240</v>
      </c>
      <c r="G718" s="2">
        <v>22</v>
      </c>
      <c r="H718" s="2" t="s">
        <v>2230</v>
      </c>
      <c r="I718" s="3">
        <v>45646</v>
      </c>
      <c r="J718" s="2" t="s">
        <v>1785</v>
      </c>
      <c r="K718" s="2"/>
      <c r="L718" s="2"/>
      <c r="M718" s="2" t="s">
        <v>2291</v>
      </c>
    </row>
    <row r="719" spans="1:13" x14ac:dyDescent="0.25">
      <c r="A719" s="3" t="s">
        <v>2225</v>
      </c>
      <c r="B719" s="3">
        <v>43732</v>
      </c>
      <c r="C719" s="2" t="s">
        <v>59</v>
      </c>
      <c r="D719" s="2">
        <v>5</v>
      </c>
      <c r="E719" s="2" t="s">
        <v>2245</v>
      </c>
      <c r="F719" s="2" t="s">
        <v>2241</v>
      </c>
      <c r="G719" s="2">
        <v>20</v>
      </c>
      <c r="H719" s="2" t="s">
        <v>2230</v>
      </c>
      <c r="I719" s="3">
        <v>45646</v>
      </c>
      <c r="J719" s="2" t="s">
        <v>1785</v>
      </c>
      <c r="K719" s="2"/>
      <c r="L719" s="2"/>
      <c r="M719" s="2" t="s">
        <v>2291</v>
      </c>
    </row>
    <row r="720" spans="1:13" x14ac:dyDescent="0.25">
      <c r="A720" s="3" t="s">
        <v>2225</v>
      </c>
      <c r="B720" s="3">
        <v>43732</v>
      </c>
      <c r="C720" s="2" t="s">
        <v>59</v>
      </c>
      <c r="D720" s="2">
        <v>5</v>
      </c>
      <c r="E720" s="2" t="s">
        <v>2245</v>
      </c>
      <c r="F720" s="2" t="s">
        <v>2242</v>
      </c>
      <c r="G720" s="2">
        <v>12</v>
      </c>
      <c r="H720" s="2" t="s">
        <v>2230</v>
      </c>
      <c r="I720" s="3">
        <v>45646</v>
      </c>
      <c r="J720" s="2" t="s">
        <v>1785</v>
      </c>
      <c r="K720" s="2"/>
      <c r="L720" s="2"/>
      <c r="M720" s="2" t="s">
        <v>2291</v>
      </c>
    </row>
    <row r="721" spans="1:13" x14ac:dyDescent="0.25">
      <c r="A721" s="3" t="s">
        <v>2225</v>
      </c>
      <c r="B721" s="3">
        <v>43732</v>
      </c>
      <c r="C721" s="2" t="s">
        <v>59</v>
      </c>
      <c r="D721" s="2">
        <v>5</v>
      </c>
      <c r="E721" s="2" t="s">
        <v>2245</v>
      </c>
      <c r="F721" s="2" t="s">
        <v>2243</v>
      </c>
      <c r="G721" s="2">
        <v>16</v>
      </c>
      <c r="H721" s="2" t="s">
        <v>2230</v>
      </c>
      <c r="I721" s="3">
        <v>45646</v>
      </c>
      <c r="J721" s="2" t="s">
        <v>1785</v>
      </c>
      <c r="K721" s="2"/>
      <c r="L721" s="2"/>
      <c r="M721" s="2" t="s">
        <v>2291</v>
      </c>
    </row>
    <row r="722" spans="1:13" x14ac:dyDescent="0.25">
      <c r="A722" s="3" t="s">
        <v>2225</v>
      </c>
      <c r="B722" s="3">
        <v>43732</v>
      </c>
      <c r="C722" s="2" t="s">
        <v>59</v>
      </c>
      <c r="D722" s="2">
        <v>5</v>
      </c>
      <c r="E722" s="2" t="s">
        <v>2245</v>
      </c>
      <c r="F722" s="2" t="s">
        <v>2244</v>
      </c>
      <c r="G722" s="2">
        <v>50</v>
      </c>
      <c r="H722" s="2" t="s">
        <v>2230</v>
      </c>
      <c r="I722" s="3">
        <v>45646</v>
      </c>
      <c r="J722" s="2" t="s">
        <v>1785</v>
      </c>
      <c r="K722" s="2"/>
      <c r="L722" s="2"/>
      <c r="M722" s="2" t="s">
        <v>2291</v>
      </c>
    </row>
    <row r="723" spans="1:13" x14ac:dyDescent="0.25">
      <c r="A723" s="3" t="s">
        <v>2225</v>
      </c>
      <c r="B723" s="3">
        <v>43732</v>
      </c>
      <c r="C723" s="2" t="s">
        <v>59</v>
      </c>
      <c r="D723" s="2">
        <v>5</v>
      </c>
      <c r="E723" s="2" t="s">
        <v>2245</v>
      </c>
      <c r="F723" s="2" t="s">
        <v>2245</v>
      </c>
      <c r="G723" s="2">
        <v>27</v>
      </c>
      <c r="H723" s="2" t="s">
        <v>2230</v>
      </c>
      <c r="I723" s="3">
        <v>45646</v>
      </c>
      <c r="J723" s="2" t="s">
        <v>1785</v>
      </c>
      <c r="K723" s="2"/>
      <c r="L723" s="2"/>
      <c r="M723" s="2" t="s">
        <v>2291</v>
      </c>
    </row>
    <row r="724" spans="1:13" x14ac:dyDescent="0.25">
      <c r="A724" s="3" t="s">
        <v>2225</v>
      </c>
      <c r="B724" s="3">
        <v>43732</v>
      </c>
      <c r="C724" s="2" t="s">
        <v>59</v>
      </c>
      <c r="D724" s="2">
        <v>5</v>
      </c>
      <c r="E724" s="2" t="s">
        <v>2245</v>
      </c>
      <c r="F724" s="2" t="s">
        <v>2255</v>
      </c>
      <c r="G724" s="2">
        <v>22</v>
      </c>
      <c r="H724" s="2" t="s">
        <v>2230</v>
      </c>
      <c r="I724" s="3">
        <v>45646</v>
      </c>
      <c r="J724" s="2" t="s">
        <v>1785</v>
      </c>
      <c r="K724" s="2"/>
      <c r="L724" s="2"/>
      <c r="M724" s="2" t="s">
        <v>2291</v>
      </c>
    </row>
    <row r="725" spans="1:13" x14ac:dyDescent="0.25">
      <c r="A725" s="3" t="s">
        <v>2225</v>
      </c>
      <c r="B725" s="3">
        <v>43732</v>
      </c>
      <c r="C725" s="2" t="s">
        <v>59</v>
      </c>
      <c r="D725" s="2">
        <v>5</v>
      </c>
      <c r="E725" s="2" t="s">
        <v>2245</v>
      </c>
      <c r="F725" s="2" t="s">
        <v>2256</v>
      </c>
      <c r="G725" s="2">
        <v>9</v>
      </c>
      <c r="H725" s="2" t="s">
        <v>2230</v>
      </c>
      <c r="I725" s="3">
        <v>45646</v>
      </c>
      <c r="J725" s="2" t="s">
        <v>1785</v>
      </c>
      <c r="K725" s="2"/>
      <c r="L725" s="2"/>
      <c r="M725" s="2" t="s">
        <v>2291</v>
      </c>
    </row>
    <row r="726" spans="1:13" x14ac:dyDescent="0.25">
      <c r="A726" s="3" t="s">
        <v>2225</v>
      </c>
      <c r="B726" s="3">
        <v>43732</v>
      </c>
      <c r="C726" s="2" t="s">
        <v>59</v>
      </c>
      <c r="D726" s="2">
        <v>5</v>
      </c>
      <c r="E726" s="2" t="s">
        <v>2245</v>
      </c>
      <c r="F726" s="2" t="s">
        <v>2257</v>
      </c>
      <c r="G726" s="2">
        <v>16</v>
      </c>
      <c r="H726" s="2" t="s">
        <v>2230</v>
      </c>
      <c r="I726" s="3">
        <v>45646</v>
      </c>
      <c r="J726" s="2" t="s">
        <v>1785</v>
      </c>
      <c r="K726" s="2"/>
      <c r="L726" s="2"/>
      <c r="M726" s="2" t="s">
        <v>2291</v>
      </c>
    </row>
    <row r="727" spans="1:13" x14ac:dyDescent="0.25">
      <c r="A727" s="3" t="s">
        <v>2225</v>
      </c>
      <c r="B727" s="3">
        <v>43732</v>
      </c>
      <c r="C727" s="2" t="s">
        <v>59</v>
      </c>
      <c r="D727" s="2">
        <v>5</v>
      </c>
      <c r="E727" s="2" t="s">
        <v>2245</v>
      </c>
      <c r="F727" s="2" t="s">
        <v>2258</v>
      </c>
      <c r="G727" s="2">
        <v>28</v>
      </c>
      <c r="H727" s="2" t="s">
        <v>2230</v>
      </c>
      <c r="I727" s="3">
        <v>45646</v>
      </c>
      <c r="J727" s="2" t="s">
        <v>1785</v>
      </c>
      <c r="K727" s="2"/>
      <c r="L727" s="2"/>
      <c r="M727" s="2" t="s">
        <v>2291</v>
      </c>
    </row>
    <row r="728" spans="1:13" x14ac:dyDescent="0.25">
      <c r="A728" s="3" t="s">
        <v>2225</v>
      </c>
      <c r="B728" s="3">
        <v>43732</v>
      </c>
      <c r="C728" s="2" t="s">
        <v>59</v>
      </c>
      <c r="D728" s="2">
        <v>5</v>
      </c>
      <c r="E728" s="2" t="s">
        <v>2245</v>
      </c>
      <c r="F728" s="2" t="s">
        <v>2259</v>
      </c>
      <c r="G728" s="2">
        <v>14</v>
      </c>
      <c r="H728" s="2" t="s">
        <v>2230</v>
      </c>
      <c r="I728" s="3">
        <v>45646</v>
      </c>
      <c r="J728" s="2" t="s">
        <v>1785</v>
      </c>
      <c r="K728" s="2"/>
      <c r="L728" s="2"/>
      <c r="M728" s="2" t="s">
        <v>2291</v>
      </c>
    </row>
    <row r="729" spans="1:13" x14ac:dyDescent="0.25">
      <c r="A729" s="3" t="s">
        <v>2225</v>
      </c>
      <c r="B729" s="3">
        <v>43732</v>
      </c>
      <c r="C729" s="2" t="s">
        <v>59</v>
      </c>
      <c r="D729" s="2">
        <v>5</v>
      </c>
      <c r="E729" s="2" t="s">
        <v>2245</v>
      </c>
      <c r="F729" s="2" t="s">
        <v>2260</v>
      </c>
      <c r="G729" s="2">
        <v>30</v>
      </c>
      <c r="H729" s="2" t="s">
        <v>2230</v>
      </c>
      <c r="I729" s="3">
        <v>45646</v>
      </c>
      <c r="J729" s="2" t="s">
        <v>1785</v>
      </c>
      <c r="K729" s="2"/>
      <c r="L729" s="2"/>
      <c r="M729" s="2" t="s">
        <v>2291</v>
      </c>
    </row>
    <row r="730" spans="1:13" x14ac:dyDescent="0.25">
      <c r="A730" s="3" t="s">
        <v>2225</v>
      </c>
      <c r="B730" s="3">
        <v>43732</v>
      </c>
      <c r="C730" s="2" t="s">
        <v>59</v>
      </c>
      <c r="D730" s="2">
        <v>5</v>
      </c>
      <c r="E730" s="2" t="s">
        <v>2245</v>
      </c>
      <c r="F730" s="2" t="s">
        <v>2261</v>
      </c>
      <c r="G730" s="2">
        <v>35</v>
      </c>
      <c r="H730" s="2" t="s">
        <v>2230</v>
      </c>
      <c r="I730" s="3">
        <v>45646</v>
      </c>
      <c r="J730" s="2" t="s">
        <v>1785</v>
      </c>
      <c r="K730" s="2"/>
      <c r="L730" s="2"/>
      <c r="M730" s="2" t="s">
        <v>2291</v>
      </c>
    </row>
    <row r="731" spans="1:13" x14ac:dyDescent="0.25">
      <c r="A731" s="3" t="s">
        <v>2225</v>
      </c>
      <c r="B731" s="3">
        <v>43732</v>
      </c>
      <c r="C731" s="2" t="s">
        <v>59</v>
      </c>
      <c r="D731" s="2">
        <v>5</v>
      </c>
      <c r="E731" s="2" t="s">
        <v>2245</v>
      </c>
      <c r="F731" s="2" t="s">
        <v>2262</v>
      </c>
      <c r="G731" s="2">
        <v>12</v>
      </c>
      <c r="H731" s="2" t="s">
        <v>2230</v>
      </c>
      <c r="I731" s="3">
        <v>45646</v>
      </c>
      <c r="J731" s="2" t="s">
        <v>1785</v>
      </c>
      <c r="K731" s="2"/>
      <c r="L731" s="2"/>
      <c r="M731" s="2" t="s">
        <v>2291</v>
      </c>
    </row>
    <row r="732" spans="1:13" x14ac:dyDescent="0.25">
      <c r="A732" s="3" t="s">
        <v>2225</v>
      </c>
      <c r="B732" s="3">
        <v>43732</v>
      </c>
      <c r="C732" s="2" t="s">
        <v>59</v>
      </c>
      <c r="D732" s="2">
        <v>5</v>
      </c>
      <c r="E732" s="2" t="s">
        <v>2245</v>
      </c>
      <c r="F732" s="2" t="s">
        <v>2263</v>
      </c>
      <c r="G732" s="2">
        <v>50</v>
      </c>
      <c r="H732" s="2" t="s">
        <v>2230</v>
      </c>
      <c r="I732" s="3">
        <v>45646</v>
      </c>
      <c r="J732" s="2" t="s">
        <v>1785</v>
      </c>
      <c r="K732" s="2"/>
      <c r="L732" s="2"/>
      <c r="M732" s="2" t="s">
        <v>2291</v>
      </c>
    </row>
    <row r="733" spans="1:13" x14ac:dyDescent="0.25">
      <c r="A733" s="3" t="s">
        <v>2225</v>
      </c>
      <c r="B733" s="3">
        <v>43732</v>
      </c>
      <c r="C733" s="2" t="s">
        <v>59</v>
      </c>
      <c r="D733" s="2">
        <v>5</v>
      </c>
      <c r="E733" s="2" t="s">
        <v>2245</v>
      </c>
      <c r="F733" s="2" t="s">
        <v>2264</v>
      </c>
      <c r="G733" s="2">
        <v>30</v>
      </c>
      <c r="H733" s="2" t="s">
        <v>2230</v>
      </c>
      <c r="I733" s="3">
        <v>45646</v>
      </c>
      <c r="J733" s="2" t="s">
        <v>1785</v>
      </c>
      <c r="K733" s="2"/>
      <c r="L733" s="2"/>
      <c r="M733" s="2" t="s">
        <v>2291</v>
      </c>
    </row>
    <row r="734" spans="1:13" x14ac:dyDescent="0.25">
      <c r="A734" s="3" t="s">
        <v>2225</v>
      </c>
      <c r="B734" s="3">
        <v>43732</v>
      </c>
      <c r="C734" s="2" t="s">
        <v>59</v>
      </c>
      <c r="D734" s="2">
        <v>5</v>
      </c>
      <c r="E734" s="2" t="s">
        <v>2245</v>
      </c>
      <c r="F734" s="2" t="s">
        <v>2265</v>
      </c>
      <c r="G734" s="2">
        <v>9</v>
      </c>
      <c r="H734" s="2" t="s">
        <v>2230</v>
      </c>
      <c r="I734" s="3">
        <v>45646</v>
      </c>
      <c r="J734" s="2" t="s">
        <v>1785</v>
      </c>
      <c r="K734" s="2"/>
      <c r="L734" s="2"/>
      <c r="M734" s="2" t="s">
        <v>2291</v>
      </c>
    </row>
    <row r="735" spans="1:13" x14ac:dyDescent="0.25">
      <c r="A735" s="3" t="s">
        <v>2225</v>
      </c>
      <c r="B735" s="3">
        <v>43732</v>
      </c>
      <c r="C735" s="2" t="s">
        <v>59</v>
      </c>
      <c r="D735" s="2">
        <v>5</v>
      </c>
      <c r="E735" s="2" t="s">
        <v>2245</v>
      </c>
      <c r="F735" s="2" t="s">
        <v>2266</v>
      </c>
      <c r="G735" s="2">
        <v>33</v>
      </c>
      <c r="H735" s="2" t="s">
        <v>2230</v>
      </c>
      <c r="I735" s="3">
        <v>45646</v>
      </c>
      <c r="J735" s="2" t="s">
        <v>1785</v>
      </c>
      <c r="K735" s="2"/>
      <c r="L735" s="2"/>
      <c r="M735" s="2" t="s">
        <v>2291</v>
      </c>
    </row>
    <row r="736" spans="1:13" x14ac:dyDescent="0.25">
      <c r="A736" s="3" t="s">
        <v>2225</v>
      </c>
      <c r="B736" s="3">
        <v>43732</v>
      </c>
      <c r="C736" s="2" t="s">
        <v>59</v>
      </c>
      <c r="D736" s="2">
        <v>5</v>
      </c>
      <c r="E736" s="2" t="s">
        <v>2245</v>
      </c>
      <c r="F736" s="2" t="s">
        <v>2267</v>
      </c>
      <c r="G736" s="2">
        <v>9</v>
      </c>
      <c r="H736" s="2" t="s">
        <v>2230</v>
      </c>
      <c r="I736" s="3">
        <v>45646</v>
      </c>
      <c r="J736" s="2" t="s">
        <v>1785</v>
      </c>
      <c r="K736" s="2"/>
      <c r="L736" s="2"/>
      <c r="M736" s="2" t="s">
        <v>2291</v>
      </c>
    </row>
    <row r="737" spans="1:13" x14ac:dyDescent="0.25">
      <c r="A737" s="3" t="s">
        <v>2225</v>
      </c>
      <c r="B737" s="3">
        <v>43732</v>
      </c>
      <c r="C737" s="2" t="s">
        <v>59</v>
      </c>
      <c r="D737" s="2">
        <v>5</v>
      </c>
      <c r="E737" s="2" t="s">
        <v>2245</v>
      </c>
      <c r="F737" s="2" t="s">
        <v>2268</v>
      </c>
      <c r="G737" s="2">
        <v>30</v>
      </c>
      <c r="H737" s="2" t="s">
        <v>2230</v>
      </c>
      <c r="I737" s="3">
        <v>45646</v>
      </c>
      <c r="J737" s="2" t="s">
        <v>1785</v>
      </c>
      <c r="K737" s="2"/>
      <c r="L737" s="2"/>
      <c r="M737" s="2" t="s">
        <v>2291</v>
      </c>
    </row>
    <row r="738" spans="1:13" x14ac:dyDescent="0.25">
      <c r="A738" s="3" t="s">
        <v>2225</v>
      </c>
      <c r="B738" s="3">
        <v>43732</v>
      </c>
      <c r="C738" s="2" t="s">
        <v>59</v>
      </c>
      <c r="D738" s="2">
        <v>5</v>
      </c>
      <c r="E738" s="2" t="s">
        <v>2245</v>
      </c>
      <c r="F738" s="2" t="s">
        <v>2269</v>
      </c>
      <c r="G738" s="2">
        <v>26</v>
      </c>
      <c r="H738" s="2" t="s">
        <v>2230</v>
      </c>
      <c r="I738" s="3">
        <v>45646</v>
      </c>
      <c r="J738" s="2" t="s">
        <v>1785</v>
      </c>
      <c r="K738" s="2"/>
      <c r="L738" s="2"/>
      <c r="M738" s="2" t="s">
        <v>2291</v>
      </c>
    </row>
    <row r="739" spans="1:13" x14ac:dyDescent="0.25">
      <c r="A739" s="3" t="s">
        <v>2225</v>
      </c>
      <c r="B739" s="3">
        <v>43732</v>
      </c>
      <c r="C739" s="2" t="s">
        <v>59</v>
      </c>
      <c r="D739" s="2">
        <v>5</v>
      </c>
      <c r="E739" s="2" t="s">
        <v>2245</v>
      </c>
      <c r="F739" s="2" t="s">
        <v>2270</v>
      </c>
      <c r="G739" s="2">
        <v>14</v>
      </c>
      <c r="H739" s="2" t="s">
        <v>2230</v>
      </c>
      <c r="I739" s="3">
        <v>45646</v>
      </c>
      <c r="J739" s="2" t="s">
        <v>1785</v>
      </c>
      <c r="K739" s="2"/>
      <c r="L739" s="2"/>
      <c r="M739" s="2" t="s">
        <v>2291</v>
      </c>
    </row>
    <row r="740" spans="1:13" x14ac:dyDescent="0.25">
      <c r="A740" s="3" t="s">
        <v>2225</v>
      </c>
      <c r="B740" s="3">
        <v>43732</v>
      </c>
      <c r="C740" s="2" t="s">
        <v>59</v>
      </c>
      <c r="D740" s="2">
        <v>5</v>
      </c>
      <c r="E740" s="2" t="s">
        <v>2245</v>
      </c>
      <c r="F740" s="2" t="s">
        <v>2271</v>
      </c>
      <c r="G740" s="2">
        <v>13</v>
      </c>
      <c r="H740" s="2" t="s">
        <v>2230</v>
      </c>
      <c r="I740" s="3">
        <v>45646</v>
      </c>
      <c r="J740" s="2" t="s">
        <v>1785</v>
      </c>
      <c r="K740" s="2"/>
      <c r="L740" s="2"/>
      <c r="M740" s="2" t="s">
        <v>2291</v>
      </c>
    </row>
    <row r="741" spans="1:13" x14ac:dyDescent="0.25">
      <c r="A741" s="3" t="s">
        <v>2225</v>
      </c>
      <c r="B741" s="3">
        <v>43732</v>
      </c>
      <c r="C741" s="2" t="s">
        <v>59</v>
      </c>
      <c r="D741" s="2">
        <v>5</v>
      </c>
      <c r="E741" s="2" t="s">
        <v>2245</v>
      </c>
      <c r="F741" s="2" t="s">
        <v>2272</v>
      </c>
      <c r="G741" s="2">
        <v>26</v>
      </c>
      <c r="H741" s="2" t="s">
        <v>2230</v>
      </c>
      <c r="I741" s="3">
        <v>45646</v>
      </c>
      <c r="J741" s="2" t="s">
        <v>1785</v>
      </c>
      <c r="K741" s="2"/>
      <c r="L741" s="2"/>
      <c r="M741" s="2" t="s">
        <v>2291</v>
      </c>
    </row>
    <row r="742" spans="1:13" x14ac:dyDescent="0.25">
      <c r="A742" s="3" t="s">
        <v>2225</v>
      </c>
      <c r="B742" s="3">
        <v>43732</v>
      </c>
      <c r="C742" s="2" t="s">
        <v>59</v>
      </c>
      <c r="D742" s="2">
        <v>5</v>
      </c>
      <c r="E742" s="2" t="s">
        <v>2245</v>
      </c>
      <c r="F742" s="2" t="s">
        <v>2273</v>
      </c>
      <c r="G742" s="2">
        <v>24</v>
      </c>
      <c r="H742" s="2" t="s">
        <v>2230</v>
      </c>
      <c r="I742" s="3">
        <v>45646</v>
      </c>
      <c r="J742" s="2" t="s">
        <v>1785</v>
      </c>
      <c r="K742" s="2"/>
      <c r="L742" s="2"/>
      <c r="M742" s="2" t="s">
        <v>2291</v>
      </c>
    </row>
    <row r="743" spans="1:13" x14ac:dyDescent="0.25">
      <c r="A743" s="3" t="s">
        <v>2225</v>
      </c>
      <c r="B743" s="3">
        <v>43732</v>
      </c>
      <c r="C743" s="2" t="s">
        <v>59</v>
      </c>
      <c r="D743" s="2">
        <v>5</v>
      </c>
      <c r="E743" s="2" t="s">
        <v>2245</v>
      </c>
      <c r="F743" s="2" t="s">
        <v>2274</v>
      </c>
      <c r="G743" s="2">
        <v>26</v>
      </c>
      <c r="H743" s="2" t="s">
        <v>2230</v>
      </c>
      <c r="I743" s="3">
        <v>45646</v>
      </c>
      <c r="J743" s="2" t="s">
        <v>1785</v>
      </c>
      <c r="K743" s="2"/>
      <c r="L743" s="2"/>
      <c r="M743" s="2" t="s">
        <v>2291</v>
      </c>
    </row>
    <row r="744" spans="1:13" x14ac:dyDescent="0.25">
      <c r="A744" s="3" t="s">
        <v>2225</v>
      </c>
      <c r="B744" s="3">
        <v>43732</v>
      </c>
      <c r="C744" s="2" t="s">
        <v>59</v>
      </c>
      <c r="D744" s="2">
        <v>5</v>
      </c>
      <c r="E744" s="2" t="s">
        <v>2245</v>
      </c>
      <c r="F744" s="2" t="s">
        <v>2275</v>
      </c>
      <c r="G744" s="2">
        <v>33</v>
      </c>
      <c r="H744" s="2" t="s">
        <v>2230</v>
      </c>
      <c r="I744" s="3">
        <v>45646</v>
      </c>
      <c r="J744" s="2" t="s">
        <v>1785</v>
      </c>
      <c r="K744" s="2"/>
      <c r="L744" s="2"/>
      <c r="M744" s="2" t="s">
        <v>2291</v>
      </c>
    </row>
    <row r="745" spans="1:13" x14ac:dyDescent="0.25">
      <c r="A745" s="3" t="s">
        <v>2225</v>
      </c>
      <c r="B745" s="3">
        <v>43732</v>
      </c>
      <c r="C745" s="2" t="s">
        <v>59</v>
      </c>
      <c r="D745" s="2">
        <v>5</v>
      </c>
      <c r="E745" s="2" t="s">
        <v>2245</v>
      </c>
      <c r="F745" s="2" t="s">
        <v>2276</v>
      </c>
      <c r="G745" s="2">
        <v>12</v>
      </c>
      <c r="H745" s="2" t="s">
        <v>2230</v>
      </c>
      <c r="I745" s="3">
        <v>45646</v>
      </c>
      <c r="J745" s="2" t="s">
        <v>1785</v>
      </c>
      <c r="K745" s="2"/>
      <c r="L745" s="2"/>
      <c r="M745" s="2" t="s">
        <v>2291</v>
      </c>
    </row>
    <row r="746" spans="1:13" x14ac:dyDescent="0.25">
      <c r="A746" s="3" t="s">
        <v>2225</v>
      </c>
      <c r="B746" s="3">
        <v>43732</v>
      </c>
      <c r="C746" s="2" t="s">
        <v>59</v>
      </c>
      <c r="D746" s="2">
        <v>5</v>
      </c>
      <c r="E746" s="2" t="s">
        <v>2245</v>
      </c>
      <c r="F746" s="2" t="s">
        <v>2277</v>
      </c>
      <c r="G746" s="2">
        <v>17</v>
      </c>
      <c r="H746" s="2" t="s">
        <v>2230</v>
      </c>
      <c r="I746" s="3">
        <v>45646</v>
      </c>
      <c r="J746" s="2" t="s">
        <v>1785</v>
      </c>
      <c r="K746" s="2"/>
      <c r="L746" s="2"/>
      <c r="M746" s="2" t="s">
        <v>2291</v>
      </c>
    </row>
    <row r="747" spans="1:13" x14ac:dyDescent="0.25">
      <c r="A747" s="3" t="s">
        <v>2225</v>
      </c>
      <c r="B747" s="3">
        <v>43732</v>
      </c>
      <c r="C747" s="2" t="s">
        <v>59</v>
      </c>
      <c r="D747" s="2">
        <v>5</v>
      </c>
      <c r="E747" s="2" t="s">
        <v>2245</v>
      </c>
      <c r="F747" s="2" t="s">
        <v>2278</v>
      </c>
      <c r="G747" s="2">
        <v>31</v>
      </c>
      <c r="H747" s="2" t="s">
        <v>2230</v>
      </c>
      <c r="I747" s="3">
        <v>45646</v>
      </c>
      <c r="J747" s="2" t="s">
        <v>1785</v>
      </c>
      <c r="K747" s="2"/>
      <c r="L747" s="2"/>
      <c r="M747" s="2" t="s">
        <v>2291</v>
      </c>
    </row>
    <row r="748" spans="1:13" x14ac:dyDescent="0.25">
      <c r="A748" s="3" t="s">
        <v>2225</v>
      </c>
      <c r="B748" s="3">
        <v>43732</v>
      </c>
      <c r="C748" s="2" t="s">
        <v>59</v>
      </c>
      <c r="D748" s="2">
        <v>5</v>
      </c>
      <c r="E748" s="2" t="s">
        <v>2245</v>
      </c>
      <c r="F748" s="2" t="s">
        <v>2279</v>
      </c>
      <c r="G748" s="2">
        <v>70</v>
      </c>
      <c r="H748" s="2" t="s">
        <v>2230</v>
      </c>
      <c r="I748" s="3">
        <v>45646</v>
      </c>
      <c r="J748" s="2" t="s">
        <v>1785</v>
      </c>
      <c r="K748" s="2"/>
      <c r="L748" s="2"/>
      <c r="M748" s="2" t="s">
        <v>2291</v>
      </c>
    </row>
    <row r="749" spans="1:13" x14ac:dyDescent="0.25">
      <c r="A749" s="3" t="s">
        <v>2225</v>
      </c>
      <c r="B749" s="3">
        <v>43732</v>
      </c>
      <c r="C749" s="2" t="s">
        <v>59</v>
      </c>
      <c r="D749" s="2">
        <v>5</v>
      </c>
      <c r="E749" s="2" t="s">
        <v>2245</v>
      </c>
      <c r="F749" s="2" t="s">
        <v>2280</v>
      </c>
      <c r="G749" s="2">
        <v>14</v>
      </c>
      <c r="H749" s="2" t="s">
        <v>2230</v>
      </c>
      <c r="I749" s="3">
        <v>45646</v>
      </c>
      <c r="J749" s="2" t="s">
        <v>1785</v>
      </c>
      <c r="K749" s="2"/>
      <c r="L749" s="2"/>
      <c r="M749" s="2" t="s">
        <v>2291</v>
      </c>
    </row>
    <row r="750" spans="1:13" x14ac:dyDescent="0.25">
      <c r="A750" s="3" t="s">
        <v>2225</v>
      </c>
      <c r="B750" s="3">
        <v>43732</v>
      </c>
      <c r="C750" s="2" t="s">
        <v>59</v>
      </c>
      <c r="D750" s="2">
        <v>5</v>
      </c>
      <c r="E750" s="2" t="s">
        <v>2245</v>
      </c>
      <c r="F750" s="2" t="s">
        <v>2281</v>
      </c>
      <c r="G750" s="2">
        <v>29</v>
      </c>
      <c r="H750" s="2" t="s">
        <v>2230</v>
      </c>
      <c r="I750" s="3">
        <v>45646</v>
      </c>
      <c r="J750" s="2" t="s">
        <v>1785</v>
      </c>
      <c r="K750" s="2"/>
      <c r="L750" s="2"/>
      <c r="M750" s="2" t="s">
        <v>2291</v>
      </c>
    </row>
    <row r="751" spans="1:13" x14ac:dyDescent="0.25">
      <c r="A751" s="3" t="s">
        <v>2225</v>
      </c>
      <c r="B751" s="3">
        <v>43732</v>
      </c>
      <c r="C751" s="2" t="s">
        <v>59</v>
      </c>
      <c r="D751" s="2">
        <v>5</v>
      </c>
      <c r="E751" s="2" t="s">
        <v>2245</v>
      </c>
      <c r="F751" s="2" t="s">
        <v>2282</v>
      </c>
      <c r="G751" s="2">
        <v>42</v>
      </c>
      <c r="H751" s="2" t="s">
        <v>2230</v>
      </c>
      <c r="I751" s="3">
        <v>45646</v>
      </c>
      <c r="J751" s="2" t="s">
        <v>1785</v>
      </c>
      <c r="K751" s="2"/>
      <c r="L751" s="2"/>
      <c r="M751" s="2" t="s">
        <v>2291</v>
      </c>
    </row>
    <row r="752" spans="1:13" x14ac:dyDescent="0.25">
      <c r="A752" s="3" t="s">
        <v>2225</v>
      </c>
      <c r="B752" s="3">
        <v>43732</v>
      </c>
      <c r="C752" s="2" t="s">
        <v>59</v>
      </c>
      <c r="D752" s="2">
        <v>5</v>
      </c>
      <c r="E752" s="2" t="s">
        <v>2245</v>
      </c>
      <c r="F752" s="2" t="s">
        <v>2283</v>
      </c>
      <c r="G752" s="2">
        <v>5</v>
      </c>
      <c r="H752" s="2" t="s">
        <v>2230</v>
      </c>
      <c r="I752" s="3">
        <v>45646</v>
      </c>
      <c r="J752" s="2" t="s">
        <v>1785</v>
      </c>
      <c r="K752" s="2"/>
      <c r="L752" s="2"/>
      <c r="M752" s="2" t="s">
        <v>2291</v>
      </c>
    </row>
    <row r="753" spans="1:13" x14ac:dyDescent="0.25">
      <c r="A753" s="3" t="s">
        <v>2225</v>
      </c>
      <c r="B753" s="3">
        <v>43732</v>
      </c>
      <c r="C753" s="2" t="s">
        <v>59</v>
      </c>
      <c r="D753" s="2">
        <v>5</v>
      </c>
      <c r="E753" s="2" t="s">
        <v>2245</v>
      </c>
      <c r="F753" s="2" t="s">
        <v>2284</v>
      </c>
      <c r="G753" s="2">
        <v>24</v>
      </c>
      <c r="H753" s="2" t="s">
        <v>2230</v>
      </c>
      <c r="I753" s="3">
        <v>45646</v>
      </c>
      <c r="J753" s="2" t="s">
        <v>1785</v>
      </c>
      <c r="K753" s="2"/>
      <c r="L753" s="2"/>
      <c r="M753" s="2" t="s">
        <v>2291</v>
      </c>
    </row>
    <row r="754" spans="1:13" x14ac:dyDescent="0.25">
      <c r="A754" s="3" t="s">
        <v>2225</v>
      </c>
      <c r="B754" s="3">
        <v>43732</v>
      </c>
      <c r="C754" s="2" t="s">
        <v>59</v>
      </c>
      <c r="D754" s="2">
        <v>5</v>
      </c>
      <c r="E754" s="2" t="s">
        <v>2245</v>
      </c>
      <c r="F754" s="2" t="s">
        <v>2285</v>
      </c>
      <c r="G754" s="2">
        <v>19</v>
      </c>
      <c r="H754" s="2" t="s">
        <v>2230</v>
      </c>
      <c r="I754" s="3">
        <v>45646</v>
      </c>
      <c r="J754" s="2" t="s">
        <v>1785</v>
      </c>
      <c r="K754" s="2"/>
      <c r="L754" s="2"/>
      <c r="M754" s="2" t="s">
        <v>2291</v>
      </c>
    </row>
    <row r="755" spans="1:13" x14ac:dyDescent="0.25">
      <c r="A755" s="3" t="s">
        <v>2225</v>
      </c>
      <c r="B755" s="3">
        <v>43732</v>
      </c>
      <c r="C755" s="2" t="s">
        <v>59</v>
      </c>
      <c r="D755" s="2">
        <v>5</v>
      </c>
      <c r="E755" s="2" t="s">
        <v>2245</v>
      </c>
      <c r="F755" s="2" t="s">
        <v>2286</v>
      </c>
      <c r="G755" s="2">
        <v>31</v>
      </c>
      <c r="H755" s="2" t="s">
        <v>2230</v>
      </c>
      <c r="I755" s="3">
        <v>45646</v>
      </c>
      <c r="J755" s="2" t="s">
        <v>1785</v>
      </c>
      <c r="K755" s="2"/>
      <c r="L755" s="2"/>
      <c r="M755" s="2" t="s">
        <v>2291</v>
      </c>
    </row>
    <row r="756" spans="1:13" x14ac:dyDescent="0.25">
      <c r="A756" s="3" t="s">
        <v>2225</v>
      </c>
      <c r="B756" s="3">
        <v>43732</v>
      </c>
      <c r="C756" s="2" t="s">
        <v>59</v>
      </c>
      <c r="D756" s="2">
        <v>5</v>
      </c>
      <c r="E756" s="2" t="s">
        <v>2245</v>
      </c>
      <c r="F756" s="2" t="s">
        <v>2287</v>
      </c>
      <c r="G756" s="2">
        <v>15</v>
      </c>
      <c r="H756" s="2" t="s">
        <v>2230</v>
      </c>
      <c r="I756" s="3">
        <v>45646</v>
      </c>
      <c r="J756" s="2" t="s">
        <v>1785</v>
      </c>
      <c r="K756" s="2"/>
      <c r="L756" s="2"/>
      <c r="M756" s="2" t="s">
        <v>2291</v>
      </c>
    </row>
    <row r="757" spans="1:13" x14ac:dyDescent="0.25">
      <c r="A757" s="3" t="s">
        <v>2225</v>
      </c>
      <c r="B757" s="3">
        <v>43732</v>
      </c>
      <c r="C757" s="2" t="s">
        <v>59</v>
      </c>
      <c r="D757" s="2">
        <v>5</v>
      </c>
      <c r="E757" s="2" t="s">
        <v>2245</v>
      </c>
      <c r="F757" s="2" t="s">
        <v>2288</v>
      </c>
      <c r="G757" s="2">
        <v>35</v>
      </c>
      <c r="H757" s="2" t="s">
        <v>2230</v>
      </c>
      <c r="I757" s="3">
        <v>45646</v>
      </c>
      <c r="J757" s="2" t="s">
        <v>1785</v>
      </c>
      <c r="K757" s="2"/>
      <c r="L757" s="2"/>
      <c r="M757" s="2" t="s">
        <v>2291</v>
      </c>
    </row>
    <row r="758" spans="1:13" x14ac:dyDescent="0.25">
      <c r="A758" s="3" t="s">
        <v>2225</v>
      </c>
      <c r="B758" s="3">
        <v>43732</v>
      </c>
      <c r="C758" s="2" t="s">
        <v>59</v>
      </c>
      <c r="D758" s="2">
        <v>5</v>
      </c>
      <c r="E758" s="2" t="s">
        <v>2245</v>
      </c>
      <c r="F758" s="2" t="s">
        <v>2289</v>
      </c>
      <c r="G758" s="2">
        <v>24</v>
      </c>
      <c r="H758" s="2" t="s">
        <v>2230</v>
      </c>
      <c r="I758" s="3">
        <v>45646</v>
      </c>
      <c r="J758" s="2" t="s">
        <v>1785</v>
      </c>
      <c r="K758" s="2"/>
      <c r="L758" s="2"/>
      <c r="M758" s="2" t="s">
        <v>2291</v>
      </c>
    </row>
  </sheetData>
  <mergeCells count="6">
    <mergeCell ref="A6:G6"/>
    <mergeCell ref="A1:G1"/>
    <mergeCell ref="A2:G2"/>
    <mergeCell ref="A3:G3"/>
    <mergeCell ref="A4:G4"/>
    <mergeCell ref="A5:G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62C5-4E8D-49D3-846A-7389286C002D}">
  <dimension ref="A1:L919"/>
  <sheetViews>
    <sheetView workbookViewId="0">
      <selection activeCell="E2" sqref="E2:E919"/>
    </sheetView>
  </sheetViews>
  <sheetFormatPr defaultRowHeight="15" x14ac:dyDescent="0.25"/>
  <cols>
    <col min="1" max="1" width="33.28515625" bestFit="1" customWidth="1"/>
    <col min="2" max="2" width="28.28515625" bestFit="1" customWidth="1"/>
    <col min="3" max="3" width="14.7109375" customWidth="1"/>
    <col min="4" max="4" width="13" customWidth="1"/>
    <col min="5" max="5" width="14.5703125" customWidth="1"/>
    <col min="6" max="6" width="13.85546875" bestFit="1" customWidth="1"/>
    <col min="7" max="7" width="14.5703125" customWidth="1"/>
    <col min="8" max="8" width="12.42578125" customWidth="1"/>
    <col min="9" max="9" width="17.5703125" customWidth="1"/>
    <col min="10" max="10" width="15.42578125" customWidth="1"/>
    <col min="11" max="11" width="24.140625" bestFit="1" customWidth="1"/>
    <col min="12" max="12" width="44.5703125" bestFit="1" customWidth="1"/>
  </cols>
  <sheetData>
    <row r="1" spans="1:12" x14ac:dyDescent="0.25">
      <c r="A1" t="s">
        <v>2226</v>
      </c>
      <c r="B1" t="s">
        <v>2290</v>
      </c>
      <c r="C1" t="s">
        <v>2229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25">
      <c r="A2" t="str" cm="1">
        <f t="array" ref="A2">_xlfn.CONCAT(Instructions!C9,Instructions!A9,"_",TEXT(Instructions!B9,"YYYYMMDD"),"_1_",INDEX(Table1[], MATCH(1,(Table1[Estuary]=Instructions!C9)*(Table1[StationNumber]=Instructions!D9)*(Instructions!B9&gt;Table1[StartDate])*(Instructions!B9&lt;Table1[EndDate]),0),1),"_1_",Instructions!E9,"_",Instructions!F9)</f>
        <v>TBSRVY_20190924_1_0291_1_01_001</v>
      </c>
      <c r="B2" t="str" cm="1">
        <f t="array" ref="B2">_xlfn.CONCAT(Instructions!C9,Instructions!A9,"_",TEXT(Instructions!B9,"YYYYMMDD"),"_1_",INDEX(Table1[], MATCH(1,(Table1[Estuary]=Instructions!C9)*(Table1[StationNumber]=Instructions!D9)*(Instructions!B9&gt;Table1[StartDate])*(Instructions!B9&lt;Table1[EndDate]),0),1),"_1_",Instructions!E9)</f>
        <v>TBSRVY_20190924_1_0291_1_01</v>
      </c>
      <c r="C2">
        <f>Instructions!G9</f>
        <v>53</v>
      </c>
      <c r="D2" t="str">
        <f>IF(ISBLANK(Instructions!H9),"",Instructions!H9)</f>
        <v>Entered</v>
      </c>
      <c r="E2" s="1">
        <f>IF(ISBLANK(Instructions!I9),"",Instructions!I9)</f>
        <v>45646</v>
      </c>
      <c r="F2" t="str">
        <f>IF(ISBLANK(Instructions!J9),"",Instructions!J9)</f>
        <v>Erica Williams</v>
      </c>
      <c r="G2" s="1" t="str">
        <f>IF(ISBLANK(Instructions!K9),"",Instructions!K9)</f>
        <v/>
      </c>
      <c r="H2" t="str">
        <f>IF(ISBLANK(Instructions!L9),"",Instructions!L9)</f>
        <v/>
      </c>
      <c r="I2" t="str">
        <f>"NULL"</f>
        <v>NULL</v>
      </c>
      <c r="J2" t="str">
        <f>"NULL"</f>
        <v>NULL</v>
      </c>
      <c r="K2" t="str">
        <f>Instructions!M9</f>
        <v>Added via SMSS</v>
      </c>
      <c r="L2" t="str">
        <f>"NULL"</f>
        <v>NULL</v>
      </c>
    </row>
    <row r="3" spans="1:12" x14ac:dyDescent="0.25">
      <c r="A3" t="str" cm="1">
        <f t="array" ref="A3">_xlfn.CONCAT(Instructions!C10,Instructions!A10,"_",TEXT(Instructions!B10,"YYYYMMDD"),"_1_",INDEX(Table1[], MATCH(1,(Table1[Estuary]=Instructions!C10)*(Table1[StationNumber]=Instructions!D10)*(Instructions!B10&gt;Table1[StartDate])*(Instructions!B10&lt;Table1[EndDate]),0),1),"_1_",Instructions!E10,"_",Instructions!F10)</f>
        <v>TBSRVY_20190924_1_0291_1_01_002</v>
      </c>
      <c r="B3" t="str" cm="1">
        <f t="array" ref="B3">_xlfn.CONCAT(Instructions!C10,Instructions!A10,"_",TEXT(Instructions!B10,"YYYYMMDD"),"_1_",INDEX(Table1[], MATCH(1,(Table1[Estuary]=Instructions!C10)*(Table1[StationNumber]=Instructions!D10)*(Instructions!B10&gt;Table1[StartDate])*(Instructions!B10&lt;Table1[EndDate]),0),1),"_1_",Instructions!E10)</f>
        <v>TBSRVY_20190924_1_0291_1_01</v>
      </c>
      <c r="C3">
        <f>Instructions!G10</f>
        <v>27</v>
      </c>
      <c r="D3" t="str">
        <f>IF(ISBLANK(Instructions!H10),"",Instructions!H10)</f>
        <v>Entered</v>
      </c>
      <c r="E3" s="1">
        <f>IF(ISBLANK(Instructions!I10),"",Instructions!I10)</f>
        <v>45646</v>
      </c>
      <c r="F3" t="str">
        <f>IF(ISBLANK(Instructions!J10),"",Instructions!J10)</f>
        <v>Erica Williams</v>
      </c>
      <c r="G3" s="1" t="str">
        <f>IF(ISBLANK(Instructions!K10),"",Instructions!K10)</f>
        <v/>
      </c>
      <c r="H3" t="str">
        <f>IF(ISBLANK(Instructions!L10),"",Instructions!L10)</f>
        <v/>
      </c>
      <c r="I3" t="str">
        <f t="shared" ref="I3:J66" si="0">"NULL"</f>
        <v>NULL</v>
      </c>
      <c r="J3" t="str">
        <f t="shared" si="0"/>
        <v>NULL</v>
      </c>
      <c r="K3" t="str">
        <f>Instructions!M10</f>
        <v>Added via SMSS</v>
      </c>
      <c r="L3" t="str">
        <f t="shared" ref="L3:L257" si="1">"NULL"</f>
        <v>NULL</v>
      </c>
    </row>
    <row r="4" spans="1:12" x14ac:dyDescent="0.25">
      <c r="A4" t="str" cm="1">
        <f t="array" ref="A4">_xlfn.CONCAT(Instructions!C11,Instructions!A11,"_",TEXT(Instructions!B11,"YYYYMMDD"),"_1_",INDEX(Table1[], MATCH(1,(Table1[Estuary]=Instructions!C11)*(Table1[StationNumber]=Instructions!D11)*(Instructions!B11&gt;Table1[StartDate])*(Instructions!B11&lt;Table1[EndDate]),0),1),"_1_",Instructions!E11,"_",Instructions!F11)</f>
        <v>TBSRVY_20190924_1_0291_1_01_003</v>
      </c>
      <c r="B4" t="str" cm="1">
        <f t="array" ref="B4">_xlfn.CONCAT(Instructions!C11,Instructions!A11,"_",TEXT(Instructions!B11,"YYYYMMDD"),"_1_",INDEX(Table1[], MATCH(1,(Table1[Estuary]=Instructions!C11)*(Table1[StationNumber]=Instructions!D11)*(Instructions!B11&gt;Table1[StartDate])*(Instructions!B11&lt;Table1[EndDate]),0),1),"_1_",Instructions!E11)</f>
        <v>TBSRVY_20190924_1_0291_1_01</v>
      </c>
      <c r="C4">
        <f>Instructions!G11</f>
        <v>20</v>
      </c>
      <c r="D4" t="str">
        <f>IF(ISBLANK(Instructions!H11),"",Instructions!H11)</f>
        <v>Entered</v>
      </c>
      <c r="E4" s="1">
        <f>IF(ISBLANK(Instructions!I11),"",Instructions!I11)</f>
        <v>45646</v>
      </c>
      <c r="F4" t="str">
        <f>IF(ISBLANK(Instructions!J11),"",Instructions!J11)</f>
        <v>Erica Williams</v>
      </c>
      <c r="G4" s="1" t="str">
        <f>IF(ISBLANK(Instructions!K11),"",Instructions!K11)</f>
        <v/>
      </c>
      <c r="H4" t="str">
        <f>IF(ISBLANK(Instructions!L11),"",Instructions!L11)</f>
        <v/>
      </c>
      <c r="I4" t="str">
        <f t="shared" si="0"/>
        <v>NULL</v>
      </c>
      <c r="J4" t="str">
        <f t="shared" si="0"/>
        <v>NULL</v>
      </c>
      <c r="K4" t="str">
        <f>Instructions!M11</f>
        <v>Added via SMSS</v>
      </c>
      <c r="L4" t="str">
        <f t="shared" si="1"/>
        <v>NULL</v>
      </c>
    </row>
    <row r="5" spans="1:12" x14ac:dyDescent="0.25">
      <c r="A5" t="str" cm="1">
        <f t="array" ref="A5">_xlfn.CONCAT(Instructions!C12,Instructions!A12,"_",TEXT(Instructions!B12,"YYYYMMDD"),"_1_",INDEX(Table1[], MATCH(1,(Table1[Estuary]=Instructions!C12)*(Table1[StationNumber]=Instructions!D12)*(Instructions!B12&gt;Table1[StartDate])*(Instructions!B12&lt;Table1[EndDate]),0),1),"_1_",Instructions!E12,"_",Instructions!F12)</f>
        <v>TBSRVY_20190924_1_0291_1_01_004</v>
      </c>
      <c r="B5" t="str" cm="1">
        <f t="array" ref="B5">_xlfn.CONCAT(Instructions!C12,Instructions!A12,"_",TEXT(Instructions!B12,"YYYYMMDD"),"_1_",INDEX(Table1[], MATCH(1,(Table1[Estuary]=Instructions!C12)*(Table1[StationNumber]=Instructions!D12)*(Instructions!B12&gt;Table1[StartDate])*(Instructions!B12&lt;Table1[EndDate]),0),1),"_1_",Instructions!E12)</f>
        <v>TBSRVY_20190924_1_0291_1_01</v>
      </c>
      <c r="C5">
        <f>Instructions!G12</f>
        <v>17</v>
      </c>
      <c r="D5" t="str">
        <f>IF(ISBLANK(Instructions!H12),"",Instructions!H12)</f>
        <v>Entered</v>
      </c>
      <c r="E5" s="1">
        <f>IF(ISBLANK(Instructions!I12),"",Instructions!I12)</f>
        <v>45646</v>
      </c>
      <c r="F5" t="str">
        <f>IF(ISBLANK(Instructions!J12),"",Instructions!J12)</f>
        <v>Erica Williams</v>
      </c>
      <c r="G5" s="1" t="str">
        <f>IF(ISBLANK(Instructions!K12),"",Instructions!K12)</f>
        <v/>
      </c>
      <c r="H5" t="str">
        <f>IF(ISBLANK(Instructions!L12),"",Instructions!L12)</f>
        <v/>
      </c>
      <c r="I5" t="str">
        <f t="shared" si="0"/>
        <v>NULL</v>
      </c>
      <c r="J5" t="str">
        <f t="shared" si="0"/>
        <v>NULL</v>
      </c>
      <c r="K5" t="str">
        <f>Instructions!M12</f>
        <v>Added via SMSS</v>
      </c>
      <c r="L5" t="str">
        <f t="shared" si="1"/>
        <v>NULL</v>
      </c>
    </row>
    <row r="6" spans="1:12" x14ac:dyDescent="0.25">
      <c r="A6" t="str" cm="1">
        <f t="array" ref="A6">_xlfn.CONCAT(Instructions!C13,Instructions!A13,"_",TEXT(Instructions!B13,"YYYYMMDD"),"_1_",INDEX(Table1[], MATCH(1,(Table1[Estuary]=Instructions!C13)*(Table1[StationNumber]=Instructions!D13)*(Instructions!B13&gt;Table1[StartDate])*(Instructions!B13&lt;Table1[EndDate]),0),1),"_1_",Instructions!E13,"_",Instructions!F13)</f>
        <v>TBSRVY_20190924_1_0291_1_01_005</v>
      </c>
      <c r="B6" t="str" cm="1">
        <f t="array" ref="B6">_xlfn.CONCAT(Instructions!C13,Instructions!A13,"_",TEXT(Instructions!B13,"YYYYMMDD"),"_1_",INDEX(Table1[], MATCH(1,(Table1[Estuary]=Instructions!C13)*(Table1[StationNumber]=Instructions!D13)*(Instructions!B13&gt;Table1[StartDate])*(Instructions!B13&lt;Table1[EndDate]),0),1),"_1_",Instructions!E13)</f>
        <v>TBSRVY_20190924_1_0291_1_01</v>
      </c>
      <c r="C6">
        <f>Instructions!G13</f>
        <v>14</v>
      </c>
      <c r="D6" t="str">
        <f>IF(ISBLANK(Instructions!H13),"",Instructions!H13)</f>
        <v>Entered</v>
      </c>
      <c r="E6" s="1">
        <f>IF(ISBLANK(Instructions!I13),"",Instructions!I13)</f>
        <v>45646</v>
      </c>
      <c r="F6" t="str">
        <f>IF(ISBLANK(Instructions!J13),"",Instructions!J13)</f>
        <v>Erica Williams</v>
      </c>
      <c r="G6" s="1" t="str">
        <f>IF(ISBLANK(Instructions!K13),"",Instructions!K13)</f>
        <v/>
      </c>
      <c r="H6" t="str">
        <f>IF(ISBLANK(Instructions!L13),"",Instructions!L13)</f>
        <v/>
      </c>
      <c r="I6" t="str">
        <f t="shared" si="0"/>
        <v>NULL</v>
      </c>
      <c r="J6" t="str">
        <f t="shared" si="0"/>
        <v>NULL</v>
      </c>
      <c r="K6" t="str">
        <f>Instructions!M13</f>
        <v>Added via SMSS</v>
      </c>
      <c r="L6" t="str">
        <f t="shared" si="1"/>
        <v>NULL</v>
      </c>
    </row>
    <row r="7" spans="1:12" x14ac:dyDescent="0.25">
      <c r="A7" t="str" cm="1">
        <f t="array" ref="A7">_xlfn.CONCAT(Instructions!C14,Instructions!A14,"_",TEXT(Instructions!B14,"YYYYMMDD"),"_1_",INDEX(Table1[], MATCH(1,(Table1[Estuary]=Instructions!C14)*(Table1[StationNumber]=Instructions!D14)*(Instructions!B14&gt;Table1[StartDate])*(Instructions!B14&lt;Table1[EndDate]),0),1),"_1_",Instructions!E14,"_",Instructions!F14)</f>
        <v>TBSRVY_20190924_1_0291_1_01_006</v>
      </c>
      <c r="B7" t="str" cm="1">
        <f t="array" ref="B7">_xlfn.CONCAT(Instructions!C14,Instructions!A14,"_",TEXT(Instructions!B14,"YYYYMMDD"),"_1_",INDEX(Table1[], MATCH(1,(Table1[Estuary]=Instructions!C14)*(Table1[StationNumber]=Instructions!D14)*(Instructions!B14&gt;Table1[StartDate])*(Instructions!B14&lt;Table1[EndDate]),0),1),"_1_",Instructions!E14)</f>
        <v>TBSRVY_20190924_1_0291_1_01</v>
      </c>
      <c r="C7">
        <f>Instructions!G14</f>
        <v>36</v>
      </c>
      <c r="D7" t="str">
        <f>IF(ISBLANK(Instructions!H14),"",Instructions!H14)</f>
        <v>Entered</v>
      </c>
      <c r="E7" s="1">
        <f>IF(ISBLANK(Instructions!I14),"",Instructions!I14)</f>
        <v>45646</v>
      </c>
      <c r="F7" t="str">
        <f>IF(ISBLANK(Instructions!J14),"",Instructions!J14)</f>
        <v>Erica Williams</v>
      </c>
      <c r="G7" s="1" t="str">
        <f>IF(ISBLANK(Instructions!K14),"",Instructions!K14)</f>
        <v/>
      </c>
      <c r="H7" t="str">
        <f>IF(ISBLANK(Instructions!L14),"",Instructions!L14)</f>
        <v/>
      </c>
      <c r="I7" t="str">
        <f t="shared" si="0"/>
        <v>NULL</v>
      </c>
      <c r="J7" t="str">
        <f t="shared" si="0"/>
        <v>NULL</v>
      </c>
      <c r="K7" t="str">
        <f>Instructions!M14</f>
        <v>Added via SMSS</v>
      </c>
      <c r="L7" t="str">
        <f t="shared" si="1"/>
        <v>NULL</v>
      </c>
    </row>
    <row r="8" spans="1:12" x14ac:dyDescent="0.25">
      <c r="A8" t="str" cm="1">
        <f t="array" ref="A8">_xlfn.CONCAT(Instructions!C15,Instructions!A15,"_",TEXT(Instructions!B15,"YYYYMMDD"),"_1_",INDEX(Table1[], MATCH(1,(Table1[Estuary]=Instructions!C15)*(Table1[StationNumber]=Instructions!D15)*(Instructions!B15&gt;Table1[StartDate])*(Instructions!B15&lt;Table1[EndDate]),0),1),"_1_",Instructions!E15,"_",Instructions!F15)</f>
        <v>TBSRVY_20190924_1_0291_1_01_007</v>
      </c>
      <c r="B8" t="str" cm="1">
        <f t="array" ref="B8">_xlfn.CONCAT(Instructions!C15,Instructions!A15,"_",TEXT(Instructions!B15,"YYYYMMDD"),"_1_",INDEX(Table1[], MATCH(1,(Table1[Estuary]=Instructions!C15)*(Table1[StationNumber]=Instructions!D15)*(Instructions!B15&gt;Table1[StartDate])*(Instructions!B15&lt;Table1[EndDate]),0),1),"_1_",Instructions!E15)</f>
        <v>TBSRVY_20190924_1_0291_1_01</v>
      </c>
      <c r="C8">
        <f>Instructions!G15</f>
        <v>30</v>
      </c>
      <c r="D8" t="str">
        <f>IF(ISBLANK(Instructions!H15),"",Instructions!H15)</f>
        <v>Entered</v>
      </c>
      <c r="E8" s="1">
        <f>IF(ISBLANK(Instructions!I15),"",Instructions!I15)</f>
        <v>45646</v>
      </c>
      <c r="F8" t="str">
        <f>IF(ISBLANK(Instructions!J15),"",Instructions!J15)</f>
        <v>Erica Williams</v>
      </c>
      <c r="G8" s="1" t="str">
        <f>IF(ISBLANK(Instructions!K15),"",Instructions!K15)</f>
        <v/>
      </c>
      <c r="H8" t="str">
        <f>IF(ISBLANK(Instructions!L15),"",Instructions!L15)</f>
        <v/>
      </c>
      <c r="I8" t="str">
        <f t="shared" si="0"/>
        <v>NULL</v>
      </c>
      <c r="J8" t="str">
        <f t="shared" si="0"/>
        <v>NULL</v>
      </c>
      <c r="K8" t="str">
        <f>Instructions!M15</f>
        <v>Added via SMSS</v>
      </c>
      <c r="L8" t="str">
        <f t="shared" si="1"/>
        <v>NULL</v>
      </c>
    </row>
    <row r="9" spans="1:12" x14ac:dyDescent="0.25">
      <c r="A9" t="str" cm="1">
        <f t="array" ref="A9">_xlfn.CONCAT(Instructions!C16,Instructions!A16,"_",TEXT(Instructions!B16,"YYYYMMDD"),"_1_",INDEX(Table1[], MATCH(1,(Table1[Estuary]=Instructions!C16)*(Table1[StationNumber]=Instructions!D16)*(Instructions!B16&gt;Table1[StartDate])*(Instructions!B16&lt;Table1[EndDate]),0),1),"_1_",Instructions!E16,"_",Instructions!F16)</f>
        <v>TBSRVY_20190924_1_0291_1_01_008</v>
      </c>
      <c r="B9" t="str" cm="1">
        <f t="array" ref="B9">_xlfn.CONCAT(Instructions!C16,Instructions!A16,"_",TEXT(Instructions!B16,"YYYYMMDD"),"_1_",INDEX(Table1[], MATCH(1,(Table1[Estuary]=Instructions!C16)*(Table1[StationNumber]=Instructions!D16)*(Instructions!B16&gt;Table1[StartDate])*(Instructions!B16&lt;Table1[EndDate]),0),1),"_1_",Instructions!E16)</f>
        <v>TBSRVY_20190924_1_0291_1_01</v>
      </c>
      <c r="C9">
        <f>Instructions!G16</f>
        <v>32</v>
      </c>
      <c r="D9" t="str">
        <f>IF(ISBLANK(Instructions!H16),"",Instructions!H16)</f>
        <v>Entered</v>
      </c>
      <c r="E9" s="1">
        <f>IF(ISBLANK(Instructions!I16),"",Instructions!I16)</f>
        <v>45646</v>
      </c>
      <c r="F9" t="str">
        <f>IF(ISBLANK(Instructions!J16),"",Instructions!J16)</f>
        <v>Erica Williams</v>
      </c>
      <c r="G9" s="1" t="str">
        <f>IF(ISBLANK(Instructions!K16),"",Instructions!K16)</f>
        <v/>
      </c>
      <c r="H9" t="str">
        <f>IF(ISBLANK(Instructions!L16),"",Instructions!L16)</f>
        <v/>
      </c>
      <c r="I9" t="str">
        <f t="shared" si="0"/>
        <v>NULL</v>
      </c>
      <c r="J9" t="str">
        <f t="shared" si="0"/>
        <v>NULL</v>
      </c>
      <c r="K9" t="str">
        <f>Instructions!M16</f>
        <v>Added via SMSS</v>
      </c>
      <c r="L9" t="str">
        <f t="shared" si="1"/>
        <v>NULL</v>
      </c>
    </row>
    <row r="10" spans="1:12" x14ac:dyDescent="0.25">
      <c r="A10" t="str" cm="1">
        <f t="array" ref="A10">_xlfn.CONCAT(Instructions!C17,Instructions!A17,"_",TEXT(Instructions!B17,"YYYYMMDD"),"_1_",INDEX(Table1[], MATCH(1,(Table1[Estuary]=Instructions!C17)*(Table1[StationNumber]=Instructions!D17)*(Instructions!B17&gt;Table1[StartDate])*(Instructions!B17&lt;Table1[EndDate]),0),1),"_1_",Instructions!E17,"_",Instructions!F17)</f>
        <v>TBSRVY_20190924_1_0291_1_01_009</v>
      </c>
      <c r="B10" t="str" cm="1">
        <f t="array" ref="B10">_xlfn.CONCAT(Instructions!C17,Instructions!A17,"_",TEXT(Instructions!B17,"YYYYMMDD"),"_1_",INDEX(Table1[], MATCH(1,(Table1[Estuary]=Instructions!C17)*(Table1[StationNumber]=Instructions!D17)*(Instructions!B17&gt;Table1[StartDate])*(Instructions!B17&lt;Table1[EndDate]),0),1),"_1_",Instructions!E17)</f>
        <v>TBSRVY_20190924_1_0291_1_01</v>
      </c>
      <c r="C10">
        <f>Instructions!G17</f>
        <v>51</v>
      </c>
      <c r="D10" t="str">
        <f>IF(ISBLANK(Instructions!H17),"",Instructions!H17)</f>
        <v>Entered</v>
      </c>
      <c r="E10" s="1">
        <f>IF(ISBLANK(Instructions!I17),"",Instructions!I17)</f>
        <v>45646</v>
      </c>
      <c r="F10" t="str">
        <f>IF(ISBLANK(Instructions!J17),"",Instructions!J17)</f>
        <v>Erica Williams</v>
      </c>
      <c r="G10" s="1" t="str">
        <f>IF(ISBLANK(Instructions!K17),"",Instructions!K17)</f>
        <v/>
      </c>
      <c r="H10" t="str">
        <f>IF(ISBLANK(Instructions!L17),"",Instructions!L17)</f>
        <v/>
      </c>
      <c r="I10" t="str">
        <f t="shared" si="0"/>
        <v>NULL</v>
      </c>
      <c r="J10" t="str">
        <f t="shared" si="0"/>
        <v>NULL</v>
      </c>
      <c r="K10" t="str">
        <f>Instructions!M17</f>
        <v>Added via SMSS</v>
      </c>
      <c r="L10" t="str">
        <f t="shared" si="1"/>
        <v>NULL</v>
      </c>
    </row>
    <row r="11" spans="1:12" x14ac:dyDescent="0.25">
      <c r="A11" t="str" cm="1">
        <f t="array" ref="A11">_xlfn.CONCAT(Instructions!C18,Instructions!A18,"_",TEXT(Instructions!B18,"YYYYMMDD"),"_1_",INDEX(Table1[], MATCH(1,(Table1[Estuary]=Instructions!C18)*(Table1[StationNumber]=Instructions!D18)*(Instructions!B18&gt;Table1[StartDate])*(Instructions!B18&lt;Table1[EndDate]),0),1),"_1_",Instructions!E18,"_",Instructions!F18)</f>
        <v>TBSRVY_20190924_1_0291_1_01_010</v>
      </c>
      <c r="B11" t="str" cm="1">
        <f t="array" ref="B11">_xlfn.CONCAT(Instructions!C18,Instructions!A18,"_",TEXT(Instructions!B18,"YYYYMMDD"),"_1_",INDEX(Table1[], MATCH(1,(Table1[Estuary]=Instructions!C18)*(Table1[StationNumber]=Instructions!D18)*(Instructions!B18&gt;Table1[StartDate])*(Instructions!B18&lt;Table1[EndDate]),0),1),"_1_",Instructions!E18)</f>
        <v>TBSRVY_20190924_1_0291_1_01</v>
      </c>
      <c r="C11">
        <f>Instructions!G18</f>
        <v>8</v>
      </c>
      <c r="D11" t="str">
        <f>IF(ISBLANK(Instructions!H18),"",Instructions!H18)</f>
        <v>Entered</v>
      </c>
      <c r="E11" s="1">
        <f>IF(ISBLANK(Instructions!I18),"",Instructions!I18)</f>
        <v>45646</v>
      </c>
      <c r="F11" t="str">
        <f>IF(ISBLANK(Instructions!J18),"",Instructions!J18)</f>
        <v>Erica Williams</v>
      </c>
      <c r="G11" s="1" t="str">
        <f>IF(ISBLANK(Instructions!K18),"",Instructions!K18)</f>
        <v/>
      </c>
      <c r="H11" t="str">
        <f>IF(ISBLANK(Instructions!L18),"",Instructions!L18)</f>
        <v/>
      </c>
      <c r="I11" t="str">
        <f t="shared" si="0"/>
        <v>NULL</v>
      </c>
      <c r="J11" t="str">
        <f t="shared" si="0"/>
        <v>NULL</v>
      </c>
      <c r="K11" t="str">
        <f>Instructions!M18</f>
        <v>Added via SMSS</v>
      </c>
      <c r="L11" t="str">
        <f t="shared" si="1"/>
        <v>NULL</v>
      </c>
    </row>
    <row r="12" spans="1:12" x14ac:dyDescent="0.25">
      <c r="A12" t="str" cm="1">
        <f t="array" ref="A12">_xlfn.CONCAT(Instructions!C19,Instructions!A19,"_",TEXT(Instructions!B19,"YYYYMMDD"),"_1_",INDEX(Table1[], MATCH(1,(Table1[Estuary]=Instructions!C19)*(Table1[StationNumber]=Instructions!D19)*(Instructions!B19&gt;Table1[StartDate])*(Instructions!B19&lt;Table1[EndDate]),0),1),"_1_",Instructions!E19,"_",Instructions!F19)</f>
        <v>TBSRVY_20190924_1_0291_1_01_011</v>
      </c>
      <c r="B12" t="str" cm="1">
        <f t="array" ref="B12">_xlfn.CONCAT(Instructions!C19,Instructions!A19,"_",TEXT(Instructions!B19,"YYYYMMDD"),"_1_",INDEX(Table1[], MATCH(1,(Table1[Estuary]=Instructions!C19)*(Table1[StationNumber]=Instructions!D19)*(Instructions!B19&gt;Table1[StartDate])*(Instructions!B19&lt;Table1[EndDate]),0),1),"_1_",Instructions!E19)</f>
        <v>TBSRVY_20190924_1_0291_1_01</v>
      </c>
      <c r="C12">
        <f>Instructions!G19</f>
        <v>10</v>
      </c>
      <c r="D12" t="str">
        <f>IF(ISBLANK(Instructions!H19),"",Instructions!H19)</f>
        <v>Entered</v>
      </c>
      <c r="E12" s="1">
        <f>IF(ISBLANK(Instructions!I19),"",Instructions!I19)</f>
        <v>45646</v>
      </c>
      <c r="F12" t="str">
        <f>IF(ISBLANK(Instructions!J19),"",Instructions!J19)</f>
        <v>Erica Williams</v>
      </c>
      <c r="G12" s="1" t="str">
        <f>IF(ISBLANK(Instructions!K19),"",Instructions!K19)</f>
        <v/>
      </c>
      <c r="H12" t="str">
        <f>IF(ISBLANK(Instructions!L19),"",Instructions!L19)</f>
        <v/>
      </c>
      <c r="I12" t="str">
        <f t="shared" si="0"/>
        <v>NULL</v>
      </c>
      <c r="J12" t="str">
        <f t="shared" si="0"/>
        <v>NULL</v>
      </c>
      <c r="K12" t="str">
        <f>Instructions!M19</f>
        <v>Added via SMSS</v>
      </c>
      <c r="L12" t="str">
        <f t="shared" si="1"/>
        <v>NULL</v>
      </c>
    </row>
    <row r="13" spans="1:12" x14ac:dyDescent="0.25">
      <c r="A13" t="str" cm="1">
        <f t="array" ref="A13">_xlfn.CONCAT(Instructions!C20,Instructions!A20,"_",TEXT(Instructions!B20,"YYYYMMDD"),"_1_",INDEX(Table1[], MATCH(1,(Table1[Estuary]=Instructions!C20)*(Table1[StationNumber]=Instructions!D20)*(Instructions!B20&gt;Table1[StartDate])*(Instructions!B20&lt;Table1[EndDate]),0),1),"_1_",Instructions!E20,"_",Instructions!F20)</f>
        <v>TBSRVY_20190924_1_0291_1_01_012</v>
      </c>
      <c r="B13" t="str" cm="1">
        <f t="array" ref="B13">_xlfn.CONCAT(Instructions!C20,Instructions!A20,"_",TEXT(Instructions!B20,"YYYYMMDD"),"_1_",INDEX(Table1[], MATCH(1,(Table1[Estuary]=Instructions!C20)*(Table1[StationNumber]=Instructions!D20)*(Instructions!B20&gt;Table1[StartDate])*(Instructions!B20&lt;Table1[EndDate]),0),1),"_1_",Instructions!E20)</f>
        <v>TBSRVY_20190924_1_0291_1_01</v>
      </c>
      <c r="C13">
        <f>Instructions!G20</f>
        <v>67</v>
      </c>
      <c r="D13" t="str">
        <f>IF(ISBLANK(Instructions!H20),"",Instructions!H20)</f>
        <v>Entered</v>
      </c>
      <c r="E13" s="1">
        <f>IF(ISBLANK(Instructions!I20),"",Instructions!I20)</f>
        <v>45646</v>
      </c>
      <c r="F13" t="str">
        <f>IF(ISBLANK(Instructions!J20),"",Instructions!J20)</f>
        <v>Erica Williams</v>
      </c>
      <c r="G13" s="1" t="str">
        <f>IF(ISBLANK(Instructions!K20),"",Instructions!K20)</f>
        <v/>
      </c>
      <c r="H13" t="str">
        <f>IF(ISBLANK(Instructions!L20),"",Instructions!L20)</f>
        <v/>
      </c>
      <c r="I13" t="str">
        <f t="shared" si="0"/>
        <v>NULL</v>
      </c>
      <c r="J13" t="str">
        <f t="shared" si="0"/>
        <v>NULL</v>
      </c>
      <c r="K13" t="str">
        <f>Instructions!M20</f>
        <v>Added via SMSS</v>
      </c>
      <c r="L13" t="str">
        <f t="shared" si="1"/>
        <v>NULL</v>
      </c>
    </row>
    <row r="14" spans="1:12" x14ac:dyDescent="0.25">
      <c r="A14" t="str" cm="1">
        <f t="array" ref="A14">_xlfn.CONCAT(Instructions!C21,Instructions!A21,"_",TEXT(Instructions!B21,"YYYYMMDD"),"_1_",INDEX(Table1[], MATCH(1,(Table1[Estuary]=Instructions!C21)*(Table1[StationNumber]=Instructions!D21)*(Instructions!B21&gt;Table1[StartDate])*(Instructions!B21&lt;Table1[EndDate]),0),1),"_1_",Instructions!E21,"_",Instructions!F21)</f>
        <v>TBSRVY_20190924_1_0291_1_01_013</v>
      </c>
      <c r="B14" t="str" cm="1">
        <f t="array" ref="B14">_xlfn.CONCAT(Instructions!C21,Instructions!A21,"_",TEXT(Instructions!B21,"YYYYMMDD"),"_1_",INDEX(Table1[], MATCH(1,(Table1[Estuary]=Instructions!C21)*(Table1[StationNumber]=Instructions!D21)*(Instructions!B21&gt;Table1[StartDate])*(Instructions!B21&lt;Table1[EndDate]),0),1),"_1_",Instructions!E21)</f>
        <v>TBSRVY_20190924_1_0291_1_01</v>
      </c>
      <c r="C14">
        <f>Instructions!G21</f>
        <v>30</v>
      </c>
      <c r="D14" t="str">
        <f>IF(ISBLANK(Instructions!H21),"",Instructions!H21)</f>
        <v>Entered</v>
      </c>
      <c r="E14" s="1">
        <f>IF(ISBLANK(Instructions!I21),"",Instructions!I21)</f>
        <v>45646</v>
      </c>
      <c r="F14" t="str">
        <f>IF(ISBLANK(Instructions!J21),"",Instructions!J21)</f>
        <v>Erica Williams</v>
      </c>
      <c r="G14" s="1" t="str">
        <f>IF(ISBLANK(Instructions!K21),"",Instructions!K21)</f>
        <v/>
      </c>
      <c r="H14" t="str">
        <f>IF(ISBLANK(Instructions!L21),"",Instructions!L21)</f>
        <v/>
      </c>
      <c r="I14" t="str">
        <f t="shared" si="0"/>
        <v>NULL</v>
      </c>
      <c r="J14" t="str">
        <f t="shared" si="0"/>
        <v>NULL</v>
      </c>
      <c r="K14" t="str">
        <f>Instructions!M21</f>
        <v>Added via SMSS</v>
      </c>
      <c r="L14" t="str">
        <f t="shared" si="1"/>
        <v>NULL</v>
      </c>
    </row>
    <row r="15" spans="1:12" x14ac:dyDescent="0.25">
      <c r="A15" t="str" cm="1">
        <f t="array" ref="A15">_xlfn.CONCAT(Instructions!C22,Instructions!A22,"_",TEXT(Instructions!B22,"YYYYMMDD"),"_1_",INDEX(Table1[], MATCH(1,(Table1[Estuary]=Instructions!C22)*(Table1[StationNumber]=Instructions!D22)*(Instructions!B22&gt;Table1[StartDate])*(Instructions!B22&lt;Table1[EndDate]),0),1),"_1_",Instructions!E22,"_",Instructions!F22)</f>
        <v>TBSRVY_20190924_1_0291_1_01_014</v>
      </c>
      <c r="B15" t="str" cm="1">
        <f t="array" ref="B15">_xlfn.CONCAT(Instructions!C22,Instructions!A22,"_",TEXT(Instructions!B22,"YYYYMMDD"),"_1_",INDEX(Table1[], MATCH(1,(Table1[Estuary]=Instructions!C22)*(Table1[StationNumber]=Instructions!D22)*(Instructions!B22&gt;Table1[StartDate])*(Instructions!B22&lt;Table1[EndDate]),0),1),"_1_",Instructions!E22)</f>
        <v>TBSRVY_20190924_1_0291_1_01</v>
      </c>
      <c r="C15">
        <f>Instructions!G22</f>
        <v>26</v>
      </c>
      <c r="D15" t="str">
        <f>IF(ISBLANK(Instructions!H22),"",Instructions!H22)</f>
        <v>Entered</v>
      </c>
      <c r="E15" s="1">
        <f>IF(ISBLANK(Instructions!I22),"",Instructions!I22)</f>
        <v>45646</v>
      </c>
      <c r="F15" t="str">
        <f>IF(ISBLANK(Instructions!J22),"",Instructions!J22)</f>
        <v>Erica Williams</v>
      </c>
      <c r="G15" s="1" t="str">
        <f>IF(ISBLANK(Instructions!K22),"",Instructions!K22)</f>
        <v/>
      </c>
      <c r="H15" t="str">
        <f>IF(ISBLANK(Instructions!L22),"",Instructions!L22)</f>
        <v/>
      </c>
      <c r="I15" t="str">
        <f t="shared" si="0"/>
        <v>NULL</v>
      </c>
      <c r="J15" t="str">
        <f t="shared" si="0"/>
        <v>NULL</v>
      </c>
      <c r="K15" t="str">
        <f>Instructions!M22</f>
        <v>Added via SMSS</v>
      </c>
      <c r="L15" t="str">
        <f t="shared" si="1"/>
        <v>NULL</v>
      </c>
    </row>
    <row r="16" spans="1:12" x14ac:dyDescent="0.25">
      <c r="A16" t="str" cm="1">
        <f t="array" ref="A16">_xlfn.CONCAT(Instructions!C23,Instructions!A23,"_",TEXT(Instructions!B23,"YYYYMMDD"),"_1_",INDEX(Table1[], MATCH(1,(Table1[Estuary]=Instructions!C23)*(Table1[StationNumber]=Instructions!D23)*(Instructions!B23&gt;Table1[StartDate])*(Instructions!B23&lt;Table1[EndDate]),0),1),"_1_",Instructions!E23,"_",Instructions!F23)</f>
        <v>TBSRVY_20190924_1_0291_1_01_015</v>
      </c>
      <c r="B16" t="str" cm="1">
        <f t="array" ref="B16">_xlfn.CONCAT(Instructions!C23,Instructions!A23,"_",TEXT(Instructions!B23,"YYYYMMDD"),"_1_",INDEX(Table1[], MATCH(1,(Table1[Estuary]=Instructions!C23)*(Table1[StationNumber]=Instructions!D23)*(Instructions!B23&gt;Table1[StartDate])*(Instructions!B23&lt;Table1[EndDate]),0),1),"_1_",Instructions!E23)</f>
        <v>TBSRVY_20190924_1_0291_1_01</v>
      </c>
      <c r="C16">
        <f>Instructions!G23</f>
        <v>44</v>
      </c>
      <c r="D16" t="str">
        <f>IF(ISBLANK(Instructions!H23),"",Instructions!H23)</f>
        <v>Entered</v>
      </c>
      <c r="E16" s="1">
        <f>IF(ISBLANK(Instructions!I23),"",Instructions!I23)</f>
        <v>45646</v>
      </c>
      <c r="F16" t="str">
        <f>IF(ISBLANK(Instructions!J23),"",Instructions!J23)</f>
        <v>Erica Williams</v>
      </c>
      <c r="G16" s="1" t="str">
        <f>IF(ISBLANK(Instructions!K23),"",Instructions!K23)</f>
        <v/>
      </c>
      <c r="H16" t="str">
        <f>IF(ISBLANK(Instructions!L23),"",Instructions!L23)</f>
        <v/>
      </c>
      <c r="I16" t="str">
        <f t="shared" si="0"/>
        <v>NULL</v>
      </c>
      <c r="J16" t="str">
        <f t="shared" si="0"/>
        <v>NULL</v>
      </c>
      <c r="K16" t="str">
        <f>Instructions!M23</f>
        <v>Added via SMSS</v>
      </c>
      <c r="L16" t="str">
        <f t="shared" si="1"/>
        <v>NULL</v>
      </c>
    </row>
    <row r="17" spans="1:12" x14ac:dyDescent="0.25">
      <c r="A17" t="str" cm="1">
        <f t="array" ref="A17">_xlfn.CONCAT(Instructions!C24,Instructions!A24,"_",TEXT(Instructions!B24,"YYYYMMDD"),"_1_",INDEX(Table1[], MATCH(1,(Table1[Estuary]=Instructions!C24)*(Table1[StationNumber]=Instructions!D24)*(Instructions!B24&gt;Table1[StartDate])*(Instructions!B24&lt;Table1[EndDate]),0),1),"_1_",Instructions!E24,"_",Instructions!F24)</f>
        <v>TBSRVY_20190924_1_0291_1_01_016</v>
      </c>
      <c r="B17" t="str" cm="1">
        <f t="array" ref="B17">_xlfn.CONCAT(Instructions!C24,Instructions!A24,"_",TEXT(Instructions!B24,"YYYYMMDD"),"_1_",INDEX(Table1[], MATCH(1,(Table1[Estuary]=Instructions!C24)*(Table1[StationNumber]=Instructions!D24)*(Instructions!B24&gt;Table1[StartDate])*(Instructions!B24&lt;Table1[EndDate]),0),1),"_1_",Instructions!E24)</f>
        <v>TBSRVY_20190924_1_0291_1_01</v>
      </c>
      <c r="C17">
        <f>Instructions!G24</f>
        <v>18</v>
      </c>
      <c r="D17" t="str">
        <f>IF(ISBLANK(Instructions!H24),"",Instructions!H24)</f>
        <v>Entered</v>
      </c>
      <c r="E17" s="1">
        <f>IF(ISBLANK(Instructions!I24),"",Instructions!I24)</f>
        <v>45646</v>
      </c>
      <c r="F17" t="str">
        <f>IF(ISBLANK(Instructions!J24),"",Instructions!J24)</f>
        <v>Erica Williams</v>
      </c>
      <c r="G17" s="1" t="str">
        <f>IF(ISBLANK(Instructions!K24),"",Instructions!K24)</f>
        <v/>
      </c>
      <c r="H17" t="str">
        <f>IF(ISBLANK(Instructions!L24),"",Instructions!L24)</f>
        <v/>
      </c>
      <c r="I17" t="str">
        <f t="shared" si="0"/>
        <v>NULL</v>
      </c>
      <c r="J17" t="str">
        <f t="shared" si="0"/>
        <v>NULL</v>
      </c>
      <c r="K17" t="str">
        <f>Instructions!M24</f>
        <v>Added via SMSS</v>
      </c>
      <c r="L17" t="str">
        <f t="shared" si="1"/>
        <v>NULL</v>
      </c>
    </row>
    <row r="18" spans="1:12" x14ac:dyDescent="0.25">
      <c r="A18" t="str" cm="1">
        <f t="array" ref="A18">_xlfn.CONCAT(Instructions!C25,Instructions!A25,"_",TEXT(Instructions!B25,"YYYYMMDD"),"_1_",INDEX(Table1[], MATCH(1,(Table1[Estuary]=Instructions!C25)*(Table1[StationNumber]=Instructions!D25)*(Instructions!B25&gt;Table1[StartDate])*(Instructions!B25&lt;Table1[EndDate]),0),1),"_1_",Instructions!E25,"_",Instructions!F25)</f>
        <v>TBSRVY_20190924_1_0291_1_01_017</v>
      </c>
      <c r="B18" t="str" cm="1">
        <f t="array" ref="B18">_xlfn.CONCAT(Instructions!C25,Instructions!A25,"_",TEXT(Instructions!B25,"YYYYMMDD"),"_1_",INDEX(Table1[], MATCH(1,(Table1[Estuary]=Instructions!C25)*(Table1[StationNumber]=Instructions!D25)*(Instructions!B25&gt;Table1[StartDate])*(Instructions!B25&lt;Table1[EndDate]),0),1),"_1_",Instructions!E25)</f>
        <v>TBSRVY_20190924_1_0291_1_01</v>
      </c>
      <c r="C18">
        <f>Instructions!G25</f>
        <v>30</v>
      </c>
      <c r="D18" t="str">
        <f>IF(ISBLANK(Instructions!H25),"",Instructions!H25)</f>
        <v>Entered</v>
      </c>
      <c r="E18" s="1">
        <f>IF(ISBLANK(Instructions!I25),"",Instructions!I25)</f>
        <v>45646</v>
      </c>
      <c r="F18" t="str">
        <f>IF(ISBLANK(Instructions!J25),"",Instructions!J25)</f>
        <v>Erica Williams</v>
      </c>
      <c r="G18" s="1" t="str">
        <f>IF(ISBLANK(Instructions!K25),"",Instructions!K25)</f>
        <v/>
      </c>
      <c r="H18" t="str">
        <f>IF(ISBLANK(Instructions!L25),"",Instructions!L25)</f>
        <v/>
      </c>
      <c r="I18" t="str">
        <f t="shared" si="0"/>
        <v>NULL</v>
      </c>
      <c r="J18" t="str">
        <f t="shared" si="0"/>
        <v>NULL</v>
      </c>
      <c r="K18" t="str">
        <f>Instructions!M25</f>
        <v>Added via SMSS</v>
      </c>
      <c r="L18" t="str">
        <f t="shared" si="1"/>
        <v>NULL</v>
      </c>
    </row>
    <row r="19" spans="1:12" x14ac:dyDescent="0.25">
      <c r="A19" t="str" cm="1">
        <f t="array" ref="A19">_xlfn.CONCAT(Instructions!C26,Instructions!A26,"_",TEXT(Instructions!B26,"YYYYMMDD"),"_1_",INDEX(Table1[], MATCH(1,(Table1[Estuary]=Instructions!C26)*(Table1[StationNumber]=Instructions!D26)*(Instructions!B26&gt;Table1[StartDate])*(Instructions!B26&lt;Table1[EndDate]),0),1),"_1_",Instructions!E26,"_",Instructions!F26)</f>
        <v>TBSRVY_20190924_1_0291_1_01_018</v>
      </c>
      <c r="B19" t="str" cm="1">
        <f t="array" ref="B19">_xlfn.CONCAT(Instructions!C26,Instructions!A26,"_",TEXT(Instructions!B26,"YYYYMMDD"),"_1_",INDEX(Table1[], MATCH(1,(Table1[Estuary]=Instructions!C26)*(Table1[StationNumber]=Instructions!D26)*(Instructions!B26&gt;Table1[StartDate])*(Instructions!B26&lt;Table1[EndDate]),0),1),"_1_",Instructions!E26)</f>
        <v>TBSRVY_20190924_1_0291_1_01</v>
      </c>
      <c r="C19">
        <f>Instructions!G26</f>
        <v>21</v>
      </c>
      <c r="D19" t="str">
        <f>IF(ISBLANK(Instructions!H26),"",Instructions!H26)</f>
        <v>Entered</v>
      </c>
      <c r="E19" s="1">
        <f>IF(ISBLANK(Instructions!I26),"",Instructions!I26)</f>
        <v>45646</v>
      </c>
      <c r="F19" t="str">
        <f>IF(ISBLANK(Instructions!J26),"",Instructions!J26)</f>
        <v>Erica Williams</v>
      </c>
      <c r="G19" s="1" t="str">
        <f>IF(ISBLANK(Instructions!K26),"",Instructions!K26)</f>
        <v/>
      </c>
      <c r="H19" t="str">
        <f>IF(ISBLANK(Instructions!L26),"",Instructions!L26)</f>
        <v/>
      </c>
      <c r="I19" t="str">
        <f t="shared" si="0"/>
        <v>NULL</v>
      </c>
      <c r="J19" t="str">
        <f t="shared" si="0"/>
        <v>NULL</v>
      </c>
      <c r="K19" t="str">
        <f>Instructions!M26</f>
        <v>Added via SMSS</v>
      </c>
      <c r="L19" t="str">
        <f t="shared" si="1"/>
        <v>NULL</v>
      </c>
    </row>
    <row r="20" spans="1:12" x14ac:dyDescent="0.25">
      <c r="A20" t="str" cm="1">
        <f t="array" ref="A20">_xlfn.CONCAT(Instructions!C27,Instructions!A27,"_",TEXT(Instructions!B27,"YYYYMMDD"),"_1_",INDEX(Table1[], MATCH(1,(Table1[Estuary]=Instructions!C27)*(Table1[StationNumber]=Instructions!D27)*(Instructions!B27&gt;Table1[StartDate])*(Instructions!B27&lt;Table1[EndDate]),0),1),"_1_",Instructions!E27,"_",Instructions!F27)</f>
        <v>TBSRVY_20190924_1_0291_1_01_019</v>
      </c>
      <c r="B20" t="str" cm="1">
        <f t="array" ref="B20">_xlfn.CONCAT(Instructions!C27,Instructions!A27,"_",TEXT(Instructions!B27,"YYYYMMDD"),"_1_",INDEX(Table1[], MATCH(1,(Table1[Estuary]=Instructions!C27)*(Table1[StationNumber]=Instructions!D27)*(Instructions!B27&gt;Table1[StartDate])*(Instructions!B27&lt;Table1[EndDate]),0),1),"_1_",Instructions!E27)</f>
        <v>TBSRVY_20190924_1_0291_1_01</v>
      </c>
      <c r="C20">
        <f>Instructions!G27</f>
        <v>52</v>
      </c>
      <c r="D20" t="str">
        <f>IF(ISBLANK(Instructions!H27),"",Instructions!H27)</f>
        <v>Entered</v>
      </c>
      <c r="E20" s="1">
        <f>IF(ISBLANK(Instructions!I27),"",Instructions!I27)</f>
        <v>45646</v>
      </c>
      <c r="F20" t="str">
        <f>IF(ISBLANK(Instructions!J27),"",Instructions!J27)</f>
        <v>Erica Williams</v>
      </c>
      <c r="G20" s="1" t="str">
        <f>IF(ISBLANK(Instructions!K27),"",Instructions!K27)</f>
        <v/>
      </c>
      <c r="H20" t="str">
        <f>IF(ISBLANK(Instructions!L27),"",Instructions!L27)</f>
        <v/>
      </c>
      <c r="I20" t="str">
        <f t="shared" si="0"/>
        <v>NULL</v>
      </c>
      <c r="J20" t="str">
        <f t="shared" si="0"/>
        <v>NULL</v>
      </c>
      <c r="K20" t="str">
        <f>Instructions!M27</f>
        <v>Added via SMSS</v>
      </c>
      <c r="L20" t="str">
        <f t="shared" si="1"/>
        <v>NULL</v>
      </c>
    </row>
    <row r="21" spans="1:12" x14ac:dyDescent="0.25">
      <c r="A21" t="str" cm="1">
        <f t="array" ref="A21">_xlfn.CONCAT(Instructions!C28,Instructions!A28,"_",TEXT(Instructions!B28,"YYYYMMDD"),"_1_",INDEX(Table1[], MATCH(1,(Table1[Estuary]=Instructions!C28)*(Table1[StationNumber]=Instructions!D28)*(Instructions!B28&gt;Table1[StartDate])*(Instructions!B28&lt;Table1[EndDate]),0),1),"_1_",Instructions!E28,"_",Instructions!F28)</f>
        <v>TBSRVY_20190924_1_0291_1_01_020</v>
      </c>
      <c r="B21" t="str" cm="1">
        <f t="array" ref="B21">_xlfn.CONCAT(Instructions!C28,Instructions!A28,"_",TEXT(Instructions!B28,"YYYYMMDD"),"_1_",INDEX(Table1[], MATCH(1,(Table1[Estuary]=Instructions!C28)*(Table1[StationNumber]=Instructions!D28)*(Instructions!B28&gt;Table1[StartDate])*(Instructions!B28&lt;Table1[EndDate]),0),1),"_1_",Instructions!E28)</f>
        <v>TBSRVY_20190924_1_0291_1_01</v>
      </c>
      <c r="C21">
        <f>Instructions!G28</f>
        <v>28</v>
      </c>
      <c r="D21" t="str">
        <f>IF(ISBLANK(Instructions!H28),"",Instructions!H28)</f>
        <v>Entered</v>
      </c>
      <c r="E21" s="1">
        <f>IF(ISBLANK(Instructions!I28),"",Instructions!I28)</f>
        <v>45646</v>
      </c>
      <c r="F21" t="str">
        <f>IF(ISBLANK(Instructions!J28),"",Instructions!J28)</f>
        <v>Erica Williams</v>
      </c>
      <c r="G21" s="1" t="str">
        <f>IF(ISBLANK(Instructions!K28),"",Instructions!K28)</f>
        <v/>
      </c>
      <c r="H21" t="str">
        <f>IF(ISBLANK(Instructions!L28),"",Instructions!L28)</f>
        <v/>
      </c>
      <c r="I21" t="str">
        <f t="shared" si="0"/>
        <v>NULL</v>
      </c>
      <c r="J21" t="str">
        <f t="shared" si="0"/>
        <v>NULL</v>
      </c>
      <c r="K21" t="str">
        <f>Instructions!M28</f>
        <v>Added via SMSS</v>
      </c>
      <c r="L21" t="str">
        <f t="shared" si="1"/>
        <v>NULL</v>
      </c>
    </row>
    <row r="22" spans="1:12" x14ac:dyDescent="0.25">
      <c r="A22" t="str" cm="1">
        <f t="array" ref="A22">_xlfn.CONCAT(Instructions!C29,Instructions!A29,"_",TEXT(Instructions!B29,"YYYYMMDD"),"_1_",INDEX(Table1[], MATCH(1,(Table1[Estuary]=Instructions!C29)*(Table1[StationNumber]=Instructions!D29)*(Instructions!B29&gt;Table1[StartDate])*(Instructions!B29&lt;Table1[EndDate]),0),1),"_1_",Instructions!E29,"_",Instructions!F29)</f>
        <v>TBSRVY_20190924_1_0291_1_01_021</v>
      </c>
      <c r="B22" t="str" cm="1">
        <f t="array" ref="B22">_xlfn.CONCAT(Instructions!C29,Instructions!A29,"_",TEXT(Instructions!B29,"YYYYMMDD"),"_1_",INDEX(Table1[], MATCH(1,(Table1[Estuary]=Instructions!C29)*(Table1[StationNumber]=Instructions!D29)*(Instructions!B29&gt;Table1[StartDate])*(Instructions!B29&lt;Table1[EndDate]),0),1),"_1_",Instructions!E29)</f>
        <v>TBSRVY_20190924_1_0291_1_01</v>
      </c>
      <c r="C22">
        <f>Instructions!G29</f>
        <v>5</v>
      </c>
      <c r="D22" t="str">
        <f>IF(ISBLANK(Instructions!H29),"",Instructions!H29)</f>
        <v>Entered</v>
      </c>
      <c r="E22" s="1">
        <f>IF(ISBLANK(Instructions!I29),"",Instructions!I29)</f>
        <v>45646</v>
      </c>
      <c r="F22" t="str">
        <f>IF(ISBLANK(Instructions!J29),"",Instructions!J29)</f>
        <v>Erica Williams</v>
      </c>
      <c r="G22" s="1" t="str">
        <f>IF(ISBLANK(Instructions!K29),"",Instructions!K29)</f>
        <v/>
      </c>
      <c r="H22" t="str">
        <f>IF(ISBLANK(Instructions!L29),"",Instructions!L29)</f>
        <v/>
      </c>
      <c r="I22" t="str">
        <f t="shared" si="0"/>
        <v>NULL</v>
      </c>
      <c r="J22" t="str">
        <f t="shared" si="0"/>
        <v>NULL</v>
      </c>
      <c r="K22" t="str">
        <f>Instructions!M29</f>
        <v>Added via SMSS</v>
      </c>
      <c r="L22" t="str">
        <f t="shared" si="1"/>
        <v>NULL</v>
      </c>
    </row>
    <row r="23" spans="1:12" x14ac:dyDescent="0.25">
      <c r="A23" t="str" cm="1">
        <f t="array" ref="A23">_xlfn.CONCAT(Instructions!C30,Instructions!A30,"_",TEXT(Instructions!B30,"YYYYMMDD"),"_1_",INDEX(Table1[], MATCH(1,(Table1[Estuary]=Instructions!C30)*(Table1[StationNumber]=Instructions!D30)*(Instructions!B30&gt;Table1[StartDate])*(Instructions!B30&lt;Table1[EndDate]),0),1),"_1_",Instructions!E30,"_",Instructions!F30)</f>
        <v>TBSRVY_20190924_1_0291_1_01_022</v>
      </c>
      <c r="B23" t="str" cm="1">
        <f t="array" ref="B23">_xlfn.CONCAT(Instructions!C30,Instructions!A30,"_",TEXT(Instructions!B30,"YYYYMMDD"),"_1_",INDEX(Table1[], MATCH(1,(Table1[Estuary]=Instructions!C30)*(Table1[StationNumber]=Instructions!D30)*(Instructions!B30&gt;Table1[StartDate])*(Instructions!B30&lt;Table1[EndDate]),0),1),"_1_",Instructions!E30)</f>
        <v>TBSRVY_20190924_1_0291_1_01</v>
      </c>
      <c r="C23">
        <f>Instructions!G30</f>
        <v>11</v>
      </c>
      <c r="D23" t="str">
        <f>IF(ISBLANK(Instructions!H30),"",Instructions!H30)</f>
        <v>Entered</v>
      </c>
      <c r="E23" s="1">
        <f>IF(ISBLANK(Instructions!I30),"",Instructions!I30)</f>
        <v>45646</v>
      </c>
      <c r="F23" t="str">
        <f>IF(ISBLANK(Instructions!J30),"",Instructions!J30)</f>
        <v>Erica Williams</v>
      </c>
      <c r="G23" s="1" t="str">
        <f>IF(ISBLANK(Instructions!K30),"",Instructions!K30)</f>
        <v/>
      </c>
      <c r="H23" t="str">
        <f>IF(ISBLANK(Instructions!L30),"",Instructions!L30)</f>
        <v/>
      </c>
      <c r="I23" t="str">
        <f t="shared" si="0"/>
        <v>NULL</v>
      </c>
      <c r="J23" t="str">
        <f t="shared" si="0"/>
        <v>NULL</v>
      </c>
      <c r="K23" t="str">
        <f>Instructions!M30</f>
        <v>Added via SMSS</v>
      </c>
      <c r="L23" t="str">
        <f t="shared" si="1"/>
        <v>NULL</v>
      </c>
    </row>
    <row r="24" spans="1:12" x14ac:dyDescent="0.25">
      <c r="A24" t="str" cm="1">
        <f t="array" ref="A24">_xlfn.CONCAT(Instructions!C31,Instructions!A31,"_",TEXT(Instructions!B31,"YYYYMMDD"),"_1_",INDEX(Table1[], MATCH(1,(Table1[Estuary]=Instructions!C31)*(Table1[StationNumber]=Instructions!D31)*(Instructions!B31&gt;Table1[StartDate])*(Instructions!B31&lt;Table1[EndDate]),0),1),"_1_",Instructions!E31,"_",Instructions!F31)</f>
        <v>TBSRVY_20190924_1_0291_1_01_023</v>
      </c>
      <c r="B24" t="str" cm="1">
        <f t="array" ref="B24">_xlfn.CONCAT(Instructions!C31,Instructions!A31,"_",TEXT(Instructions!B31,"YYYYMMDD"),"_1_",INDEX(Table1[], MATCH(1,(Table1[Estuary]=Instructions!C31)*(Table1[StationNumber]=Instructions!D31)*(Instructions!B31&gt;Table1[StartDate])*(Instructions!B31&lt;Table1[EndDate]),0),1),"_1_",Instructions!E31)</f>
        <v>TBSRVY_20190924_1_0291_1_01</v>
      </c>
      <c r="C24">
        <f>Instructions!G31</f>
        <v>38</v>
      </c>
      <c r="D24" t="str">
        <f>IF(ISBLANK(Instructions!H31),"",Instructions!H31)</f>
        <v>Entered</v>
      </c>
      <c r="E24" s="1">
        <f>IF(ISBLANK(Instructions!I31),"",Instructions!I31)</f>
        <v>45646</v>
      </c>
      <c r="F24" t="str">
        <f>IF(ISBLANK(Instructions!J31),"",Instructions!J31)</f>
        <v>Erica Williams</v>
      </c>
      <c r="G24" s="1" t="str">
        <f>IF(ISBLANK(Instructions!K31),"",Instructions!K31)</f>
        <v/>
      </c>
      <c r="H24" t="str">
        <f>IF(ISBLANK(Instructions!L31),"",Instructions!L31)</f>
        <v/>
      </c>
      <c r="I24" t="str">
        <f t="shared" si="0"/>
        <v>NULL</v>
      </c>
      <c r="J24" t="str">
        <f t="shared" si="0"/>
        <v>NULL</v>
      </c>
      <c r="K24" t="str">
        <f>Instructions!M31</f>
        <v>Added via SMSS</v>
      </c>
      <c r="L24" t="str">
        <f t="shared" si="1"/>
        <v>NULL</v>
      </c>
    </row>
    <row r="25" spans="1:12" x14ac:dyDescent="0.25">
      <c r="A25" t="str" cm="1">
        <f t="array" ref="A25">_xlfn.CONCAT(Instructions!C32,Instructions!A32,"_",TEXT(Instructions!B32,"YYYYMMDD"),"_1_",INDEX(Table1[], MATCH(1,(Table1[Estuary]=Instructions!C32)*(Table1[StationNumber]=Instructions!D32)*(Instructions!B32&gt;Table1[StartDate])*(Instructions!B32&lt;Table1[EndDate]),0),1),"_1_",Instructions!E32,"_",Instructions!F32)</f>
        <v>TBSRVY_20190924_1_0291_1_01_024</v>
      </c>
      <c r="B25" t="str" cm="1">
        <f t="array" ref="B25">_xlfn.CONCAT(Instructions!C32,Instructions!A32,"_",TEXT(Instructions!B32,"YYYYMMDD"),"_1_",INDEX(Table1[], MATCH(1,(Table1[Estuary]=Instructions!C32)*(Table1[StationNumber]=Instructions!D32)*(Instructions!B32&gt;Table1[StartDate])*(Instructions!B32&lt;Table1[EndDate]),0),1),"_1_",Instructions!E32)</f>
        <v>TBSRVY_20190924_1_0291_1_01</v>
      </c>
      <c r="C25">
        <f>Instructions!G32</f>
        <v>52</v>
      </c>
      <c r="D25" t="str">
        <f>IF(ISBLANK(Instructions!H32),"",Instructions!H32)</f>
        <v>Entered</v>
      </c>
      <c r="E25" s="1">
        <f>IF(ISBLANK(Instructions!I32),"",Instructions!I32)</f>
        <v>45646</v>
      </c>
      <c r="F25" t="str">
        <f>IF(ISBLANK(Instructions!J32),"",Instructions!J32)</f>
        <v>Erica Williams</v>
      </c>
      <c r="G25" s="1" t="str">
        <f>IF(ISBLANK(Instructions!K32),"",Instructions!K32)</f>
        <v/>
      </c>
      <c r="H25" t="str">
        <f>IF(ISBLANK(Instructions!L32),"",Instructions!L32)</f>
        <v/>
      </c>
      <c r="I25" t="str">
        <f t="shared" si="0"/>
        <v>NULL</v>
      </c>
      <c r="J25" t="str">
        <f t="shared" si="0"/>
        <v>NULL</v>
      </c>
      <c r="K25" t="str">
        <f>Instructions!M32</f>
        <v>Added via SMSS</v>
      </c>
      <c r="L25" t="str">
        <f t="shared" si="1"/>
        <v>NULL</v>
      </c>
    </row>
    <row r="26" spans="1:12" x14ac:dyDescent="0.25">
      <c r="A26" t="str" cm="1">
        <f t="array" ref="A26">_xlfn.CONCAT(Instructions!C33,Instructions!A33,"_",TEXT(Instructions!B33,"YYYYMMDD"),"_1_",INDEX(Table1[], MATCH(1,(Table1[Estuary]=Instructions!C33)*(Table1[StationNumber]=Instructions!D33)*(Instructions!B33&gt;Table1[StartDate])*(Instructions!B33&lt;Table1[EndDate]),0),1),"_1_",Instructions!E33,"_",Instructions!F33)</f>
        <v>TBSRVY_20190924_1_0291_1_01_025</v>
      </c>
      <c r="B26" t="str" cm="1">
        <f t="array" ref="B26">_xlfn.CONCAT(Instructions!C33,Instructions!A33,"_",TEXT(Instructions!B33,"YYYYMMDD"),"_1_",INDEX(Table1[], MATCH(1,(Table1[Estuary]=Instructions!C33)*(Table1[StationNumber]=Instructions!D33)*(Instructions!B33&gt;Table1[StartDate])*(Instructions!B33&lt;Table1[EndDate]),0),1),"_1_",Instructions!E33)</f>
        <v>TBSRVY_20190924_1_0291_1_01</v>
      </c>
      <c r="C26">
        <f>Instructions!G33</f>
        <v>12</v>
      </c>
      <c r="D26" t="str">
        <f>IF(ISBLANK(Instructions!H33),"",Instructions!H33)</f>
        <v>Entered</v>
      </c>
      <c r="E26" s="1">
        <f>IF(ISBLANK(Instructions!I33),"",Instructions!I33)</f>
        <v>45646</v>
      </c>
      <c r="F26" t="str">
        <f>IF(ISBLANK(Instructions!J33),"",Instructions!J33)</f>
        <v>Erica Williams</v>
      </c>
      <c r="G26" s="1" t="str">
        <f>IF(ISBLANK(Instructions!K33),"",Instructions!K33)</f>
        <v/>
      </c>
      <c r="H26" t="str">
        <f>IF(ISBLANK(Instructions!L33),"",Instructions!L33)</f>
        <v/>
      </c>
      <c r="I26" t="str">
        <f t="shared" si="0"/>
        <v>NULL</v>
      </c>
      <c r="J26" t="str">
        <f t="shared" si="0"/>
        <v>NULL</v>
      </c>
      <c r="K26" t="str">
        <f>Instructions!M33</f>
        <v>Added via SMSS</v>
      </c>
      <c r="L26" t="str">
        <f t="shared" si="1"/>
        <v>NULL</v>
      </c>
    </row>
    <row r="27" spans="1:12" x14ac:dyDescent="0.25">
      <c r="A27" t="str" cm="1">
        <f t="array" ref="A27">_xlfn.CONCAT(Instructions!C34,Instructions!A34,"_",TEXT(Instructions!B34,"YYYYMMDD"),"_1_",INDEX(Table1[], MATCH(1,(Table1[Estuary]=Instructions!C34)*(Table1[StationNumber]=Instructions!D34)*(Instructions!B34&gt;Table1[StartDate])*(Instructions!B34&lt;Table1[EndDate]),0),1),"_1_",Instructions!E34,"_",Instructions!F34)</f>
        <v>TBSRVY_20190924_1_0291_1_01_026</v>
      </c>
      <c r="B27" t="str" cm="1">
        <f t="array" ref="B27">_xlfn.CONCAT(Instructions!C34,Instructions!A34,"_",TEXT(Instructions!B34,"YYYYMMDD"),"_1_",INDEX(Table1[], MATCH(1,(Table1[Estuary]=Instructions!C34)*(Table1[StationNumber]=Instructions!D34)*(Instructions!B34&gt;Table1[StartDate])*(Instructions!B34&lt;Table1[EndDate]),0),1),"_1_",Instructions!E34)</f>
        <v>TBSRVY_20190924_1_0291_1_01</v>
      </c>
      <c r="C27">
        <f>Instructions!G34</f>
        <v>32</v>
      </c>
      <c r="D27" t="str">
        <f>IF(ISBLANK(Instructions!H34),"",Instructions!H34)</f>
        <v>Entered</v>
      </c>
      <c r="E27" s="1">
        <f>IF(ISBLANK(Instructions!I34),"",Instructions!I34)</f>
        <v>45646</v>
      </c>
      <c r="F27" t="str">
        <f>IF(ISBLANK(Instructions!J34),"",Instructions!J34)</f>
        <v>Erica Williams</v>
      </c>
      <c r="G27" s="1" t="str">
        <f>IF(ISBLANK(Instructions!K34),"",Instructions!K34)</f>
        <v/>
      </c>
      <c r="H27" t="str">
        <f>IF(ISBLANK(Instructions!L34),"",Instructions!L34)</f>
        <v/>
      </c>
      <c r="I27" t="str">
        <f t="shared" si="0"/>
        <v>NULL</v>
      </c>
      <c r="J27" t="str">
        <f t="shared" si="0"/>
        <v>NULL</v>
      </c>
      <c r="K27" t="str">
        <f>Instructions!M34</f>
        <v>Added via SMSS</v>
      </c>
      <c r="L27" t="str">
        <f t="shared" si="1"/>
        <v>NULL</v>
      </c>
    </row>
    <row r="28" spans="1:12" x14ac:dyDescent="0.25">
      <c r="A28" t="str" cm="1">
        <f t="array" ref="A28">_xlfn.CONCAT(Instructions!C35,Instructions!A35,"_",TEXT(Instructions!B35,"YYYYMMDD"),"_1_",INDEX(Table1[], MATCH(1,(Table1[Estuary]=Instructions!C35)*(Table1[StationNumber]=Instructions!D35)*(Instructions!B35&gt;Table1[StartDate])*(Instructions!B35&lt;Table1[EndDate]),0),1),"_1_",Instructions!E35,"_",Instructions!F35)</f>
        <v>TBSRVY_20190924_1_0291_1_01_027</v>
      </c>
      <c r="B28" t="str" cm="1">
        <f t="array" ref="B28">_xlfn.CONCAT(Instructions!C35,Instructions!A35,"_",TEXT(Instructions!B35,"YYYYMMDD"),"_1_",INDEX(Table1[], MATCH(1,(Table1[Estuary]=Instructions!C35)*(Table1[StationNumber]=Instructions!D35)*(Instructions!B35&gt;Table1[StartDate])*(Instructions!B35&lt;Table1[EndDate]),0),1),"_1_",Instructions!E35)</f>
        <v>TBSRVY_20190924_1_0291_1_01</v>
      </c>
      <c r="C28">
        <f>Instructions!G35</f>
        <v>21</v>
      </c>
      <c r="D28" t="str">
        <f>IF(ISBLANK(Instructions!H35),"",Instructions!H35)</f>
        <v>Entered</v>
      </c>
      <c r="E28" s="1">
        <f>IF(ISBLANK(Instructions!I35),"",Instructions!I35)</f>
        <v>45646</v>
      </c>
      <c r="F28" t="str">
        <f>IF(ISBLANK(Instructions!J35),"",Instructions!J35)</f>
        <v>Erica Williams</v>
      </c>
      <c r="G28" s="1" t="str">
        <f>IF(ISBLANK(Instructions!K35),"",Instructions!K35)</f>
        <v/>
      </c>
      <c r="H28" t="str">
        <f>IF(ISBLANK(Instructions!L35),"",Instructions!L35)</f>
        <v/>
      </c>
      <c r="I28" t="str">
        <f t="shared" si="0"/>
        <v>NULL</v>
      </c>
      <c r="J28" t="str">
        <f t="shared" si="0"/>
        <v>NULL</v>
      </c>
      <c r="K28" t="str">
        <f>Instructions!M35</f>
        <v>Added via SMSS</v>
      </c>
      <c r="L28" t="str">
        <f t="shared" si="1"/>
        <v>NULL</v>
      </c>
    </row>
    <row r="29" spans="1:12" x14ac:dyDescent="0.25">
      <c r="A29" t="str" cm="1">
        <f t="array" ref="A29">_xlfn.CONCAT(Instructions!C36,Instructions!A36,"_",TEXT(Instructions!B36,"YYYYMMDD"),"_1_",INDEX(Table1[], MATCH(1,(Table1[Estuary]=Instructions!C36)*(Table1[StationNumber]=Instructions!D36)*(Instructions!B36&gt;Table1[StartDate])*(Instructions!B36&lt;Table1[EndDate]),0),1),"_1_",Instructions!E36,"_",Instructions!F36)</f>
        <v>TBSRVY_20190924_1_0291_1_01_028</v>
      </c>
      <c r="B29" t="str" cm="1">
        <f t="array" ref="B29">_xlfn.CONCAT(Instructions!C36,Instructions!A36,"_",TEXT(Instructions!B36,"YYYYMMDD"),"_1_",INDEX(Table1[], MATCH(1,(Table1[Estuary]=Instructions!C36)*(Table1[StationNumber]=Instructions!D36)*(Instructions!B36&gt;Table1[StartDate])*(Instructions!B36&lt;Table1[EndDate]),0),1),"_1_",Instructions!E36)</f>
        <v>TBSRVY_20190924_1_0291_1_01</v>
      </c>
      <c r="C29">
        <f>Instructions!G36</f>
        <v>40</v>
      </c>
      <c r="D29" t="str">
        <f>IF(ISBLANK(Instructions!H36),"",Instructions!H36)</f>
        <v>Entered</v>
      </c>
      <c r="E29" s="1">
        <f>IF(ISBLANK(Instructions!I36),"",Instructions!I36)</f>
        <v>45646</v>
      </c>
      <c r="F29" t="str">
        <f>IF(ISBLANK(Instructions!J36),"",Instructions!J36)</f>
        <v>Erica Williams</v>
      </c>
      <c r="G29" s="1" t="str">
        <f>IF(ISBLANK(Instructions!K36),"",Instructions!K36)</f>
        <v/>
      </c>
      <c r="H29" t="str">
        <f>IF(ISBLANK(Instructions!L36),"",Instructions!L36)</f>
        <v/>
      </c>
      <c r="I29" t="str">
        <f t="shared" si="0"/>
        <v>NULL</v>
      </c>
      <c r="J29" t="str">
        <f t="shared" si="0"/>
        <v>NULL</v>
      </c>
      <c r="K29" t="str">
        <f>Instructions!M36</f>
        <v>Added via SMSS</v>
      </c>
      <c r="L29" t="str">
        <f t="shared" si="1"/>
        <v>NULL</v>
      </c>
    </row>
    <row r="30" spans="1:12" x14ac:dyDescent="0.25">
      <c r="A30" t="str" cm="1">
        <f t="array" ref="A30">_xlfn.CONCAT(Instructions!C37,Instructions!A37,"_",TEXT(Instructions!B37,"YYYYMMDD"),"_1_",INDEX(Table1[], MATCH(1,(Table1[Estuary]=Instructions!C37)*(Table1[StationNumber]=Instructions!D37)*(Instructions!B37&gt;Table1[StartDate])*(Instructions!B37&lt;Table1[EndDate]),0),1),"_1_",Instructions!E37,"_",Instructions!F37)</f>
        <v>TBSRVY_20190924_1_0291_1_01_029</v>
      </c>
      <c r="B30" t="str" cm="1">
        <f t="array" ref="B30">_xlfn.CONCAT(Instructions!C37,Instructions!A37,"_",TEXT(Instructions!B37,"YYYYMMDD"),"_1_",INDEX(Table1[], MATCH(1,(Table1[Estuary]=Instructions!C37)*(Table1[StationNumber]=Instructions!D37)*(Instructions!B37&gt;Table1[StartDate])*(Instructions!B37&lt;Table1[EndDate]),0),1),"_1_",Instructions!E37)</f>
        <v>TBSRVY_20190924_1_0291_1_01</v>
      </c>
      <c r="C30">
        <f>Instructions!G37</f>
        <v>30</v>
      </c>
      <c r="D30" t="str">
        <f>IF(ISBLANK(Instructions!H37),"",Instructions!H37)</f>
        <v>Entered</v>
      </c>
      <c r="E30" s="1">
        <f>IF(ISBLANK(Instructions!I37),"",Instructions!I37)</f>
        <v>45646</v>
      </c>
      <c r="F30" t="str">
        <f>IF(ISBLANK(Instructions!J37),"",Instructions!J37)</f>
        <v>Erica Williams</v>
      </c>
      <c r="G30" s="1" t="str">
        <f>IF(ISBLANK(Instructions!K37),"",Instructions!K37)</f>
        <v/>
      </c>
      <c r="H30" t="str">
        <f>IF(ISBLANK(Instructions!L37),"",Instructions!L37)</f>
        <v/>
      </c>
      <c r="I30" t="str">
        <f t="shared" si="0"/>
        <v>NULL</v>
      </c>
      <c r="J30" t="str">
        <f t="shared" si="0"/>
        <v>NULL</v>
      </c>
      <c r="K30" t="str">
        <f>Instructions!M37</f>
        <v>Added via SMSS</v>
      </c>
      <c r="L30" t="str">
        <f t="shared" si="1"/>
        <v>NULL</v>
      </c>
    </row>
    <row r="31" spans="1:12" x14ac:dyDescent="0.25">
      <c r="A31" t="str" cm="1">
        <f t="array" ref="A31">_xlfn.CONCAT(Instructions!C38,Instructions!A38,"_",TEXT(Instructions!B38,"YYYYMMDD"),"_1_",INDEX(Table1[], MATCH(1,(Table1[Estuary]=Instructions!C38)*(Table1[StationNumber]=Instructions!D38)*(Instructions!B38&gt;Table1[StartDate])*(Instructions!B38&lt;Table1[EndDate]),0),1),"_1_",Instructions!E38,"_",Instructions!F38)</f>
        <v>TBSRVY_20190924_1_0291_1_01_030</v>
      </c>
      <c r="B31" t="str" cm="1">
        <f t="array" ref="B31">_xlfn.CONCAT(Instructions!C38,Instructions!A38,"_",TEXT(Instructions!B38,"YYYYMMDD"),"_1_",INDEX(Table1[], MATCH(1,(Table1[Estuary]=Instructions!C38)*(Table1[StationNumber]=Instructions!D38)*(Instructions!B38&gt;Table1[StartDate])*(Instructions!B38&lt;Table1[EndDate]),0),1),"_1_",Instructions!E38)</f>
        <v>TBSRVY_20190924_1_0291_1_01</v>
      </c>
      <c r="C31">
        <f>Instructions!G38</f>
        <v>32</v>
      </c>
      <c r="D31" t="str">
        <f>IF(ISBLANK(Instructions!H38),"",Instructions!H38)</f>
        <v>Entered</v>
      </c>
      <c r="E31" s="1">
        <f>IF(ISBLANK(Instructions!I38),"",Instructions!I38)</f>
        <v>45646</v>
      </c>
      <c r="F31" t="str">
        <f>IF(ISBLANK(Instructions!J38),"",Instructions!J38)</f>
        <v>Erica Williams</v>
      </c>
      <c r="G31" s="1" t="str">
        <f>IF(ISBLANK(Instructions!K38),"",Instructions!K38)</f>
        <v/>
      </c>
      <c r="H31" t="str">
        <f>IF(ISBLANK(Instructions!L38),"",Instructions!L38)</f>
        <v/>
      </c>
      <c r="I31" t="str">
        <f t="shared" si="0"/>
        <v>NULL</v>
      </c>
      <c r="J31" t="str">
        <f t="shared" si="0"/>
        <v>NULL</v>
      </c>
      <c r="K31" t="str">
        <f>Instructions!M38</f>
        <v>Added via SMSS</v>
      </c>
      <c r="L31" t="str">
        <f t="shared" si="1"/>
        <v>NULL</v>
      </c>
    </row>
    <row r="32" spans="1:12" x14ac:dyDescent="0.25">
      <c r="A32" t="str" cm="1">
        <f t="array" ref="A32">_xlfn.CONCAT(Instructions!C39,Instructions!A39,"_",TEXT(Instructions!B39,"YYYYMMDD"),"_1_",INDEX(Table1[], MATCH(1,(Table1[Estuary]=Instructions!C39)*(Table1[StationNumber]=Instructions!D39)*(Instructions!B39&gt;Table1[StartDate])*(Instructions!B39&lt;Table1[EndDate]),0),1),"_1_",Instructions!E39,"_",Instructions!F39)</f>
        <v>TBSRVY_20190924_1_0291_1_01_031</v>
      </c>
      <c r="B32" t="str" cm="1">
        <f t="array" ref="B32">_xlfn.CONCAT(Instructions!C39,Instructions!A39,"_",TEXT(Instructions!B39,"YYYYMMDD"),"_1_",INDEX(Table1[], MATCH(1,(Table1[Estuary]=Instructions!C39)*(Table1[StationNumber]=Instructions!D39)*(Instructions!B39&gt;Table1[StartDate])*(Instructions!B39&lt;Table1[EndDate]),0),1),"_1_",Instructions!E39)</f>
        <v>TBSRVY_20190924_1_0291_1_01</v>
      </c>
      <c r="C32">
        <f>Instructions!G39</f>
        <v>44</v>
      </c>
      <c r="D32" t="str">
        <f>IF(ISBLANK(Instructions!H39),"",Instructions!H39)</f>
        <v>Entered</v>
      </c>
      <c r="E32" s="1">
        <f>IF(ISBLANK(Instructions!I39),"",Instructions!I39)</f>
        <v>45646</v>
      </c>
      <c r="F32" t="str">
        <f>IF(ISBLANK(Instructions!J39),"",Instructions!J39)</f>
        <v>Erica Williams</v>
      </c>
      <c r="G32" s="1" t="str">
        <f>IF(ISBLANK(Instructions!K39),"",Instructions!K39)</f>
        <v/>
      </c>
      <c r="H32" t="str">
        <f>IF(ISBLANK(Instructions!L39),"",Instructions!L39)</f>
        <v/>
      </c>
      <c r="I32" t="str">
        <f t="shared" si="0"/>
        <v>NULL</v>
      </c>
      <c r="J32" t="str">
        <f t="shared" si="0"/>
        <v>NULL</v>
      </c>
      <c r="K32" t="str">
        <f>Instructions!M39</f>
        <v>Added via SMSS</v>
      </c>
      <c r="L32" t="str">
        <f t="shared" si="1"/>
        <v>NULL</v>
      </c>
    </row>
    <row r="33" spans="1:12" x14ac:dyDescent="0.25">
      <c r="A33" t="str" cm="1">
        <f t="array" ref="A33">_xlfn.CONCAT(Instructions!C40,Instructions!A40,"_",TEXT(Instructions!B40,"YYYYMMDD"),"_1_",INDEX(Table1[], MATCH(1,(Table1[Estuary]=Instructions!C40)*(Table1[StationNumber]=Instructions!D40)*(Instructions!B40&gt;Table1[StartDate])*(Instructions!B40&lt;Table1[EndDate]),0),1),"_1_",Instructions!E40,"_",Instructions!F40)</f>
        <v>TBSRVY_20190924_1_0291_1_01_032</v>
      </c>
      <c r="B33" t="str" cm="1">
        <f t="array" ref="B33">_xlfn.CONCAT(Instructions!C40,Instructions!A40,"_",TEXT(Instructions!B40,"YYYYMMDD"),"_1_",INDEX(Table1[], MATCH(1,(Table1[Estuary]=Instructions!C40)*(Table1[StationNumber]=Instructions!D40)*(Instructions!B40&gt;Table1[StartDate])*(Instructions!B40&lt;Table1[EndDate]),0),1),"_1_",Instructions!E40)</f>
        <v>TBSRVY_20190924_1_0291_1_01</v>
      </c>
      <c r="C33">
        <f>Instructions!G40</f>
        <v>28</v>
      </c>
      <c r="D33" t="str">
        <f>IF(ISBLANK(Instructions!H40),"",Instructions!H40)</f>
        <v>Entered</v>
      </c>
      <c r="E33" s="1">
        <f>IF(ISBLANK(Instructions!I40),"",Instructions!I40)</f>
        <v>45646</v>
      </c>
      <c r="F33" t="str">
        <f>IF(ISBLANK(Instructions!J40),"",Instructions!J40)</f>
        <v>Erica Williams</v>
      </c>
      <c r="G33" s="1" t="str">
        <f>IF(ISBLANK(Instructions!K40),"",Instructions!K40)</f>
        <v/>
      </c>
      <c r="H33" t="str">
        <f>IF(ISBLANK(Instructions!L40),"",Instructions!L40)</f>
        <v/>
      </c>
      <c r="I33" t="str">
        <f t="shared" si="0"/>
        <v>NULL</v>
      </c>
      <c r="J33" t="str">
        <f t="shared" si="0"/>
        <v>NULL</v>
      </c>
      <c r="K33" t="str">
        <f>Instructions!M40</f>
        <v>Added via SMSS</v>
      </c>
      <c r="L33" t="str">
        <f t="shared" si="1"/>
        <v>NULL</v>
      </c>
    </row>
    <row r="34" spans="1:12" x14ac:dyDescent="0.25">
      <c r="A34" t="str" cm="1">
        <f t="array" ref="A34">_xlfn.CONCAT(Instructions!C41,Instructions!A41,"_",TEXT(Instructions!B41,"YYYYMMDD"),"_1_",INDEX(Table1[], MATCH(1,(Table1[Estuary]=Instructions!C41)*(Table1[StationNumber]=Instructions!D41)*(Instructions!B41&gt;Table1[StartDate])*(Instructions!B41&lt;Table1[EndDate]),0),1),"_1_",Instructions!E41,"_",Instructions!F41)</f>
        <v>TBSRVY_20190924_1_0291_1_01_033</v>
      </c>
      <c r="B34" t="str" cm="1">
        <f t="array" ref="B34">_xlfn.CONCAT(Instructions!C41,Instructions!A41,"_",TEXT(Instructions!B41,"YYYYMMDD"),"_1_",INDEX(Table1[], MATCH(1,(Table1[Estuary]=Instructions!C41)*(Table1[StationNumber]=Instructions!D41)*(Instructions!B41&gt;Table1[StartDate])*(Instructions!B41&lt;Table1[EndDate]),0),1),"_1_",Instructions!E41)</f>
        <v>TBSRVY_20190924_1_0291_1_01</v>
      </c>
      <c r="C34">
        <f>Instructions!G41</f>
        <v>47</v>
      </c>
      <c r="D34" t="str">
        <f>IF(ISBLANK(Instructions!H41),"",Instructions!H41)</f>
        <v>Entered</v>
      </c>
      <c r="E34" s="1">
        <f>IF(ISBLANK(Instructions!I41),"",Instructions!I41)</f>
        <v>45646</v>
      </c>
      <c r="F34" t="str">
        <f>IF(ISBLANK(Instructions!J41),"",Instructions!J41)</f>
        <v>Erica Williams</v>
      </c>
      <c r="G34" s="1" t="str">
        <f>IF(ISBLANK(Instructions!K41),"",Instructions!K41)</f>
        <v/>
      </c>
      <c r="H34" t="str">
        <f>IF(ISBLANK(Instructions!L41),"",Instructions!L41)</f>
        <v/>
      </c>
      <c r="I34" t="str">
        <f t="shared" si="0"/>
        <v>NULL</v>
      </c>
      <c r="J34" t="str">
        <f t="shared" si="0"/>
        <v>NULL</v>
      </c>
      <c r="K34" t="str">
        <f>Instructions!M41</f>
        <v>Added via SMSS</v>
      </c>
      <c r="L34" t="str">
        <f t="shared" si="1"/>
        <v>NULL</v>
      </c>
    </row>
    <row r="35" spans="1:12" x14ac:dyDescent="0.25">
      <c r="A35" t="str" cm="1">
        <f t="array" ref="A35">_xlfn.CONCAT(Instructions!C42,Instructions!A42,"_",TEXT(Instructions!B42,"YYYYMMDD"),"_1_",INDEX(Table1[], MATCH(1,(Table1[Estuary]=Instructions!C42)*(Table1[StationNumber]=Instructions!D42)*(Instructions!B42&gt;Table1[StartDate])*(Instructions!B42&lt;Table1[EndDate]),0),1),"_1_",Instructions!E42,"_",Instructions!F42)</f>
        <v>TBSRVY_20190924_1_0291_1_01_034</v>
      </c>
      <c r="B35" t="str" cm="1">
        <f t="array" ref="B35">_xlfn.CONCAT(Instructions!C42,Instructions!A42,"_",TEXT(Instructions!B42,"YYYYMMDD"),"_1_",INDEX(Table1[], MATCH(1,(Table1[Estuary]=Instructions!C42)*(Table1[StationNumber]=Instructions!D42)*(Instructions!B42&gt;Table1[StartDate])*(Instructions!B42&lt;Table1[EndDate]),0),1),"_1_",Instructions!E42)</f>
        <v>TBSRVY_20190924_1_0291_1_01</v>
      </c>
      <c r="C35">
        <f>Instructions!G42</f>
        <v>10</v>
      </c>
      <c r="D35" t="str">
        <f>IF(ISBLANK(Instructions!H42),"",Instructions!H42)</f>
        <v>Entered</v>
      </c>
      <c r="E35" s="1">
        <f>IF(ISBLANK(Instructions!I42),"",Instructions!I42)</f>
        <v>45646</v>
      </c>
      <c r="F35" t="str">
        <f>IF(ISBLANK(Instructions!J42),"",Instructions!J42)</f>
        <v>Erica Williams</v>
      </c>
      <c r="G35" s="1" t="str">
        <f>IF(ISBLANK(Instructions!K42),"",Instructions!K42)</f>
        <v/>
      </c>
      <c r="H35" t="str">
        <f>IF(ISBLANK(Instructions!L42),"",Instructions!L42)</f>
        <v/>
      </c>
      <c r="I35" t="str">
        <f t="shared" si="0"/>
        <v>NULL</v>
      </c>
      <c r="J35" t="str">
        <f t="shared" si="0"/>
        <v>NULL</v>
      </c>
      <c r="K35" t="str">
        <f>Instructions!M42</f>
        <v>Added via SMSS</v>
      </c>
      <c r="L35" t="str">
        <f t="shared" si="1"/>
        <v>NULL</v>
      </c>
    </row>
    <row r="36" spans="1:12" x14ac:dyDescent="0.25">
      <c r="A36" t="str" cm="1">
        <f t="array" ref="A36">_xlfn.CONCAT(Instructions!C43,Instructions!A43,"_",TEXT(Instructions!B43,"YYYYMMDD"),"_1_",INDEX(Table1[], MATCH(1,(Table1[Estuary]=Instructions!C43)*(Table1[StationNumber]=Instructions!D43)*(Instructions!B43&gt;Table1[StartDate])*(Instructions!B43&lt;Table1[EndDate]),0),1),"_1_",Instructions!E43,"_",Instructions!F43)</f>
        <v>TBSRVY_20190924_1_0291_1_01_035</v>
      </c>
      <c r="B36" t="str" cm="1">
        <f t="array" ref="B36">_xlfn.CONCAT(Instructions!C43,Instructions!A43,"_",TEXT(Instructions!B43,"YYYYMMDD"),"_1_",INDEX(Table1[], MATCH(1,(Table1[Estuary]=Instructions!C43)*(Table1[StationNumber]=Instructions!D43)*(Instructions!B43&gt;Table1[StartDate])*(Instructions!B43&lt;Table1[EndDate]),0),1),"_1_",Instructions!E43)</f>
        <v>TBSRVY_20190924_1_0291_1_01</v>
      </c>
      <c r="C36">
        <f>Instructions!G43</f>
        <v>49</v>
      </c>
      <c r="D36" t="str">
        <f>IF(ISBLANK(Instructions!H43),"",Instructions!H43)</f>
        <v>Entered</v>
      </c>
      <c r="E36" s="1">
        <f>IF(ISBLANK(Instructions!I43),"",Instructions!I43)</f>
        <v>45646</v>
      </c>
      <c r="F36" t="str">
        <f>IF(ISBLANK(Instructions!J43),"",Instructions!J43)</f>
        <v>Erica Williams</v>
      </c>
      <c r="G36" s="1" t="str">
        <f>IF(ISBLANK(Instructions!K43),"",Instructions!K43)</f>
        <v/>
      </c>
      <c r="H36" t="str">
        <f>IF(ISBLANK(Instructions!L43),"",Instructions!L43)</f>
        <v/>
      </c>
      <c r="I36" t="str">
        <f t="shared" si="0"/>
        <v>NULL</v>
      </c>
      <c r="J36" t="str">
        <f t="shared" si="0"/>
        <v>NULL</v>
      </c>
      <c r="K36" t="str">
        <f>Instructions!M43</f>
        <v>Added via SMSS</v>
      </c>
      <c r="L36" t="str">
        <f t="shared" si="1"/>
        <v>NULL</v>
      </c>
    </row>
    <row r="37" spans="1:12" x14ac:dyDescent="0.25">
      <c r="A37" t="str" cm="1">
        <f t="array" ref="A37">_xlfn.CONCAT(Instructions!C44,Instructions!A44,"_",TEXT(Instructions!B44,"YYYYMMDD"),"_1_",INDEX(Table1[], MATCH(1,(Table1[Estuary]=Instructions!C44)*(Table1[StationNumber]=Instructions!D44)*(Instructions!B44&gt;Table1[StartDate])*(Instructions!B44&lt;Table1[EndDate]),0),1),"_1_",Instructions!E44,"_",Instructions!F44)</f>
        <v>TBSRVY_20190924_1_0291_1_01_036</v>
      </c>
      <c r="B37" t="str" cm="1">
        <f t="array" ref="B37">_xlfn.CONCAT(Instructions!C44,Instructions!A44,"_",TEXT(Instructions!B44,"YYYYMMDD"),"_1_",INDEX(Table1[], MATCH(1,(Table1[Estuary]=Instructions!C44)*(Table1[StationNumber]=Instructions!D44)*(Instructions!B44&gt;Table1[StartDate])*(Instructions!B44&lt;Table1[EndDate]),0),1),"_1_",Instructions!E44)</f>
        <v>TBSRVY_20190924_1_0291_1_01</v>
      </c>
      <c r="C37">
        <f>Instructions!G44</f>
        <v>42</v>
      </c>
      <c r="D37" t="str">
        <f>IF(ISBLANK(Instructions!H44),"",Instructions!H44)</f>
        <v>Entered</v>
      </c>
      <c r="E37" s="1">
        <f>IF(ISBLANK(Instructions!I44),"",Instructions!I44)</f>
        <v>45646</v>
      </c>
      <c r="F37" t="str">
        <f>IF(ISBLANK(Instructions!J44),"",Instructions!J44)</f>
        <v>Erica Williams</v>
      </c>
      <c r="G37" s="1" t="str">
        <f>IF(ISBLANK(Instructions!K44),"",Instructions!K44)</f>
        <v/>
      </c>
      <c r="H37" t="str">
        <f>IF(ISBLANK(Instructions!L44),"",Instructions!L44)</f>
        <v/>
      </c>
      <c r="I37" t="str">
        <f t="shared" si="0"/>
        <v>NULL</v>
      </c>
      <c r="J37" t="str">
        <f t="shared" si="0"/>
        <v>NULL</v>
      </c>
      <c r="K37" t="str">
        <f>Instructions!M44</f>
        <v>Added via SMSS</v>
      </c>
      <c r="L37" t="str">
        <f t="shared" si="1"/>
        <v>NULL</v>
      </c>
    </row>
    <row r="38" spans="1:12" x14ac:dyDescent="0.25">
      <c r="A38" t="str" cm="1">
        <f t="array" ref="A38">_xlfn.CONCAT(Instructions!C45,Instructions!A45,"_",TEXT(Instructions!B45,"YYYYMMDD"),"_1_",INDEX(Table1[], MATCH(1,(Table1[Estuary]=Instructions!C45)*(Table1[StationNumber]=Instructions!D45)*(Instructions!B45&gt;Table1[StartDate])*(Instructions!B45&lt;Table1[EndDate]),0),1),"_1_",Instructions!E45,"_",Instructions!F45)</f>
        <v>TBSRVY_20190924_1_0291_1_01_037</v>
      </c>
      <c r="B38" t="str" cm="1">
        <f t="array" ref="B38">_xlfn.CONCAT(Instructions!C45,Instructions!A45,"_",TEXT(Instructions!B45,"YYYYMMDD"),"_1_",INDEX(Table1[], MATCH(1,(Table1[Estuary]=Instructions!C45)*(Table1[StationNumber]=Instructions!D45)*(Instructions!B45&gt;Table1[StartDate])*(Instructions!B45&lt;Table1[EndDate]),0),1),"_1_",Instructions!E45)</f>
        <v>TBSRVY_20190924_1_0291_1_01</v>
      </c>
      <c r="C38">
        <f>Instructions!G45</f>
        <v>15</v>
      </c>
      <c r="D38" t="str">
        <f>IF(ISBLANK(Instructions!H45),"",Instructions!H45)</f>
        <v>Entered</v>
      </c>
      <c r="E38" s="1">
        <f>IF(ISBLANK(Instructions!I45),"",Instructions!I45)</f>
        <v>45646</v>
      </c>
      <c r="F38" t="str">
        <f>IF(ISBLANK(Instructions!J45),"",Instructions!J45)</f>
        <v>Erica Williams</v>
      </c>
      <c r="G38" s="1" t="str">
        <f>IF(ISBLANK(Instructions!K45),"",Instructions!K45)</f>
        <v/>
      </c>
      <c r="H38" t="str">
        <f>IF(ISBLANK(Instructions!L45),"",Instructions!L45)</f>
        <v/>
      </c>
      <c r="I38" t="str">
        <f t="shared" si="0"/>
        <v>NULL</v>
      </c>
      <c r="J38" t="str">
        <f t="shared" si="0"/>
        <v>NULL</v>
      </c>
      <c r="K38" t="str">
        <f>Instructions!M45</f>
        <v>Added via SMSS</v>
      </c>
      <c r="L38" t="str">
        <f t="shared" si="1"/>
        <v>NULL</v>
      </c>
    </row>
    <row r="39" spans="1:12" x14ac:dyDescent="0.25">
      <c r="A39" t="str" cm="1">
        <f t="array" ref="A39">_xlfn.CONCAT(Instructions!C46,Instructions!A46,"_",TEXT(Instructions!B46,"YYYYMMDD"),"_1_",INDEX(Table1[], MATCH(1,(Table1[Estuary]=Instructions!C46)*(Table1[StationNumber]=Instructions!D46)*(Instructions!B46&gt;Table1[StartDate])*(Instructions!B46&lt;Table1[EndDate]),0),1),"_1_",Instructions!E46,"_",Instructions!F46)</f>
        <v>TBSRVY_20190924_1_0291_1_01_038</v>
      </c>
      <c r="B39" t="str" cm="1">
        <f t="array" ref="B39">_xlfn.CONCAT(Instructions!C46,Instructions!A46,"_",TEXT(Instructions!B46,"YYYYMMDD"),"_1_",INDEX(Table1[], MATCH(1,(Table1[Estuary]=Instructions!C46)*(Table1[StationNumber]=Instructions!D46)*(Instructions!B46&gt;Table1[StartDate])*(Instructions!B46&lt;Table1[EndDate]),0),1),"_1_",Instructions!E46)</f>
        <v>TBSRVY_20190924_1_0291_1_01</v>
      </c>
      <c r="C39">
        <f>Instructions!G46</f>
        <v>17</v>
      </c>
      <c r="D39" t="str">
        <f>IF(ISBLANK(Instructions!H46),"",Instructions!H46)</f>
        <v>Entered</v>
      </c>
      <c r="E39" s="1">
        <f>IF(ISBLANK(Instructions!I46),"",Instructions!I46)</f>
        <v>45646</v>
      </c>
      <c r="F39" t="str">
        <f>IF(ISBLANK(Instructions!J46),"",Instructions!J46)</f>
        <v>Erica Williams</v>
      </c>
      <c r="G39" s="1" t="str">
        <f>IF(ISBLANK(Instructions!K46),"",Instructions!K46)</f>
        <v/>
      </c>
      <c r="H39" t="str">
        <f>IF(ISBLANK(Instructions!L46),"",Instructions!L46)</f>
        <v/>
      </c>
      <c r="I39" t="str">
        <f t="shared" si="0"/>
        <v>NULL</v>
      </c>
      <c r="J39" t="str">
        <f t="shared" si="0"/>
        <v>NULL</v>
      </c>
      <c r="K39" t="str">
        <f>Instructions!M46</f>
        <v>Added via SMSS</v>
      </c>
      <c r="L39" t="str">
        <f t="shared" si="1"/>
        <v>NULL</v>
      </c>
    </row>
    <row r="40" spans="1:12" x14ac:dyDescent="0.25">
      <c r="A40" t="str" cm="1">
        <f t="array" ref="A40">_xlfn.CONCAT(Instructions!C47,Instructions!A47,"_",TEXT(Instructions!B47,"YYYYMMDD"),"_1_",INDEX(Table1[], MATCH(1,(Table1[Estuary]=Instructions!C47)*(Table1[StationNumber]=Instructions!D47)*(Instructions!B47&gt;Table1[StartDate])*(Instructions!B47&lt;Table1[EndDate]),0),1),"_1_",Instructions!E47,"_",Instructions!F47)</f>
        <v>TBSRVY_20190924_1_0291_1_01_039</v>
      </c>
      <c r="B40" t="str" cm="1">
        <f t="array" ref="B40">_xlfn.CONCAT(Instructions!C47,Instructions!A47,"_",TEXT(Instructions!B47,"YYYYMMDD"),"_1_",INDEX(Table1[], MATCH(1,(Table1[Estuary]=Instructions!C47)*(Table1[StationNumber]=Instructions!D47)*(Instructions!B47&gt;Table1[StartDate])*(Instructions!B47&lt;Table1[EndDate]),0),1),"_1_",Instructions!E47)</f>
        <v>TBSRVY_20190924_1_0291_1_01</v>
      </c>
      <c r="C40">
        <f>Instructions!G47</f>
        <v>24</v>
      </c>
      <c r="D40" t="str">
        <f>IF(ISBLANK(Instructions!H47),"",Instructions!H47)</f>
        <v>Entered</v>
      </c>
      <c r="E40" s="1">
        <f>IF(ISBLANK(Instructions!I47),"",Instructions!I47)</f>
        <v>45646</v>
      </c>
      <c r="F40" t="str">
        <f>IF(ISBLANK(Instructions!J47),"",Instructions!J47)</f>
        <v>Erica Williams</v>
      </c>
      <c r="G40" s="1" t="str">
        <f>IF(ISBLANK(Instructions!K47),"",Instructions!K47)</f>
        <v/>
      </c>
      <c r="H40" t="str">
        <f>IF(ISBLANK(Instructions!L47),"",Instructions!L47)</f>
        <v/>
      </c>
      <c r="I40" t="str">
        <f t="shared" si="0"/>
        <v>NULL</v>
      </c>
      <c r="J40" t="str">
        <f t="shared" si="0"/>
        <v>NULL</v>
      </c>
      <c r="K40" t="str">
        <f>Instructions!M47</f>
        <v>Added via SMSS</v>
      </c>
      <c r="L40" t="str">
        <f t="shared" si="1"/>
        <v>NULL</v>
      </c>
    </row>
    <row r="41" spans="1:12" x14ac:dyDescent="0.25">
      <c r="A41" t="str" cm="1">
        <f t="array" ref="A41">_xlfn.CONCAT(Instructions!C48,Instructions!A48,"_",TEXT(Instructions!B48,"YYYYMMDD"),"_1_",INDEX(Table1[], MATCH(1,(Table1[Estuary]=Instructions!C48)*(Table1[StationNumber]=Instructions!D48)*(Instructions!B48&gt;Table1[StartDate])*(Instructions!B48&lt;Table1[EndDate]),0),1),"_1_",Instructions!E48,"_",Instructions!F48)</f>
        <v>TBSRVY_20190924_1_0291_1_01_040</v>
      </c>
      <c r="B41" t="str" cm="1">
        <f t="array" ref="B41">_xlfn.CONCAT(Instructions!C48,Instructions!A48,"_",TEXT(Instructions!B48,"YYYYMMDD"),"_1_",INDEX(Table1[], MATCH(1,(Table1[Estuary]=Instructions!C48)*(Table1[StationNumber]=Instructions!D48)*(Instructions!B48&gt;Table1[StartDate])*(Instructions!B48&lt;Table1[EndDate]),0),1),"_1_",Instructions!E48)</f>
        <v>TBSRVY_20190924_1_0291_1_01</v>
      </c>
      <c r="C41">
        <f>Instructions!G48</f>
        <v>8</v>
      </c>
      <c r="D41" t="str">
        <f>IF(ISBLANK(Instructions!H48),"",Instructions!H48)</f>
        <v>Entered</v>
      </c>
      <c r="E41" s="1">
        <f>IF(ISBLANK(Instructions!I48),"",Instructions!I48)</f>
        <v>45646</v>
      </c>
      <c r="F41" t="str">
        <f>IF(ISBLANK(Instructions!J48),"",Instructions!J48)</f>
        <v>Erica Williams</v>
      </c>
      <c r="G41" s="1" t="str">
        <f>IF(ISBLANK(Instructions!K48),"",Instructions!K48)</f>
        <v/>
      </c>
      <c r="H41" t="str">
        <f>IF(ISBLANK(Instructions!L48),"",Instructions!L48)</f>
        <v/>
      </c>
      <c r="I41" t="str">
        <f t="shared" si="0"/>
        <v>NULL</v>
      </c>
      <c r="J41" t="str">
        <f t="shared" si="0"/>
        <v>NULL</v>
      </c>
      <c r="K41" t="str">
        <f>Instructions!M48</f>
        <v>Added via SMSS</v>
      </c>
      <c r="L41" t="str">
        <f t="shared" si="1"/>
        <v>NULL</v>
      </c>
    </row>
    <row r="42" spans="1:12" x14ac:dyDescent="0.25">
      <c r="A42" t="str" cm="1">
        <f t="array" ref="A42">_xlfn.CONCAT(Instructions!C49,Instructions!A49,"_",TEXT(Instructions!B49,"YYYYMMDD"),"_1_",INDEX(Table1[], MATCH(1,(Table1[Estuary]=Instructions!C49)*(Table1[StationNumber]=Instructions!D49)*(Instructions!B49&gt;Table1[StartDate])*(Instructions!B49&lt;Table1[EndDate]),0),1),"_1_",Instructions!E49,"_",Instructions!F49)</f>
        <v>TBSRVY_20190924_1_0291_1_01_041</v>
      </c>
      <c r="B42" t="str" cm="1">
        <f t="array" ref="B42">_xlfn.CONCAT(Instructions!C49,Instructions!A49,"_",TEXT(Instructions!B49,"YYYYMMDD"),"_1_",INDEX(Table1[], MATCH(1,(Table1[Estuary]=Instructions!C49)*(Table1[StationNumber]=Instructions!D49)*(Instructions!B49&gt;Table1[StartDate])*(Instructions!B49&lt;Table1[EndDate]),0),1),"_1_",Instructions!E49)</f>
        <v>TBSRVY_20190924_1_0291_1_01</v>
      </c>
      <c r="C42">
        <f>Instructions!G49</f>
        <v>43</v>
      </c>
      <c r="D42" t="str">
        <f>IF(ISBLANK(Instructions!H49),"",Instructions!H49)</f>
        <v>Entered</v>
      </c>
      <c r="E42" s="1">
        <f>IF(ISBLANK(Instructions!I49),"",Instructions!I49)</f>
        <v>45646</v>
      </c>
      <c r="F42" t="str">
        <f>IF(ISBLANK(Instructions!J49),"",Instructions!J49)</f>
        <v>Erica Williams</v>
      </c>
      <c r="G42" s="1" t="str">
        <f>IF(ISBLANK(Instructions!K49),"",Instructions!K49)</f>
        <v/>
      </c>
      <c r="H42" t="str">
        <f>IF(ISBLANK(Instructions!L49),"",Instructions!L49)</f>
        <v/>
      </c>
      <c r="I42" t="str">
        <f t="shared" si="0"/>
        <v>NULL</v>
      </c>
      <c r="J42" t="str">
        <f t="shared" si="0"/>
        <v>NULL</v>
      </c>
      <c r="K42" t="str">
        <f>Instructions!M49</f>
        <v>Added via SMSS</v>
      </c>
      <c r="L42" t="str">
        <f t="shared" si="1"/>
        <v>NULL</v>
      </c>
    </row>
    <row r="43" spans="1:12" x14ac:dyDescent="0.25">
      <c r="A43" t="str" cm="1">
        <f t="array" ref="A43">_xlfn.CONCAT(Instructions!C50,Instructions!A50,"_",TEXT(Instructions!B50,"YYYYMMDD"),"_1_",INDEX(Table1[], MATCH(1,(Table1[Estuary]=Instructions!C50)*(Table1[StationNumber]=Instructions!D50)*(Instructions!B50&gt;Table1[StartDate])*(Instructions!B50&lt;Table1[EndDate]),0),1),"_1_",Instructions!E50,"_",Instructions!F50)</f>
        <v>TBSRVY_20190924_1_0291_1_01_042</v>
      </c>
      <c r="B43" t="str" cm="1">
        <f t="array" ref="B43">_xlfn.CONCAT(Instructions!C50,Instructions!A50,"_",TEXT(Instructions!B50,"YYYYMMDD"),"_1_",INDEX(Table1[], MATCH(1,(Table1[Estuary]=Instructions!C50)*(Table1[StationNumber]=Instructions!D50)*(Instructions!B50&gt;Table1[StartDate])*(Instructions!B50&lt;Table1[EndDate]),0),1),"_1_",Instructions!E50)</f>
        <v>TBSRVY_20190924_1_0291_1_01</v>
      </c>
      <c r="C43">
        <f>Instructions!G50</f>
        <v>33</v>
      </c>
      <c r="D43" t="str">
        <f>IF(ISBLANK(Instructions!H50),"",Instructions!H50)</f>
        <v>Entered</v>
      </c>
      <c r="E43" s="1">
        <f>IF(ISBLANK(Instructions!I50),"",Instructions!I50)</f>
        <v>45646</v>
      </c>
      <c r="F43" t="str">
        <f>IF(ISBLANK(Instructions!J50),"",Instructions!J50)</f>
        <v>Erica Williams</v>
      </c>
      <c r="G43" s="1" t="str">
        <f>IF(ISBLANK(Instructions!K50),"",Instructions!K50)</f>
        <v/>
      </c>
      <c r="H43" t="str">
        <f>IF(ISBLANK(Instructions!L50),"",Instructions!L50)</f>
        <v/>
      </c>
      <c r="I43" t="str">
        <f t="shared" si="0"/>
        <v>NULL</v>
      </c>
      <c r="J43" t="str">
        <f t="shared" si="0"/>
        <v>NULL</v>
      </c>
      <c r="K43" t="str">
        <f>Instructions!M50</f>
        <v>Added via SMSS</v>
      </c>
      <c r="L43" t="str">
        <f t="shared" si="1"/>
        <v>NULL</v>
      </c>
    </row>
    <row r="44" spans="1:12" x14ac:dyDescent="0.25">
      <c r="A44" t="str" cm="1">
        <f t="array" ref="A44">_xlfn.CONCAT(Instructions!C51,Instructions!A51,"_",TEXT(Instructions!B51,"YYYYMMDD"),"_1_",INDEX(Table1[], MATCH(1,(Table1[Estuary]=Instructions!C51)*(Table1[StationNumber]=Instructions!D51)*(Instructions!B51&gt;Table1[StartDate])*(Instructions!B51&lt;Table1[EndDate]),0),1),"_1_",Instructions!E51,"_",Instructions!F51)</f>
        <v>TBSRVY_20190924_1_0291_1_01_043</v>
      </c>
      <c r="B44" t="str" cm="1">
        <f t="array" ref="B44">_xlfn.CONCAT(Instructions!C51,Instructions!A51,"_",TEXT(Instructions!B51,"YYYYMMDD"),"_1_",INDEX(Table1[], MATCH(1,(Table1[Estuary]=Instructions!C51)*(Table1[StationNumber]=Instructions!D51)*(Instructions!B51&gt;Table1[StartDate])*(Instructions!B51&lt;Table1[EndDate]),0),1),"_1_",Instructions!E51)</f>
        <v>TBSRVY_20190924_1_0291_1_01</v>
      </c>
      <c r="C44">
        <f>Instructions!G51</f>
        <v>21</v>
      </c>
      <c r="D44" t="str">
        <f>IF(ISBLANK(Instructions!H51),"",Instructions!H51)</f>
        <v>Entered</v>
      </c>
      <c r="E44" s="1">
        <f>IF(ISBLANK(Instructions!I51),"",Instructions!I51)</f>
        <v>45646</v>
      </c>
      <c r="F44" t="str">
        <f>IF(ISBLANK(Instructions!J51),"",Instructions!J51)</f>
        <v>Erica Williams</v>
      </c>
      <c r="G44" s="1" t="str">
        <f>IF(ISBLANK(Instructions!K51),"",Instructions!K51)</f>
        <v/>
      </c>
      <c r="H44" t="str">
        <f>IF(ISBLANK(Instructions!L51),"",Instructions!L51)</f>
        <v/>
      </c>
      <c r="I44" t="str">
        <f t="shared" si="0"/>
        <v>NULL</v>
      </c>
      <c r="J44" t="str">
        <f t="shared" si="0"/>
        <v>NULL</v>
      </c>
      <c r="K44" t="str">
        <f>Instructions!M51</f>
        <v>Added via SMSS</v>
      </c>
      <c r="L44" t="str">
        <f t="shared" si="1"/>
        <v>NULL</v>
      </c>
    </row>
    <row r="45" spans="1:12" x14ac:dyDescent="0.25">
      <c r="A45" t="str" cm="1">
        <f t="array" ref="A45">_xlfn.CONCAT(Instructions!C52,Instructions!A52,"_",TEXT(Instructions!B52,"YYYYMMDD"),"_1_",INDEX(Table1[], MATCH(1,(Table1[Estuary]=Instructions!C52)*(Table1[StationNumber]=Instructions!D52)*(Instructions!B52&gt;Table1[StartDate])*(Instructions!B52&lt;Table1[EndDate]),0),1),"_1_",Instructions!E52,"_",Instructions!F52)</f>
        <v>TBSRVY_20190924_1_0291_1_01_044</v>
      </c>
      <c r="B45" t="str" cm="1">
        <f t="array" ref="B45">_xlfn.CONCAT(Instructions!C52,Instructions!A52,"_",TEXT(Instructions!B52,"YYYYMMDD"),"_1_",INDEX(Table1[], MATCH(1,(Table1[Estuary]=Instructions!C52)*(Table1[StationNumber]=Instructions!D52)*(Instructions!B52&gt;Table1[StartDate])*(Instructions!B52&lt;Table1[EndDate]),0),1),"_1_",Instructions!E52)</f>
        <v>TBSRVY_20190924_1_0291_1_01</v>
      </c>
      <c r="C45">
        <f>Instructions!G52</f>
        <v>14</v>
      </c>
      <c r="D45" t="str">
        <f>IF(ISBLANK(Instructions!H52),"",Instructions!H52)</f>
        <v>Entered</v>
      </c>
      <c r="E45" s="1">
        <f>IF(ISBLANK(Instructions!I52),"",Instructions!I52)</f>
        <v>45646</v>
      </c>
      <c r="F45" t="str">
        <f>IF(ISBLANK(Instructions!J52),"",Instructions!J52)</f>
        <v>Erica Williams</v>
      </c>
      <c r="G45" s="1" t="str">
        <f>IF(ISBLANK(Instructions!K52),"",Instructions!K52)</f>
        <v/>
      </c>
      <c r="H45" t="str">
        <f>IF(ISBLANK(Instructions!L52),"",Instructions!L52)</f>
        <v/>
      </c>
      <c r="I45" t="str">
        <f t="shared" si="0"/>
        <v>NULL</v>
      </c>
      <c r="J45" t="str">
        <f t="shared" si="0"/>
        <v>NULL</v>
      </c>
      <c r="K45" t="str">
        <f>Instructions!M52</f>
        <v>Added via SMSS</v>
      </c>
      <c r="L45" t="str">
        <f t="shared" si="1"/>
        <v>NULL</v>
      </c>
    </row>
    <row r="46" spans="1:12" x14ac:dyDescent="0.25">
      <c r="A46" t="str" cm="1">
        <f t="array" ref="A46">_xlfn.CONCAT(Instructions!C53,Instructions!A53,"_",TEXT(Instructions!B53,"YYYYMMDD"),"_1_",INDEX(Table1[], MATCH(1,(Table1[Estuary]=Instructions!C53)*(Table1[StationNumber]=Instructions!D53)*(Instructions!B53&gt;Table1[StartDate])*(Instructions!B53&lt;Table1[EndDate]),0),1),"_1_",Instructions!E53,"_",Instructions!F53)</f>
        <v>TBSRVY_20190924_1_0291_1_01_045</v>
      </c>
      <c r="B46" t="str" cm="1">
        <f t="array" ref="B46">_xlfn.CONCAT(Instructions!C53,Instructions!A53,"_",TEXT(Instructions!B53,"YYYYMMDD"),"_1_",INDEX(Table1[], MATCH(1,(Table1[Estuary]=Instructions!C53)*(Table1[StationNumber]=Instructions!D53)*(Instructions!B53&gt;Table1[StartDate])*(Instructions!B53&lt;Table1[EndDate]),0),1),"_1_",Instructions!E53)</f>
        <v>TBSRVY_20190924_1_0291_1_01</v>
      </c>
      <c r="C46">
        <f>Instructions!G53</f>
        <v>7</v>
      </c>
      <c r="D46" t="str">
        <f>IF(ISBLANK(Instructions!H53),"",Instructions!H53)</f>
        <v>Entered</v>
      </c>
      <c r="E46" s="1">
        <f>IF(ISBLANK(Instructions!I53),"",Instructions!I53)</f>
        <v>45646</v>
      </c>
      <c r="F46" t="str">
        <f>IF(ISBLANK(Instructions!J53),"",Instructions!J53)</f>
        <v>Erica Williams</v>
      </c>
      <c r="G46" s="1" t="str">
        <f>IF(ISBLANK(Instructions!K53),"",Instructions!K53)</f>
        <v/>
      </c>
      <c r="H46" t="str">
        <f>IF(ISBLANK(Instructions!L53),"",Instructions!L53)</f>
        <v/>
      </c>
      <c r="I46" t="str">
        <f t="shared" si="0"/>
        <v>NULL</v>
      </c>
      <c r="J46" t="str">
        <f t="shared" si="0"/>
        <v>NULL</v>
      </c>
      <c r="K46" t="str">
        <f>Instructions!M53</f>
        <v>Added via SMSS</v>
      </c>
      <c r="L46" t="str">
        <f t="shared" si="1"/>
        <v>NULL</v>
      </c>
    </row>
    <row r="47" spans="1:12" x14ac:dyDescent="0.25">
      <c r="A47" t="str" cm="1">
        <f t="array" ref="A47">_xlfn.CONCAT(Instructions!C54,Instructions!A54,"_",TEXT(Instructions!B54,"YYYYMMDD"),"_1_",INDEX(Table1[], MATCH(1,(Table1[Estuary]=Instructions!C54)*(Table1[StationNumber]=Instructions!D54)*(Instructions!B54&gt;Table1[StartDate])*(Instructions!B54&lt;Table1[EndDate]),0),1),"_1_",Instructions!E54,"_",Instructions!F54)</f>
        <v>TBSRVY_20190924_1_0291_1_01_046</v>
      </c>
      <c r="B47" t="str" cm="1">
        <f t="array" ref="B47">_xlfn.CONCAT(Instructions!C54,Instructions!A54,"_",TEXT(Instructions!B54,"YYYYMMDD"),"_1_",INDEX(Table1[], MATCH(1,(Table1[Estuary]=Instructions!C54)*(Table1[StationNumber]=Instructions!D54)*(Instructions!B54&gt;Table1[StartDate])*(Instructions!B54&lt;Table1[EndDate]),0),1),"_1_",Instructions!E54)</f>
        <v>TBSRVY_20190924_1_0291_1_01</v>
      </c>
      <c r="C47">
        <f>Instructions!G54</f>
        <v>56</v>
      </c>
      <c r="D47" t="str">
        <f>IF(ISBLANK(Instructions!H54),"",Instructions!H54)</f>
        <v>Entered</v>
      </c>
      <c r="E47" s="1">
        <f>IF(ISBLANK(Instructions!I54),"",Instructions!I54)</f>
        <v>45646</v>
      </c>
      <c r="F47" t="str">
        <f>IF(ISBLANK(Instructions!J54),"",Instructions!J54)</f>
        <v>Erica Williams</v>
      </c>
      <c r="G47" s="1" t="str">
        <f>IF(ISBLANK(Instructions!K54),"",Instructions!K54)</f>
        <v/>
      </c>
      <c r="H47" t="str">
        <f>IF(ISBLANK(Instructions!L54),"",Instructions!L54)</f>
        <v/>
      </c>
      <c r="I47" t="str">
        <f t="shared" si="0"/>
        <v>NULL</v>
      </c>
      <c r="J47" t="str">
        <f t="shared" si="0"/>
        <v>NULL</v>
      </c>
      <c r="K47" t="str">
        <f>Instructions!M54</f>
        <v>Added via SMSS</v>
      </c>
      <c r="L47" t="str">
        <f t="shared" si="1"/>
        <v>NULL</v>
      </c>
    </row>
    <row r="48" spans="1:12" x14ac:dyDescent="0.25">
      <c r="A48" t="str" cm="1">
        <f t="array" ref="A48">_xlfn.CONCAT(Instructions!C55,Instructions!A55,"_",TEXT(Instructions!B55,"YYYYMMDD"),"_1_",INDEX(Table1[], MATCH(1,(Table1[Estuary]=Instructions!C55)*(Table1[StationNumber]=Instructions!D55)*(Instructions!B55&gt;Table1[StartDate])*(Instructions!B55&lt;Table1[EndDate]),0),1),"_1_",Instructions!E55,"_",Instructions!F55)</f>
        <v>TBSRVY_20190924_1_0291_1_01_047</v>
      </c>
      <c r="B48" t="str" cm="1">
        <f t="array" ref="B48">_xlfn.CONCAT(Instructions!C55,Instructions!A55,"_",TEXT(Instructions!B55,"YYYYMMDD"),"_1_",INDEX(Table1[], MATCH(1,(Table1[Estuary]=Instructions!C55)*(Table1[StationNumber]=Instructions!D55)*(Instructions!B55&gt;Table1[StartDate])*(Instructions!B55&lt;Table1[EndDate]),0),1),"_1_",Instructions!E55)</f>
        <v>TBSRVY_20190924_1_0291_1_01</v>
      </c>
      <c r="C48">
        <f>Instructions!G55</f>
        <v>33</v>
      </c>
      <c r="D48" t="str">
        <f>IF(ISBLANK(Instructions!H55),"",Instructions!H55)</f>
        <v>Entered</v>
      </c>
      <c r="E48" s="1">
        <f>IF(ISBLANK(Instructions!I55),"",Instructions!I55)</f>
        <v>45646</v>
      </c>
      <c r="F48" t="str">
        <f>IF(ISBLANK(Instructions!J55),"",Instructions!J55)</f>
        <v>Erica Williams</v>
      </c>
      <c r="G48" s="1" t="str">
        <f>IF(ISBLANK(Instructions!K55),"",Instructions!K55)</f>
        <v/>
      </c>
      <c r="H48" t="str">
        <f>IF(ISBLANK(Instructions!L55),"",Instructions!L55)</f>
        <v/>
      </c>
      <c r="I48" t="str">
        <f t="shared" si="0"/>
        <v>NULL</v>
      </c>
      <c r="J48" t="str">
        <f t="shared" si="0"/>
        <v>NULL</v>
      </c>
      <c r="K48" t="str">
        <f>Instructions!M55</f>
        <v>Added via SMSS</v>
      </c>
      <c r="L48" t="str">
        <f t="shared" si="1"/>
        <v>NULL</v>
      </c>
    </row>
    <row r="49" spans="1:12" x14ac:dyDescent="0.25">
      <c r="A49" t="str" cm="1">
        <f t="array" ref="A49">_xlfn.CONCAT(Instructions!C56,Instructions!A56,"_",TEXT(Instructions!B56,"YYYYMMDD"),"_1_",INDEX(Table1[], MATCH(1,(Table1[Estuary]=Instructions!C56)*(Table1[StationNumber]=Instructions!D56)*(Instructions!B56&gt;Table1[StartDate])*(Instructions!B56&lt;Table1[EndDate]),0),1),"_1_",Instructions!E56,"_",Instructions!F56)</f>
        <v>TBSRVY_20190924_1_0291_1_01_048</v>
      </c>
      <c r="B49" t="str" cm="1">
        <f t="array" ref="B49">_xlfn.CONCAT(Instructions!C56,Instructions!A56,"_",TEXT(Instructions!B56,"YYYYMMDD"),"_1_",INDEX(Table1[], MATCH(1,(Table1[Estuary]=Instructions!C56)*(Table1[StationNumber]=Instructions!D56)*(Instructions!B56&gt;Table1[StartDate])*(Instructions!B56&lt;Table1[EndDate]),0),1),"_1_",Instructions!E56)</f>
        <v>TBSRVY_20190924_1_0291_1_01</v>
      </c>
      <c r="C49">
        <f>Instructions!G56</f>
        <v>35</v>
      </c>
      <c r="D49" t="str">
        <f>IF(ISBLANK(Instructions!H56),"",Instructions!H56)</f>
        <v>Entered</v>
      </c>
      <c r="E49" s="1">
        <f>IF(ISBLANK(Instructions!I56),"",Instructions!I56)</f>
        <v>45646</v>
      </c>
      <c r="F49" t="str">
        <f>IF(ISBLANK(Instructions!J56),"",Instructions!J56)</f>
        <v>Erica Williams</v>
      </c>
      <c r="G49" s="1" t="str">
        <f>IF(ISBLANK(Instructions!K56),"",Instructions!K56)</f>
        <v/>
      </c>
      <c r="H49" t="str">
        <f>IF(ISBLANK(Instructions!L56),"",Instructions!L56)</f>
        <v/>
      </c>
      <c r="I49" t="str">
        <f t="shared" si="0"/>
        <v>NULL</v>
      </c>
      <c r="J49" t="str">
        <f t="shared" si="0"/>
        <v>NULL</v>
      </c>
      <c r="K49" t="str">
        <f>Instructions!M56</f>
        <v>Added via SMSS</v>
      </c>
      <c r="L49" t="str">
        <f t="shared" si="1"/>
        <v>NULL</v>
      </c>
    </row>
    <row r="50" spans="1:12" x14ac:dyDescent="0.25">
      <c r="A50" t="str" cm="1">
        <f t="array" ref="A50">_xlfn.CONCAT(Instructions!C57,Instructions!A57,"_",TEXT(Instructions!B57,"YYYYMMDD"),"_1_",INDEX(Table1[], MATCH(1,(Table1[Estuary]=Instructions!C57)*(Table1[StationNumber]=Instructions!D57)*(Instructions!B57&gt;Table1[StartDate])*(Instructions!B57&lt;Table1[EndDate]),0),1),"_1_",Instructions!E57,"_",Instructions!F57)</f>
        <v>TBSRVY_20190924_1_0291_1_01_049</v>
      </c>
      <c r="B50" t="str" cm="1">
        <f t="array" ref="B50">_xlfn.CONCAT(Instructions!C57,Instructions!A57,"_",TEXT(Instructions!B57,"YYYYMMDD"),"_1_",INDEX(Table1[], MATCH(1,(Table1[Estuary]=Instructions!C57)*(Table1[StationNumber]=Instructions!D57)*(Instructions!B57&gt;Table1[StartDate])*(Instructions!B57&lt;Table1[EndDate]),0),1),"_1_",Instructions!E57)</f>
        <v>TBSRVY_20190924_1_0291_1_01</v>
      </c>
      <c r="C50">
        <f>Instructions!G57</f>
        <v>14</v>
      </c>
      <c r="D50" t="str">
        <f>IF(ISBLANK(Instructions!H57),"",Instructions!H57)</f>
        <v>Entered</v>
      </c>
      <c r="E50" s="1">
        <f>IF(ISBLANK(Instructions!I57),"",Instructions!I57)</f>
        <v>45646</v>
      </c>
      <c r="F50" t="str">
        <f>IF(ISBLANK(Instructions!J57),"",Instructions!J57)</f>
        <v>Erica Williams</v>
      </c>
      <c r="G50" s="1" t="str">
        <f>IF(ISBLANK(Instructions!K57),"",Instructions!K57)</f>
        <v/>
      </c>
      <c r="H50" t="str">
        <f>IF(ISBLANK(Instructions!L57),"",Instructions!L57)</f>
        <v/>
      </c>
      <c r="I50" t="str">
        <f t="shared" si="0"/>
        <v>NULL</v>
      </c>
      <c r="J50" t="str">
        <f t="shared" si="0"/>
        <v>NULL</v>
      </c>
      <c r="K50" t="str">
        <f>Instructions!M57</f>
        <v>Added via SMSS</v>
      </c>
      <c r="L50" t="str">
        <f t="shared" si="1"/>
        <v>NULL</v>
      </c>
    </row>
    <row r="51" spans="1:12" x14ac:dyDescent="0.25">
      <c r="A51" t="str" cm="1">
        <f t="array" ref="A51">_xlfn.CONCAT(Instructions!C58,Instructions!A58,"_",TEXT(Instructions!B58,"YYYYMMDD"),"_1_",INDEX(Table1[], MATCH(1,(Table1[Estuary]=Instructions!C58)*(Table1[StationNumber]=Instructions!D58)*(Instructions!B58&gt;Table1[StartDate])*(Instructions!B58&lt;Table1[EndDate]),0),1),"_1_",Instructions!E58,"_",Instructions!F58)</f>
        <v>TBSRVY_20190924_1_0291_1_01_050</v>
      </c>
      <c r="B51" t="str" cm="1">
        <f t="array" ref="B51">_xlfn.CONCAT(Instructions!C58,Instructions!A58,"_",TEXT(Instructions!B58,"YYYYMMDD"),"_1_",INDEX(Table1[], MATCH(1,(Table1[Estuary]=Instructions!C58)*(Table1[StationNumber]=Instructions!D58)*(Instructions!B58&gt;Table1[StartDate])*(Instructions!B58&lt;Table1[EndDate]),0),1),"_1_",Instructions!E58)</f>
        <v>TBSRVY_20190924_1_0291_1_01</v>
      </c>
      <c r="C51">
        <f>Instructions!G58</f>
        <v>10</v>
      </c>
      <c r="D51" t="str">
        <f>IF(ISBLANK(Instructions!H58),"",Instructions!H58)</f>
        <v>Entered</v>
      </c>
      <c r="E51" s="1">
        <f>IF(ISBLANK(Instructions!I58),"",Instructions!I58)</f>
        <v>45646</v>
      </c>
      <c r="F51" t="str">
        <f>IF(ISBLANK(Instructions!J58),"",Instructions!J58)</f>
        <v>Erica Williams</v>
      </c>
      <c r="G51" s="1" t="str">
        <f>IF(ISBLANK(Instructions!K58),"",Instructions!K58)</f>
        <v/>
      </c>
      <c r="H51" t="str">
        <f>IF(ISBLANK(Instructions!L58),"",Instructions!L58)</f>
        <v/>
      </c>
      <c r="I51" t="str">
        <f t="shared" si="0"/>
        <v>NULL</v>
      </c>
      <c r="J51" t="str">
        <f t="shared" si="0"/>
        <v>NULL</v>
      </c>
      <c r="K51" t="str">
        <f>Instructions!M58</f>
        <v>Added via SMSS</v>
      </c>
      <c r="L51" t="str">
        <f t="shared" si="1"/>
        <v>NULL</v>
      </c>
    </row>
    <row r="52" spans="1:12" x14ac:dyDescent="0.25">
      <c r="A52" t="str" cm="1">
        <f t="array" ref="A52">_xlfn.CONCAT(Instructions!C59,Instructions!A59,"_",TEXT(Instructions!B59,"YYYYMMDD"),"_1_",INDEX(Table1[], MATCH(1,(Table1[Estuary]=Instructions!C59)*(Table1[StationNumber]=Instructions!D59)*(Instructions!B59&gt;Table1[StartDate])*(Instructions!B59&lt;Table1[EndDate]),0),1),"_1_",Instructions!E59,"_",Instructions!F59)</f>
        <v>TBSRVY_20190924_1_0291_1_02_001</v>
      </c>
      <c r="B52" t="str" cm="1">
        <f t="array" ref="B52">_xlfn.CONCAT(Instructions!C59,Instructions!A59,"_",TEXT(Instructions!B59,"YYYYMMDD"),"_1_",INDEX(Table1[], MATCH(1,(Table1[Estuary]=Instructions!C59)*(Table1[StationNumber]=Instructions!D59)*(Instructions!B59&gt;Table1[StartDate])*(Instructions!B59&lt;Table1[EndDate]),0),1),"_1_",Instructions!E59)</f>
        <v>TBSRVY_20190924_1_0291_1_02</v>
      </c>
      <c r="C52">
        <f>Instructions!G59</f>
        <v>25</v>
      </c>
      <c r="D52" t="str">
        <f>IF(ISBLANK(Instructions!H59),"",Instructions!H59)</f>
        <v>Entered</v>
      </c>
      <c r="E52" s="1">
        <f>IF(ISBLANK(Instructions!I59),"",Instructions!I59)</f>
        <v>45646</v>
      </c>
      <c r="F52" t="str">
        <f>IF(ISBLANK(Instructions!J59),"",Instructions!J59)</f>
        <v>Erica Williams</v>
      </c>
      <c r="G52" s="1" t="str">
        <f>IF(ISBLANK(Instructions!K59),"",Instructions!K59)</f>
        <v/>
      </c>
      <c r="H52" t="str">
        <f>IF(ISBLANK(Instructions!L59),"",Instructions!L59)</f>
        <v/>
      </c>
      <c r="I52" t="str">
        <f t="shared" si="0"/>
        <v>NULL</v>
      </c>
      <c r="J52" t="str">
        <f t="shared" si="0"/>
        <v>NULL</v>
      </c>
      <c r="K52" t="str">
        <f>Instructions!M59</f>
        <v>Added via SMSS</v>
      </c>
      <c r="L52" t="str">
        <f t="shared" si="1"/>
        <v>NULL</v>
      </c>
    </row>
    <row r="53" spans="1:12" x14ac:dyDescent="0.25">
      <c r="A53" t="str" cm="1">
        <f t="array" ref="A53">_xlfn.CONCAT(Instructions!C60,Instructions!A60,"_",TEXT(Instructions!B60,"YYYYMMDD"),"_1_",INDEX(Table1[], MATCH(1,(Table1[Estuary]=Instructions!C60)*(Table1[StationNumber]=Instructions!D60)*(Instructions!B60&gt;Table1[StartDate])*(Instructions!B60&lt;Table1[EndDate]),0),1),"_1_",Instructions!E60,"_",Instructions!F60)</f>
        <v>TBSRVY_20190924_1_0291_1_02_002</v>
      </c>
      <c r="B53" t="str" cm="1">
        <f t="array" ref="B53">_xlfn.CONCAT(Instructions!C60,Instructions!A60,"_",TEXT(Instructions!B60,"YYYYMMDD"),"_1_",INDEX(Table1[], MATCH(1,(Table1[Estuary]=Instructions!C60)*(Table1[StationNumber]=Instructions!D60)*(Instructions!B60&gt;Table1[StartDate])*(Instructions!B60&lt;Table1[EndDate]),0),1),"_1_",Instructions!E60)</f>
        <v>TBSRVY_20190924_1_0291_1_02</v>
      </c>
      <c r="C53">
        <f>Instructions!G60</f>
        <v>13</v>
      </c>
      <c r="D53" t="str">
        <f>IF(ISBLANK(Instructions!H60),"",Instructions!H60)</f>
        <v>Entered</v>
      </c>
      <c r="E53" s="1">
        <f>IF(ISBLANK(Instructions!I60),"",Instructions!I60)</f>
        <v>45646</v>
      </c>
      <c r="F53" t="str">
        <f>IF(ISBLANK(Instructions!J60),"",Instructions!J60)</f>
        <v>Erica Williams</v>
      </c>
      <c r="G53" s="1" t="str">
        <f>IF(ISBLANK(Instructions!K60),"",Instructions!K60)</f>
        <v/>
      </c>
      <c r="H53" t="str">
        <f>IF(ISBLANK(Instructions!L60),"",Instructions!L60)</f>
        <v/>
      </c>
      <c r="I53" t="str">
        <f t="shared" si="0"/>
        <v>NULL</v>
      </c>
      <c r="J53" t="str">
        <f t="shared" si="0"/>
        <v>NULL</v>
      </c>
      <c r="K53" t="str">
        <f>Instructions!M60</f>
        <v>Added via SMSS</v>
      </c>
      <c r="L53" t="str">
        <f t="shared" si="1"/>
        <v>NULL</v>
      </c>
    </row>
    <row r="54" spans="1:12" x14ac:dyDescent="0.25">
      <c r="A54" t="str" cm="1">
        <f t="array" ref="A54">_xlfn.CONCAT(Instructions!C61,Instructions!A61,"_",TEXT(Instructions!B61,"YYYYMMDD"),"_1_",INDEX(Table1[], MATCH(1,(Table1[Estuary]=Instructions!C61)*(Table1[StationNumber]=Instructions!D61)*(Instructions!B61&gt;Table1[StartDate])*(Instructions!B61&lt;Table1[EndDate]),0),1),"_1_",Instructions!E61,"_",Instructions!F61)</f>
        <v>TBSRVY_20190924_1_0291_1_02_003</v>
      </c>
      <c r="B54" t="str" cm="1">
        <f t="array" ref="B54">_xlfn.CONCAT(Instructions!C61,Instructions!A61,"_",TEXT(Instructions!B61,"YYYYMMDD"),"_1_",INDEX(Table1[], MATCH(1,(Table1[Estuary]=Instructions!C61)*(Table1[StationNumber]=Instructions!D61)*(Instructions!B61&gt;Table1[StartDate])*(Instructions!B61&lt;Table1[EndDate]),0),1),"_1_",Instructions!E61)</f>
        <v>TBSRVY_20190924_1_0291_1_02</v>
      </c>
      <c r="C54">
        <f>Instructions!G61</f>
        <v>13</v>
      </c>
      <c r="D54" t="str">
        <f>IF(ISBLANK(Instructions!H61),"",Instructions!H61)</f>
        <v>Entered</v>
      </c>
      <c r="E54" s="1">
        <f>IF(ISBLANK(Instructions!I61),"",Instructions!I61)</f>
        <v>45646</v>
      </c>
      <c r="F54" t="str">
        <f>IF(ISBLANK(Instructions!J61),"",Instructions!J61)</f>
        <v>Erica Williams</v>
      </c>
      <c r="G54" s="1" t="str">
        <f>IF(ISBLANK(Instructions!K61),"",Instructions!K61)</f>
        <v/>
      </c>
      <c r="H54" t="str">
        <f>IF(ISBLANK(Instructions!L61),"",Instructions!L61)</f>
        <v/>
      </c>
      <c r="I54" t="str">
        <f t="shared" si="0"/>
        <v>NULL</v>
      </c>
      <c r="J54" t="str">
        <f t="shared" si="0"/>
        <v>NULL</v>
      </c>
      <c r="K54" t="str">
        <f>Instructions!M61</f>
        <v>Added via SMSS</v>
      </c>
      <c r="L54" t="str">
        <f t="shared" si="1"/>
        <v>NULL</v>
      </c>
    </row>
    <row r="55" spans="1:12" x14ac:dyDescent="0.25">
      <c r="A55" t="str" cm="1">
        <f t="array" ref="A55">_xlfn.CONCAT(Instructions!C62,Instructions!A62,"_",TEXT(Instructions!B62,"YYYYMMDD"),"_1_",INDEX(Table1[], MATCH(1,(Table1[Estuary]=Instructions!C62)*(Table1[StationNumber]=Instructions!D62)*(Instructions!B62&gt;Table1[StartDate])*(Instructions!B62&lt;Table1[EndDate]),0),1),"_1_",Instructions!E62,"_",Instructions!F62)</f>
        <v>TBSRVY_20190924_1_0291_1_02_004</v>
      </c>
      <c r="B55" t="str" cm="1">
        <f t="array" ref="B55">_xlfn.CONCAT(Instructions!C62,Instructions!A62,"_",TEXT(Instructions!B62,"YYYYMMDD"),"_1_",INDEX(Table1[], MATCH(1,(Table1[Estuary]=Instructions!C62)*(Table1[StationNumber]=Instructions!D62)*(Instructions!B62&gt;Table1[StartDate])*(Instructions!B62&lt;Table1[EndDate]),0),1),"_1_",Instructions!E62)</f>
        <v>TBSRVY_20190924_1_0291_1_02</v>
      </c>
      <c r="C55">
        <f>Instructions!G62</f>
        <v>27</v>
      </c>
      <c r="D55" t="str">
        <f>IF(ISBLANK(Instructions!H62),"",Instructions!H62)</f>
        <v>Entered</v>
      </c>
      <c r="E55" s="1">
        <f>IF(ISBLANK(Instructions!I62),"",Instructions!I62)</f>
        <v>45646</v>
      </c>
      <c r="F55" t="str">
        <f>IF(ISBLANK(Instructions!J62),"",Instructions!J62)</f>
        <v>Erica Williams</v>
      </c>
      <c r="G55" s="1" t="str">
        <f>IF(ISBLANK(Instructions!K62),"",Instructions!K62)</f>
        <v/>
      </c>
      <c r="H55" t="str">
        <f>IF(ISBLANK(Instructions!L62),"",Instructions!L62)</f>
        <v/>
      </c>
      <c r="I55" t="str">
        <f t="shared" si="0"/>
        <v>NULL</v>
      </c>
      <c r="J55" t="str">
        <f t="shared" si="0"/>
        <v>NULL</v>
      </c>
      <c r="K55" t="str">
        <f>Instructions!M62</f>
        <v>Added via SMSS</v>
      </c>
      <c r="L55" t="str">
        <f t="shared" si="1"/>
        <v>NULL</v>
      </c>
    </row>
    <row r="56" spans="1:12" x14ac:dyDescent="0.25">
      <c r="A56" t="str" cm="1">
        <f t="array" ref="A56">_xlfn.CONCAT(Instructions!C63,Instructions!A63,"_",TEXT(Instructions!B63,"YYYYMMDD"),"_1_",INDEX(Table1[], MATCH(1,(Table1[Estuary]=Instructions!C63)*(Table1[StationNumber]=Instructions!D63)*(Instructions!B63&gt;Table1[StartDate])*(Instructions!B63&lt;Table1[EndDate]),0),1),"_1_",Instructions!E63,"_",Instructions!F63)</f>
        <v>TBSRVY_20190924_1_0291_1_02_005</v>
      </c>
      <c r="B56" t="str" cm="1">
        <f t="array" ref="B56">_xlfn.CONCAT(Instructions!C63,Instructions!A63,"_",TEXT(Instructions!B63,"YYYYMMDD"),"_1_",INDEX(Table1[], MATCH(1,(Table1[Estuary]=Instructions!C63)*(Table1[StationNumber]=Instructions!D63)*(Instructions!B63&gt;Table1[StartDate])*(Instructions!B63&lt;Table1[EndDate]),0),1),"_1_",Instructions!E63)</f>
        <v>TBSRVY_20190924_1_0291_1_02</v>
      </c>
      <c r="C56">
        <f>Instructions!G63</f>
        <v>15</v>
      </c>
      <c r="D56" t="str">
        <f>IF(ISBLANK(Instructions!H63),"",Instructions!H63)</f>
        <v>Entered</v>
      </c>
      <c r="E56" s="1">
        <f>IF(ISBLANK(Instructions!I63),"",Instructions!I63)</f>
        <v>45646</v>
      </c>
      <c r="F56" t="str">
        <f>IF(ISBLANK(Instructions!J63),"",Instructions!J63)</f>
        <v>Erica Williams</v>
      </c>
      <c r="G56" s="1" t="str">
        <f>IF(ISBLANK(Instructions!K63),"",Instructions!K63)</f>
        <v/>
      </c>
      <c r="H56" t="str">
        <f>IF(ISBLANK(Instructions!L63),"",Instructions!L63)</f>
        <v/>
      </c>
      <c r="I56" t="str">
        <f t="shared" si="0"/>
        <v>NULL</v>
      </c>
      <c r="J56" t="str">
        <f t="shared" si="0"/>
        <v>NULL</v>
      </c>
      <c r="K56" t="str">
        <f>Instructions!M63</f>
        <v>Added via SMSS</v>
      </c>
      <c r="L56" t="str">
        <f t="shared" si="1"/>
        <v>NULL</v>
      </c>
    </row>
    <row r="57" spans="1:12" x14ac:dyDescent="0.25">
      <c r="A57" t="str" cm="1">
        <f t="array" ref="A57">_xlfn.CONCAT(Instructions!C64,Instructions!A64,"_",TEXT(Instructions!B64,"YYYYMMDD"),"_1_",INDEX(Table1[], MATCH(1,(Table1[Estuary]=Instructions!C64)*(Table1[StationNumber]=Instructions!D64)*(Instructions!B64&gt;Table1[StartDate])*(Instructions!B64&lt;Table1[EndDate]),0),1),"_1_",Instructions!E64,"_",Instructions!F64)</f>
        <v>TBSRVY_20190924_1_0291_1_02_006</v>
      </c>
      <c r="B57" t="str" cm="1">
        <f t="array" ref="B57">_xlfn.CONCAT(Instructions!C64,Instructions!A64,"_",TEXT(Instructions!B64,"YYYYMMDD"),"_1_",INDEX(Table1[], MATCH(1,(Table1[Estuary]=Instructions!C64)*(Table1[StationNumber]=Instructions!D64)*(Instructions!B64&gt;Table1[StartDate])*(Instructions!B64&lt;Table1[EndDate]),0),1),"_1_",Instructions!E64)</f>
        <v>TBSRVY_20190924_1_0291_1_02</v>
      </c>
      <c r="C57">
        <f>Instructions!G64</f>
        <v>28</v>
      </c>
      <c r="D57" t="str">
        <f>IF(ISBLANK(Instructions!H64),"",Instructions!H64)</f>
        <v>Entered</v>
      </c>
      <c r="E57" s="1">
        <f>IF(ISBLANK(Instructions!I64),"",Instructions!I64)</f>
        <v>45646</v>
      </c>
      <c r="F57" t="str">
        <f>IF(ISBLANK(Instructions!J64),"",Instructions!J64)</f>
        <v>Erica Williams</v>
      </c>
      <c r="G57" s="1" t="str">
        <f>IF(ISBLANK(Instructions!K64),"",Instructions!K64)</f>
        <v/>
      </c>
      <c r="H57" t="str">
        <f>IF(ISBLANK(Instructions!L64),"",Instructions!L64)</f>
        <v/>
      </c>
      <c r="I57" t="str">
        <f t="shared" si="0"/>
        <v>NULL</v>
      </c>
      <c r="J57" t="str">
        <f t="shared" si="0"/>
        <v>NULL</v>
      </c>
      <c r="K57" t="str">
        <f>Instructions!M64</f>
        <v>Added via SMSS</v>
      </c>
      <c r="L57" t="str">
        <f t="shared" si="1"/>
        <v>NULL</v>
      </c>
    </row>
    <row r="58" spans="1:12" x14ac:dyDescent="0.25">
      <c r="A58" t="str" cm="1">
        <f t="array" ref="A58">_xlfn.CONCAT(Instructions!C65,Instructions!A65,"_",TEXT(Instructions!B65,"YYYYMMDD"),"_1_",INDEX(Table1[], MATCH(1,(Table1[Estuary]=Instructions!C65)*(Table1[StationNumber]=Instructions!D65)*(Instructions!B65&gt;Table1[StartDate])*(Instructions!B65&lt;Table1[EndDate]),0),1),"_1_",Instructions!E65,"_",Instructions!F65)</f>
        <v>TBSRVY_20190924_1_0291_1_02_007</v>
      </c>
      <c r="B58" t="str" cm="1">
        <f t="array" ref="B58">_xlfn.CONCAT(Instructions!C65,Instructions!A65,"_",TEXT(Instructions!B65,"YYYYMMDD"),"_1_",INDEX(Table1[], MATCH(1,(Table1[Estuary]=Instructions!C65)*(Table1[StationNumber]=Instructions!D65)*(Instructions!B65&gt;Table1[StartDate])*(Instructions!B65&lt;Table1[EndDate]),0),1),"_1_",Instructions!E65)</f>
        <v>TBSRVY_20190924_1_0291_1_02</v>
      </c>
      <c r="C58">
        <f>Instructions!G65</f>
        <v>10</v>
      </c>
      <c r="D58" t="str">
        <f>IF(ISBLANK(Instructions!H65),"",Instructions!H65)</f>
        <v>Entered</v>
      </c>
      <c r="E58" s="1">
        <f>IF(ISBLANK(Instructions!I65),"",Instructions!I65)</f>
        <v>45646</v>
      </c>
      <c r="F58" t="str">
        <f>IF(ISBLANK(Instructions!J65),"",Instructions!J65)</f>
        <v>Erica Williams</v>
      </c>
      <c r="G58" s="1" t="str">
        <f>IF(ISBLANK(Instructions!K65),"",Instructions!K65)</f>
        <v/>
      </c>
      <c r="H58" t="str">
        <f>IF(ISBLANK(Instructions!L65),"",Instructions!L65)</f>
        <v/>
      </c>
      <c r="I58" t="str">
        <f t="shared" si="0"/>
        <v>NULL</v>
      </c>
      <c r="J58" t="str">
        <f t="shared" si="0"/>
        <v>NULL</v>
      </c>
      <c r="K58" t="str">
        <f>Instructions!M65</f>
        <v>Added via SMSS</v>
      </c>
      <c r="L58" t="str">
        <f t="shared" si="1"/>
        <v>NULL</v>
      </c>
    </row>
    <row r="59" spans="1:12" x14ac:dyDescent="0.25">
      <c r="A59" t="str" cm="1">
        <f t="array" ref="A59">_xlfn.CONCAT(Instructions!C66,Instructions!A66,"_",TEXT(Instructions!B66,"YYYYMMDD"),"_1_",INDEX(Table1[], MATCH(1,(Table1[Estuary]=Instructions!C66)*(Table1[StationNumber]=Instructions!D66)*(Instructions!B66&gt;Table1[StartDate])*(Instructions!B66&lt;Table1[EndDate]),0),1),"_1_",Instructions!E66,"_",Instructions!F66)</f>
        <v>TBSRVY_20190924_1_0291_1_02_008</v>
      </c>
      <c r="B59" t="str" cm="1">
        <f t="array" ref="B59">_xlfn.CONCAT(Instructions!C66,Instructions!A66,"_",TEXT(Instructions!B66,"YYYYMMDD"),"_1_",INDEX(Table1[], MATCH(1,(Table1[Estuary]=Instructions!C66)*(Table1[StationNumber]=Instructions!D66)*(Instructions!B66&gt;Table1[StartDate])*(Instructions!B66&lt;Table1[EndDate]),0),1),"_1_",Instructions!E66)</f>
        <v>TBSRVY_20190924_1_0291_1_02</v>
      </c>
      <c r="C59">
        <f>Instructions!G66</f>
        <v>36</v>
      </c>
      <c r="D59" t="str">
        <f>IF(ISBLANK(Instructions!H66),"",Instructions!H66)</f>
        <v>Entered</v>
      </c>
      <c r="E59" s="1">
        <f>IF(ISBLANK(Instructions!I66),"",Instructions!I66)</f>
        <v>45646</v>
      </c>
      <c r="F59" t="str">
        <f>IF(ISBLANK(Instructions!J66),"",Instructions!J66)</f>
        <v>Erica Williams</v>
      </c>
      <c r="G59" s="1" t="str">
        <f>IF(ISBLANK(Instructions!K66),"",Instructions!K66)</f>
        <v/>
      </c>
      <c r="H59" t="str">
        <f>IF(ISBLANK(Instructions!L66),"",Instructions!L66)</f>
        <v/>
      </c>
      <c r="I59" t="str">
        <f t="shared" si="0"/>
        <v>NULL</v>
      </c>
      <c r="J59" t="str">
        <f t="shared" si="0"/>
        <v>NULL</v>
      </c>
      <c r="K59" t="str">
        <f>Instructions!M66</f>
        <v>Added via SMSS</v>
      </c>
      <c r="L59" t="str">
        <f t="shared" si="1"/>
        <v>NULL</v>
      </c>
    </row>
    <row r="60" spans="1:12" x14ac:dyDescent="0.25">
      <c r="A60" t="str" cm="1">
        <f t="array" ref="A60">_xlfn.CONCAT(Instructions!C67,Instructions!A67,"_",TEXT(Instructions!B67,"YYYYMMDD"),"_1_",INDEX(Table1[], MATCH(1,(Table1[Estuary]=Instructions!C67)*(Table1[StationNumber]=Instructions!D67)*(Instructions!B67&gt;Table1[StartDate])*(Instructions!B67&lt;Table1[EndDate]),0),1),"_1_",Instructions!E67,"_",Instructions!F67)</f>
        <v>TBSRVY_20190924_1_0291_1_02_009</v>
      </c>
      <c r="B60" t="str" cm="1">
        <f t="array" ref="B60">_xlfn.CONCAT(Instructions!C67,Instructions!A67,"_",TEXT(Instructions!B67,"YYYYMMDD"),"_1_",INDEX(Table1[], MATCH(1,(Table1[Estuary]=Instructions!C67)*(Table1[StationNumber]=Instructions!D67)*(Instructions!B67&gt;Table1[StartDate])*(Instructions!B67&lt;Table1[EndDate]),0),1),"_1_",Instructions!E67)</f>
        <v>TBSRVY_20190924_1_0291_1_02</v>
      </c>
      <c r="C60">
        <f>Instructions!G67</f>
        <v>40</v>
      </c>
      <c r="D60" t="str">
        <f>IF(ISBLANK(Instructions!H67),"",Instructions!H67)</f>
        <v>Entered</v>
      </c>
      <c r="E60" s="1">
        <f>IF(ISBLANK(Instructions!I67),"",Instructions!I67)</f>
        <v>45646</v>
      </c>
      <c r="F60" t="str">
        <f>IF(ISBLANK(Instructions!J67),"",Instructions!J67)</f>
        <v>Erica Williams</v>
      </c>
      <c r="G60" s="1" t="str">
        <f>IF(ISBLANK(Instructions!K67),"",Instructions!K67)</f>
        <v/>
      </c>
      <c r="H60" t="str">
        <f>IF(ISBLANK(Instructions!L67),"",Instructions!L67)</f>
        <v/>
      </c>
      <c r="I60" t="str">
        <f t="shared" si="0"/>
        <v>NULL</v>
      </c>
      <c r="J60" t="str">
        <f t="shared" si="0"/>
        <v>NULL</v>
      </c>
      <c r="K60" t="str">
        <f>Instructions!M67</f>
        <v>Added via SMSS</v>
      </c>
      <c r="L60" t="str">
        <f t="shared" si="1"/>
        <v>NULL</v>
      </c>
    </row>
    <row r="61" spans="1:12" x14ac:dyDescent="0.25">
      <c r="A61" t="str" cm="1">
        <f t="array" ref="A61">_xlfn.CONCAT(Instructions!C68,Instructions!A68,"_",TEXT(Instructions!B68,"YYYYMMDD"),"_1_",INDEX(Table1[], MATCH(1,(Table1[Estuary]=Instructions!C68)*(Table1[StationNumber]=Instructions!D68)*(Instructions!B68&gt;Table1[StartDate])*(Instructions!B68&lt;Table1[EndDate]),0),1),"_1_",Instructions!E68,"_",Instructions!F68)</f>
        <v>TBSRVY_20190924_1_0291_1_02_010</v>
      </c>
      <c r="B61" t="str" cm="1">
        <f t="array" ref="B61">_xlfn.CONCAT(Instructions!C68,Instructions!A68,"_",TEXT(Instructions!B68,"YYYYMMDD"),"_1_",INDEX(Table1[], MATCH(1,(Table1[Estuary]=Instructions!C68)*(Table1[StationNumber]=Instructions!D68)*(Instructions!B68&gt;Table1[StartDate])*(Instructions!B68&lt;Table1[EndDate]),0),1),"_1_",Instructions!E68)</f>
        <v>TBSRVY_20190924_1_0291_1_02</v>
      </c>
      <c r="C61">
        <f>Instructions!G68</f>
        <v>6</v>
      </c>
      <c r="D61" t="str">
        <f>IF(ISBLANK(Instructions!H68),"",Instructions!H68)</f>
        <v>Entered</v>
      </c>
      <c r="E61" s="1">
        <f>IF(ISBLANK(Instructions!I68),"",Instructions!I68)</f>
        <v>45646</v>
      </c>
      <c r="F61" t="str">
        <f>IF(ISBLANK(Instructions!J68),"",Instructions!J68)</f>
        <v>Erica Williams</v>
      </c>
      <c r="G61" s="1" t="str">
        <f>IF(ISBLANK(Instructions!K68),"",Instructions!K68)</f>
        <v/>
      </c>
      <c r="H61" t="str">
        <f>IF(ISBLANK(Instructions!L68),"",Instructions!L68)</f>
        <v/>
      </c>
      <c r="I61" t="str">
        <f t="shared" si="0"/>
        <v>NULL</v>
      </c>
      <c r="J61" t="str">
        <f t="shared" si="0"/>
        <v>NULL</v>
      </c>
      <c r="K61" t="str">
        <f>Instructions!M68</f>
        <v>Added via SMSS</v>
      </c>
      <c r="L61" t="str">
        <f t="shared" si="1"/>
        <v>NULL</v>
      </c>
    </row>
    <row r="62" spans="1:12" x14ac:dyDescent="0.25">
      <c r="A62" t="str" cm="1">
        <f t="array" ref="A62">_xlfn.CONCAT(Instructions!C69,Instructions!A69,"_",TEXT(Instructions!B69,"YYYYMMDD"),"_1_",INDEX(Table1[], MATCH(1,(Table1[Estuary]=Instructions!C69)*(Table1[StationNumber]=Instructions!D69)*(Instructions!B69&gt;Table1[StartDate])*(Instructions!B69&lt;Table1[EndDate]),0),1),"_1_",Instructions!E69,"_",Instructions!F69)</f>
        <v>TBSRVY_20190924_1_0291_1_02_011</v>
      </c>
      <c r="B62" t="str" cm="1">
        <f t="array" ref="B62">_xlfn.CONCAT(Instructions!C69,Instructions!A69,"_",TEXT(Instructions!B69,"YYYYMMDD"),"_1_",INDEX(Table1[], MATCH(1,(Table1[Estuary]=Instructions!C69)*(Table1[StationNumber]=Instructions!D69)*(Instructions!B69&gt;Table1[StartDate])*(Instructions!B69&lt;Table1[EndDate]),0),1),"_1_",Instructions!E69)</f>
        <v>TBSRVY_20190924_1_0291_1_02</v>
      </c>
      <c r="C62">
        <f>Instructions!G69</f>
        <v>21</v>
      </c>
      <c r="D62" t="str">
        <f>IF(ISBLANK(Instructions!H69),"",Instructions!H69)</f>
        <v>Entered</v>
      </c>
      <c r="E62" s="1">
        <f>IF(ISBLANK(Instructions!I69),"",Instructions!I69)</f>
        <v>45646</v>
      </c>
      <c r="F62" t="str">
        <f>IF(ISBLANK(Instructions!J69),"",Instructions!J69)</f>
        <v>Erica Williams</v>
      </c>
      <c r="G62" s="1" t="str">
        <f>IF(ISBLANK(Instructions!K69),"",Instructions!K69)</f>
        <v/>
      </c>
      <c r="H62" t="str">
        <f>IF(ISBLANK(Instructions!L69),"",Instructions!L69)</f>
        <v/>
      </c>
      <c r="I62" t="str">
        <f t="shared" si="0"/>
        <v>NULL</v>
      </c>
      <c r="J62" t="str">
        <f t="shared" si="0"/>
        <v>NULL</v>
      </c>
      <c r="K62" t="str">
        <f>Instructions!M69</f>
        <v>Added via SMSS</v>
      </c>
      <c r="L62" t="str">
        <f t="shared" si="1"/>
        <v>NULL</v>
      </c>
    </row>
    <row r="63" spans="1:12" x14ac:dyDescent="0.25">
      <c r="A63" t="str" cm="1">
        <f t="array" ref="A63">_xlfn.CONCAT(Instructions!C70,Instructions!A70,"_",TEXT(Instructions!B70,"YYYYMMDD"),"_1_",INDEX(Table1[], MATCH(1,(Table1[Estuary]=Instructions!C70)*(Table1[StationNumber]=Instructions!D70)*(Instructions!B70&gt;Table1[StartDate])*(Instructions!B70&lt;Table1[EndDate]),0),1),"_1_",Instructions!E70,"_",Instructions!F70)</f>
        <v>TBSRVY_20190924_1_0291_1_02_012</v>
      </c>
      <c r="B63" t="str" cm="1">
        <f t="array" ref="B63">_xlfn.CONCAT(Instructions!C70,Instructions!A70,"_",TEXT(Instructions!B70,"YYYYMMDD"),"_1_",INDEX(Table1[], MATCH(1,(Table1[Estuary]=Instructions!C70)*(Table1[StationNumber]=Instructions!D70)*(Instructions!B70&gt;Table1[StartDate])*(Instructions!B70&lt;Table1[EndDate]),0),1),"_1_",Instructions!E70)</f>
        <v>TBSRVY_20190924_1_0291_1_02</v>
      </c>
      <c r="C63">
        <f>Instructions!G70</f>
        <v>12</v>
      </c>
      <c r="D63" t="str">
        <f>IF(ISBLANK(Instructions!H70),"",Instructions!H70)</f>
        <v>Entered</v>
      </c>
      <c r="E63" s="1">
        <f>IF(ISBLANK(Instructions!I70),"",Instructions!I70)</f>
        <v>45646</v>
      </c>
      <c r="F63" t="str">
        <f>IF(ISBLANK(Instructions!J70),"",Instructions!J70)</f>
        <v>Erica Williams</v>
      </c>
      <c r="G63" s="1" t="str">
        <f>IF(ISBLANK(Instructions!K70),"",Instructions!K70)</f>
        <v/>
      </c>
      <c r="H63" t="str">
        <f>IF(ISBLANK(Instructions!L70),"",Instructions!L70)</f>
        <v/>
      </c>
      <c r="I63" t="str">
        <f t="shared" si="0"/>
        <v>NULL</v>
      </c>
      <c r="J63" t="str">
        <f t="shared" si="0"/>
        <v>NULL</v>
      </c>
      <c r="K63" t="str">
        <f>Instructions!M70</f>
        <v>Added via SMSS</v>
      </c>
      <c r="L63" t="str">
        <f t="shared" si="1"/>
        <v>NULL</v>
      </c>
    </row>
    <row r="64" spans="1:12" x14ac:dyDescent="0.25">
      <c r="A64" t="str" cm="1">
        <f t="array" ref="A64">_xlfn.CONCAT(Instructions!C71,Instructions!A71,"_",TEXT(Instructions!B71,"YYYYMMDD"),"_1_",INDEX(Table1[], MATCH(1,(Table1[Estuary]=Instructions!C71)*(Table1[StationNumber]=Instructions!D71)*(Instructions!B71&gt;Table1[StartDate])*(Instructions!B71&lt;Table1[EndDate]),0),1),"_1_",Instructions!E71,"_",Instructions!F71)</f>
        <v>TBSRVY_20190924_1_0291_1_02_013</v>
      </c>
      <c r="B64" t="str" cm="1">
        <f t="array" ref="B64">_xlfn.CONCAT(Instructions!C71,Instructions!A71,"_",TEXT(Instructions!B71,"YYYYMMDD"),"_1_",INDEX(Table1[], MATCH(1,(Table1[Estuary]=Instructions!C71)*(Table1[StationNumber]=Instructions!D71)*(Instructions!B71&gt;Table1[StartDate])*(Instructions!B71&lt;Table1[EndDate]),0),1),"_1_",Instructions!E71)</f>
        <v>TBSRVY_20190924_1_0291_1_02</v>
      </c>
      <c r="C64">
        <f>Instructions!G71</f>
        <v>50</v>
      </c>
      <c r="D64" t="str">
        <f>IF(ISBLANK(Instructions!H71),"",Instructions!H71)</f>
        <v>Entered</v>
      </c>
      <c r="E64" s="1">
        <f>IF(ISBLANK(Instructions!I71),"",Instructions!I71)</f>
        <v>45646</v>
      </c>
      <c r="F64" t="str">
        <f>IF(ISBLANK(Instructions!J71),"",Instructions!J71)</f>
        <v>Erica Williams</v>
      </c>
      <c r="G64" s="1" t="str">
        <f>IF(ISBLANK(Instructions!K71),"",Instructions!K71)</f>
        <v/>
      </c>
      <c r="H64" t="str">
        <f>IF(ISBLANK(Instructions!L71),"",Instructions!L71)</f>
        <v/>
      </c>
      <c r="I64" t="str">
        <f t="shared" si="0"/>
        <v>NULL</v>
      </c>
      <c r="J64" t="str">
        <f t="shared" si="0"/>
        <v>NULL</v>
      </c>
      <c r="K64" t="str">
        <f>Instructions!M71</f>
        <v>Added via SMSS</v>
      </c>
      <c r="L64" t="str">
        <f t="shared" si="1"/>
        <v>NULL</v>
      </c>
    </row>
    <row r="65" spans="1:12" x14ac:dyDescent="0.25">
      <c r="A65" t="str" cm="1">
        <f t="array" ref="A65">_xlfn.CONCAT(Instructions!C72,Instructions!A72,"_",TEXT(Instructions!B72,"YYYYMMDD"),"_1_",INDEX(Table1[], MATCH(1,(Table1[Estuary]=Instructions!C72)*(Table1[StationNumber]=Instructions!D72)*(Instructions!B72&gt;Table1[StartDate])*(Instructions!B72&lt;Table1[EndDate]),0),1),"_1_",Instructions!E72,"_",Instructions!F72)</f>
        <v>TBSRVY_20190924_1_0291_1_02_014</v>
      </c>
      <c r="B65" t="str" cm="1">
        <f t="array" ref="B65">_xlfn.CONCAT(Instructions!C72,Instructions!A72,"_",TEXT(Instructions!B72,"YYYYMMDD"),"_1_",INDEX(Table1[], MATCH(1,(Table1[Estuary]=Instructions!C72)*(Table1[StationNumber]=Instructions!D72)*(Instructions!B72&gt;Table1[StartDate])*(Instructions!B72&lt;Table1[EndDate]),0),1),"_1_",Instructions!E72)</f>
        <v>TBSRVY_20190924_1_0291_1_02</v>
      </c>
      <c r="C65">
        <f>Instructions!G72</f>
        <v>26</v>
      </c>
      <c r="D65" t="str">
        <f>IF(ISBLANK(Instructions!H72),"",Instructions!H72)</f>
        <v>Entered</v>
      </c>
      <c r="E65" s="1">
        <f>IF(ISBLANK(Instructions!I72),"",Instructions!I72)</f>
        <v>45646</v>
      </c>
      <c r="F65" t="str">
        <f>IF(ISBLANK(Instructions!J72),"",Instructions!J72)</f>
        <v>Erica Williams</v>
      </c>
      <c r="G65" s="1" t="str">
        <f>IF(ISBLANK(Instructions!K72),"",Instructions!K72)</f>
        <v/>
      </c>
      <c r="H65" t="str">
        <f>IF(ISBLANK(Instructions!L72),"",Instructions!L72)</f>
        <v/>
      </c>
      <c r="I65" t="str">
        <f t="shared" si="0"/>
        <v>NULL</v>
      </c>
      <c r="J65" t="str">
        <f t="shared" si="0"/>
        <v>NULL</v>
      </c>
      <c r="K65" t="str">
        <f>Instructions!M72</f>
        <v>Added via SMSS</v>
      </c>
      <c r="L65" t="str">
        <f t="shared" si="1"/>
        <v>NULL</v>
      </c>
    </row>
    <row r="66" spans="1:12" x14ac:dyDescent="0.25">
      <c r="A66" t="str" cm="1">
        <f t="array" ref="A66">_xlfn.CONCAT(Instructions!C73,Instructions!A73,"_",TEXT(Instructions!B73,"YYYYMMDD"),"_1_",INDEX(Table1[], MATCH(1,(Table1[Estuary]=Instructions!C73)*(Table1[StationNumber]=Instructions!D73)*(Instructions!B73&gt;Table1[StartDate])*(Instructions!B73&lt;Table1[EndDate]),0),1),"_1_",Instructions!E73,"_",Instructions!F73)</f>
        <v>TBSRVY_20190924_1_0291_1_02_015</v>
      </c>
      <c r="B66" t="str" cm="1">
        <f t="array" ref="B66">_xlfn.CONCAT(Instructions!C73,Instructions!A73,"_",TEXT(Instructions!B73,"YYYYMMDD"),"_1_",INDEX(Table1[], MATCH(1,(Table1[Estuary]=Instructions!C73)*(Table1[StationNumber]=Instructions!D73)*(Instructions!B73&gt;Table1[StartDate])*(Instructions!B73&lt;Table1[EndDate]),0),1),"_1_",Instructions!E73)</f>
        <v>TBSRVY_20190924_1_0291_1_02</v>
      </c>
      <c r="C66">
        <f>Instructions!G73</f>
        <v>28</v>
      </c>
      <c r="D66" t="str">
        <f>IF(ISBLANK(Instructions!H73),"",Instructions!H73)</f>
        <v>Entered</v>
      </c>
      <c r="E66" s="1">
        <f>IF(ISBLANK(Instructions!I73),"",Instructions!I73)</f>
        <v>45646</v>
      </c>
      <c r="F66" t="str">
        <f>IF(ISBLANK(Instructions!J73),"",Instructions!J73)</f>
        <v>Erica Williams</v>
      </c>
      <c r="G66" s="1" t="str">
        <f>IF(ISBLANK(Instructions!K73),"",Instructions!K73)</f>
        <v/>
      </c>
      <c r="H66" t="str">
        <f>IF(ISBLANK(Instructions!L73),"",Instructions!L73)</f>
        <v/>
      </c>
      <c r="I66" t="str">
        <f t="shared" si="0"/>
        <v>NULL</v>
      </c>
      <c r="J66" t="str">
        <f t="shared" ref="J66" si="2">"NULL"</f>
        <v>NULL</v>
      </c>
      <c r="K66" t="str">
        <f>Instructions!M73</f>
        <v>Added via SMSS</v>
      </c>
      <c r="L66" t="str">
        <f t="shared" si="1"/>
        <v>NULL</v>
      </c>
    </row>
    <row r="67" spans="1:12" x14ac:dyDescent="0.25">
      <c r="A67" t="str" cm="1">
        <f t="array" ref="A67">_xlfn.CONCAT(Instructions!C74,Instructions!A74,"_",TEXT(Instructions!B74,"YYYYMMDD"),"_1_",INDEX(Table1[], MATCH(1,(Table1[Estuary]=Instructions!C74)*(Table1[StationNumber]=Instructions!D74)*(Instructions!B74&gt;Table1[StartDate])*(Instructions!B74&lt;Table1[EndDate]),0),1),"_1_",Instructions!E74,"_",Instructions!F74)</f>
        <v>TBSRVY_20190924_1_0291_1_02_016</v>
      </c>
      <c r="B67" t="str" cm="1">
        <f t="array" ref="B67">_xlfn.CONCAT(Instructions!C74,Instructions!A74,"_",TEXT(Instructions!B74,"YYYYMMDD"),"_1_",INDEX(Table1[], MATCH(1,(Table1[Estuary]=Instructions!C74)*(Table1[StationNumber]=Instructions!D74)*(Instructions!B74&gt;Table1[StartDate])*(Instructions!B74&lt;Table1[EndDate]),0),1),"_1_",Instructions!E74)</f>
        <v>TBSRVY_20190924_1_0291_1_02</v>
      </c>
      <c r="C67">
        <f>Instructions!G74</f>
        <v>27</v>
      </c>
      <c r="D67" t="str">
        <f>IF(ISBLANK(Instructions!H74),"",Instructions!H74)</f>
        <v>Entered</v>
      </c>
      <c r="E67" s="1">
        <f>IF(ISBLANK(Instructions!I74),"",Instructions!I74)</f>
        <v>45646</v>
      </c>
      <c r="F67" t="str">
        <f>IF(ISBLANK(Instructions!J74),"",Instructions!J74)</f>
        <v>Erica Williams</v>
      </c>
      <c r="G67" s="1" t="str">
        <f>IF(ISBLANK(Instructions!K74),"",Instructions!K74)</f>
        <v/>
      </c>
      <c r="H67" t="str">
        <f>IF(ISBLANK(Instructions!L74),"",Instructions!L74)</f>
        <v/>
      </c>
      <c r="I67" t="str">
        <f t="shared" ref="I67:J130" si="3">"NULL"</f>
        <v>NULL</v>
      </c>
      <c r="J67" t="str">
        <f t="shared" si="3"/>
        <v>NULL</v>
      </c>
      <c r="K67" t="str">
        <f>Instructions!M74</f>
        <v>Added via SMSS</v>
      </c>
      <c r="L67" t="str">
        <f t="shared" si="1"/>
        <v>NULL</v>
      </c>
    </row>
    <row r="68" spans="1:12" x14ac:dyDescent="0.25">
      <c r="A68" t="str" cm="1">
        <f t="array" ref="A68">_xlfn.CONCAT(Instructions!C75,Instructions!A75,"_",TEXT(Instructions!B75,"YYYYMMDD"),"_1_",INDEX(Table1[], MATCH(1,(Table1[Estuary]=Instructions!C75)*(Table1[StationNumber]=Instructions!D75)*(Instructions!B75&gt;Table1[StartDate])*(Instructions!B75&lt;Table1[EndDate]),0),1),"_1_",Instructions!E75,"_",Instructions!F75)</f>
        <v>TBSRVY_20190924_1_0291_1_02_017</v>
      </c>
      <c r="B68" t="str" cm="1">
        <f t="array" ref="B68">_xlfn.CONCAT(Instructions!C75,Instructions!A75,"_",TEXT(Instructions!B75,"YYYYMMDD"),"_1_",INDEX(Table1[], MATCH(1,(Table1[Estuary]=Instructions!C75)*(Table1[StationNumber]=Instructions!D75)*(Instructions!B75&gt;Table1[StartDate])*(Instructions!B75&lt;Table1[EndDate]),0),1),"_1_",Instructions!E75)</f>
        <v>TBSRVY_20190924_1_0291_1_02</v>
      </c>
      <c r="C68">
        <f>Instructions!G75</f>
        <v>18</v>
      </c>
      <c r="D68" t="str">
        <f>IF(ISBLANK(Instructions!H75),"",Instructions!H75)</f>
        <v>Entered</v>
      </c>
      <c r="E68" s="1">
        <f>IF(ISBLANK(Instructions!I75),"",Instructions!I75)</f>
        <v>45646</v>
      </c>
      <c r="F68" t="str">
        <f>IF(ISBLANK(Instructions!J75),"",Instructions!J75)</f>
        <v>Erica Williams</v>
      </c>
      <c r="G68" s="1" t="str">
        <f>IF(ISBLANK(Instructions!K75),"",Instructions!K75)</f>
        <v/>
      </c>
      <c r="H68" t="str">
        <f>IF(ISBLANK(Instructions!L75),"",Instructions!L75)</f>
        <v/>
      </c>
      <c r="I68" t="str">
        <f t="shared" si="3"/>
        <v>NULL</v>
      </c>
      <c r="J68" t="str">
        <f t="shared" si="3"/>
        <v>NULL</v>
      </c>
      <c r="K68" t="str">
        <f>Instructions!M75</f>
        <v>Added via SMSS</v>
      </c>
      <c r="L68" t="str">
        <f t="shared" si="1"/>
        <v>NULL</v>
      </c>
    </row>
    <row r="69" spans="1:12" x14ac:dyDescent="0.25">
      <c r="A69" t="str" cm="1">
        <f t="array" ref="A69">_xlfn.CONCAT(Instructions!C76,Instructions!A76,"_",TEXT(Instructions!B76,"YYYYMMDD"),"_1_",INDEX(Table1[], MATCH(1,(Table1[Estuary]=Instructions!C76)*(Table1[StationNumber]=Instructions!D76)*(Instructions!B76&gt;Table1[StartDate])*(Instructions!B76&lt;Table1[EndDate]),0),1),"_1_",Instructions!E76,"_",Instructions!F76)</f>
        <v>TBSRVY_20190924_1_0291_1_02_018</v>
      </c>
      <c r="B69" t="str" cm="1">
        <f t="array" ref="B69">_xlfn.CONCAT(Instructions!C76,Instructions!A76,"_",TEXT(Instructions!B76,"YYYYMMDD"),"_1_",INDEX(Table1[], MATCH(1,(Table1[Estuary]=Instructions!C76)*(Table1[StationNumber]=Instructions!D76)*(Instructions!B76&gt;Table1[StartDate])*(Instructions!B76&lt;Table1[EndDate]),0),1),"_1_",Instructions!E76)</f>
        <v>TBSRVY_20190924_1_0291_1_02</v>
      </c>
      <c r="C69">
        <f>Instructions!G76</f>
        <v>25</v>
      </c>
      <c r="D69" t="str">
        <f>IF(ISBLANK(Instructions!H76),"",Instructions!H76)</f>
        <v>Entered</v>
      </c>
      <c r="E69" s="1">
        <f>IF(ISBLANK(Instructions!I76),"",Instructions!I76)</f>
        <v>45646</v>
      </c>
      <c r="F69" t="str">
        <f>IF(ISBLANK(Instructions!J76),"",Instructions!J76)</f>
        <v>Erica Williams</v>
      </c>
      <c r="G69" s="1" t="str">
        <f>IF(ISBLANK(Instructions!K76),"",Instructions!K76)</f>
        <v/>
      </c>
      <c r="H69" t="str">
        <f>IF(ISBLANK(Instructions!L76),"",Instructions!L76)</f>
        <v/>
      </c>
      <c r="I69" t="str">
        <f t="shared" si="3"/>
        <v>NULL</v>
      </c>
      <c r="J69" t="str">
        <f t="shared" si="3"/>
        <v>NULL</v>
      </c>
      <c r="K69" t="str">
        <f>Instructions!M76</f>
        <v>Added via SMSS</v>
      </c>
      <c r="L69" t="str">
        <f t="shared" si="1"/>
        <v>NULL</v>
      </c>
    </row>
    <row r="70" spans="1:12" x14ac:dyDescent="0.25">
      <c r="A70" t="str" cm="1">
        <f t="array" ref="A70">_xlfn.CONCAT(Instructions!C77,Instructions!A77,"_",TEXT(Instructions!B77,"YYYYMMDD"),"_1_",INDEX(Table1[], MATCH(1,(Table1[Estuary]=Instructions!C77)*(Table1[StationNumber]=Instructions!D77)*(Instructions!B77&gt;Table1[StartDate])*(Instructions!B77&lt;Table1[EndDate]),0),1),"_1_",Instructions!E77,"_",Instructions!F77)</f>
        <v>TBSRVY_20190924_1_0291_1_02_019</v>
      </c>
      <c r="B70" t="str" cm="1">
        <f t="array" ref="B70">_xlfn.CONCAT(Instructions!C77,Instructions!A77,"_",TEXT(Instructions!B77,"YYYYMMDD"),"_1_",INDEX(Table1[], MATCH(1,(Table1[Estuary]=Instructions!C77)*(Table1[StationNumber]=Instructions!D77)*(Instructions!B77&gt;Table1[StartDate])*(Instructions!B77&lt;Table1[EndDate]),0),1),"_1_",Instructions!E77)</f>
        <v>TBSRVY_20190924_1_0291_1_02</v>
      </c>
      <c r="C70">
        <f>Instructions!G77</f>
        <v>16</v>
      </c>
      <c r="D70" t="str">
        <f>IF(ISBLANK(Instructions!H77),"",Instructions!H77)</f>
        <v>Entered</v>
      </c>
      <c r="E70" s="1">
        <f>IF(ISBLANK(Instructions!I77),"",Instructions!I77)</f>
        <v>45646</v>
      </c>
      <c r="F70" t="str">
        <f>IF(ISBLANK(Instructions!J77),"",Instructions!J77)</f>
        <v>Erica Williams</v>
      </c>
      <c r="G70" s="1" t="str">
        <f>IF(ISBLANK(Instructions!K77),"",Instructions!K77)</f>
        <v/>
      </c>
      <c r="H70" t="str">
        <f>IF(ISBLANK(Instructions!L77),"",Instructions!L77)</f>
        <v/>
      </c>
      <c r="I70" t="str">
        <f t="shared" si="3"/>
        <v>NULL</v>
      </c>
      <c r="J70" t="str">
        <f t="shared" si="3"/>
        <v>NULL</v>
      </c>
      <c r="K70" t="str">
        <f>Instructions!M77</f>
        <v>Added via SMSS</v>
      </c>
      <c r="L70" t="str">
        <f t="shared" si="1"/>
        <v>NULL</v>
      </c>
    </row>
    <row r="71" spans="1:12" x14ac:dyDescent="0.25">
      <c r="A71" t="str" cm="1">
        <f t="array" ref="A71">_xlfn.CONCAT(Instructions!C78,Instructions!A78,"_",TEXT(Instructions!B78,"YYYYMMDD"),"_1_",INDEX(Table1[], MATCH(1,(Table1[Estuary]=Instructions!C78)*(Table1[StationNumber]=Instructions!D78)*(Instructions!B78&gt;Table1[StartDate])*(Instructions!B78&lt;Table1[EndDate]),0),1),"_1_",Instructions!E78,"_",Instructions!F78)</f>
        <v>TBSRVY_20190924_1_0291_1_02_020</v>
      </c>
      <c r="B71" t="str" cm="1">
        <f t="array" ref="B71">_xlfn.CONCAT(Instructions!C78,Instructions!A78,"_",TEXT(Instructions!B78,"YYYYMMDD"),"_1_",INDEX(Table1[], MATCH(1,(Table1[Estuary]=Instructions!C78)*(Table1[StationNumber]=Instructions!D78)*(Instructions!B78&gt;Table1[StartDate])*(Instructions!B78&lt;Table1[EndDate]),0),1),"_1_",Instructions!E78)</f>
        <v>TBSRVY_20190924_1_0291_1_02</v>
      </c>
      <c r="C71">
        <f>Instructions!G78</f>
        <v>65</v>
      </c>
      <c r="D71" t="str">
        <f>IF(ISBLANK(Instructions!H78),"",Instructions!H78)</f>
        <v>Entered</v>
      </c>
      <c r="E71" s="1">
        <f>IF(ISBLANK(Instructions!I78),"",Instructions!I78)</f>
        <v>45646</v>
      </c>
      <c r="F71" t="str">
        <f>IF(ISBLANK(Instructions!J78),"",Instructions!J78)</f>
        <v>Erica Williams</v>
      </c>
      <c r="G71" s="1" t="str">
        <f>IF(ISBLANK(Instructions!K78),"",Instructions!K78)</f>
        <v/>
      </c>
      <c r="H71" t="str">
        <f>IF(ISBLANK(Instructions!L78),"",Instructions!L78)</f>
        <v/>
      </c>
      <c r="I71" t="str">
        <f t="shared" si="3"/>
        <v>NULL</v>
      </c>
      <c r="J71" t="str">
        <f t="shared" si="3"/>
        <v>NULL</v>
      </c>
      <c r="K71" t="str">
        <f>Instructions!M78</f>
        <v>Added via SMSS</v>
      </c>
      <c r="L71" t="str">
        <f t="shared" si="1"/>
        <v>NULL</v>
      </c>
    </row>
    <row r="72" spans="1:12" x14ac:dyDescent="0.25">
      <c r="A72" t="str" cm="1">
        <f t="array" ref="A72">_xlfn.CONCAT(Instructions!C79,Instructions!A79,"_",TEXT(Instructions!B79,"YYYYMMDD"),"_1_",INDEX(Table1[], MATCH(1,(Table1[Estuary]=Instructions!C79)*(Table1[StationNumber]=Instructions!D79)*(Instructions!B79&gt;Table1[StartDate])*(Instructions!B79&lt;Table1[EndDate]),0),1),"_1_",Instructions!E79,"_",Instructions!F79)</f>
        <v>TBSRVY_20190924_1_0291_1_02_021</v>
      </c>
      <c r="B72" t="str" cm="1">
        <f t="array" ref="B72">_xlfn.CONCAT(Instructions!C79,Instructions!A79,"_",TEXT(Instructions!B79,"YYYYMMDD"),"_1_",INDEX(Table1[], MATCH(1,(Table1[Estuary]=Instructions!C79)*(Table1[StationNumber]=Instructions!D79)*(Instructions!B79&gt;Table1[StartDate])*(Instructions!B79&lt;Table1[EndDate]),0),1),"_1_",Instructions!E79)</f>
        <v>TBSRVY_20190924_1_0291_1_02</v>
      </c>
      <c r="C72">
        <f>Instructions!G79</f>
        <v>25</v>
      </c>
      <c r="D72" t="str">
        <f>IF(ISBLANK(Instructions!H79),"",Instructions!H79)</f>
        <v>Entered</v>
      </c>
      <c r="E72" s="1">
        <f>IF(ISBLANK(Instructions!I79),"",Instructions!I79)</f>
        <v>45646</v>
      </c>
      <c r="F72" t="str">
        <f>IF(ISBLANK(Instructions!J79),"",Instructions!J79)</f>
        <v>Erica Williams</v>
      </c>
      <c r="G72" s="1" t="str">
        <f>IF(ISBLANK(Instructions!K79),"",Instructions!K79)</f>
        <v/>
      </c>
      <c r="H72" t="str">
        <f>IF(ISBLANK(Instructions!L79),"",Instructions!L79)</f>
        <v/>
      </c>
      <c r="I72" t="str">
        <f t="shared" si="3"/>
        <v>NULL</v>
      </c>
      <c r="J72" t="str">
        <f t="shared" si="3"/>
        <v>NULL</v>
      </c>
      <c r="K72" t="str">
        <f>Instructions!M79</f>
        <v>Added via SMSS</v>
      </c>
      <c r="L72" t="str">
        <f t="shared" si="1"/>
        <v>NULL</v>
      </c>
    </row>
    <row r="73" spans="1:12" x14ac:dyDescent="0.25">
      <c r="A73" t="str" cm="1">
        <f t="array" ref="A73">_xlfn.CONCAT(Instructions!C80,Instructions!A80,"_",TEXT(Instructions!B80,"YYYYMMDD"),"_1_",INDEX(Table1[], MATCH(1,(Table1[Estuary]=Instructions!C80)*(Table1[StationNumber]=Instructions!D80)*(Instructions!B80&gt;Table1[StartDate])*(Instructions!B80&lt;Table1[EndDate]),0),1),"_1_",Instructions!E80,"_",Instructions!F80)</f>
        <v>TBSRVY_20190924_1_0291_1_02_022</v>
      </c>
      <c r="B73" t="str" cm="1">
        <f t="array" ref="B73">_xlfn.CONCAT(Instructions!C80,Instructions!A80,"_",TEXT(Instructions!B80,"YYYYMMDD"),"_1_",INDEX(Table1[], MATCH(1,(Table1[Estuary]=Instructions!C80)*(Table1[StationNumber]=Instructions!D80)*(Instructions!B80&gt;Table1[StartDate])*(Instructions!B80&lt;Table1[EndDate]),0),1),"_1_",Instructions!E80)</f>
        <v>TBSRVY_20190924_1_0291_1_02</v>
      </c>
      <c r="C73">
        <f>Instructions!G80</f>
        <v>56</v>
      </c>
      <c r="D73" t="str">
        <f>IF(ISBLANK(Instructions!H80),"",Instructions!H80)</f>
        <v>Entered</v>
      </c>
      <c r="E73" s="1">
        <f>IF(ISBLANK(Instructions!I80),"",Instructions!I80)</f>
        <v>45646</v>
      </c>
      <c r="F73" t="str">
        <f>IF(ISBLANK(Instructions!J80),"",Instructions!J80)</f>
        <v>Erica Williams</v>
      </c>
      <c r="G73" s="1" t="str">
        <f>IF(ISBLANK(Instructions!K80),"",Instructions!K80)</f>
        <v/>
      </c>
      <c r="H73" t="str">
        <f>IF(ISBLANK(Instructions!L80),"",Instructions!L80)</f>
        <v/>
      </c>
      <c r="I73" t="str">
        <f t="shared" si="3"/>
        <v>NULL</v>
      </c>
      <c r="J73" t="str">
        <f t="shared" si="3"/>
        <v>NULL</v>
      </c>
      <c r="K73" t="str">
        <f>Instructions!M80</f>
        <v>Added via SMSS</v>
      </c>
      <c r="L73" t="str">
        <f t="shared" si="1"/>
        <v>NULL</v>
      </c>
    </row>
    <row r="74" spans="1:12" x14ac:dyDescent="0.25">
      <c r="A74" t="str" cm="1">
        <f t="array" ref="A74">_xlfn.CONCAT(Instructions!C81,Instructions!A81,"_",TEXT(Instructions!B81,"YYYYMMDD"),"_1_",INDEX(Table1[], MATCH(1,(Table1[Estuary]=Instructions!C81)*(Table1[StationNumber]=Instructions!D81)*(Instructions!B81&gt;Table1[StartDate])*(Instructions!B81&lt;Table1[EndDate]),0),1),"_1_",Instructions!E81,"_",Instructions!F81)</f>
        <v>TBSRVY_20190924_1_0291_1_02_023</v>
      </c>
      <c r="B74" t="str" cm="1">
        <f t="array" ref="B74">_xlfn.CONCAT(Instructions!C81,Instructions!A81,"_",TEXT(Instructions!B81,"YYYYMMDD"),"_1_",INDEX(Table1[], MATCH(1,(Table1[Estuary]=Instructions!C81)*(Table1[StationNumber]=Instructions!D81)*(Instructions!B81&gt;Table1[StartDate])*(Instructions!B81&lt;Table1[EndDate]),0),1),"_1_",Instructions!E81)</f>
        <v>TBSRVY_20190924_1_0291_1_02</v>
      </c>
      <c r="C74">
        <f>Instructions!G81</f>
        <v>26</v>
      </c>
      <c r="D74" t="str">
        <f>IF(ISBLANK(Instructions!H81),"",Instructions!H81)</f>
        <v>Entered</v>
      </c>
      <c r="E74" s="1">
        <f>IF(ISBLANK(Instructions!I81),"",Instructions!I81)</f>
        <v>45646</v>
      </c>
      <c r="F74" t="str">
        <f>IF(ISBLANK(Instructions!J81),"",Instructions!J81)</f>
        <v>Erica Williams</v>
      </c>
      <c r="G74" s="1" t="str">
        <f>IF(ISBLANK(Instructions!K81),"",Instructions!K81)</f>
        <v/>
      </c>
      <c r="H74" t="str">
        <f>IF(ISBLANK(Instructions!L81),"",Instructions!L81)</f>
        <v/>
      </c>
      <c r="I74" t="str">
        <f t="shared" si="3"/>
        <v>NULL</v>
      </c>
      <c r="J74" t="str">
        <f t="shared" si="3"/>
        <v>NULL</v>
      </c>
      <c r="K74" t="str">
        <f>Instructions!M81</f>
        <v>Added via SMSS</v>
      </c>
      <c r="L74" t="str">
        <f t="shared" si="1"/>
        <v>NULL</v>
      </c>
    </row>
    <row r="75" spans="1:12" x14ac:dyDescent="0.25">
      <c r="A75" t="str" cm="1">
        <f t="array" ref="A75">_xlfn.CONCAT(Instructions!C82,Instructions!A82,"_",TEXT(Instructions!B82,"YYYYMMDD"),"_1_",INDEX(Table1[], MATCH(1,(Table1[Estuary]=Instructions!C82)*(Table1[StationNumber]=Instructions!D82)*(Instructions!B82&gt;Table1[StartDate])*(Instructions!B82&lt;Table1[EndDate]),0),1),"_1_",Instructions!E82,"_",Instructions!F82)</f>
        <v>TBSRVY_20190924_1_0291_1_02_024</v>
      </c>
      <c r="B75" t="str" cm="1">
        <f t="array" ref="B75">_xlfn.CONCAT(Instructions!C82,Instructions!A82,"_",TEXT(Instructions!B82,"YYYYMMDD"),"_1_",INDEX(Table1[], MATCH(1,(Table1[Estuary]=Instructions!C82)*(Table1[StationNumber]=Instructions!D82)*(Instructions!B82&gt;Table1[StartDate])*(Instructions!B82&lt;Table1[EndDate]),0),1),"_1_",Instructions!E82)</f>
        <v>TBSRVY_20190924_1_0291_1_02</v>
      </c>
      <c r="C75">
        <f>Instructions!G82</f>
        <v>18</v>
      </c>
      <c r="D75" t="str">
        <f>IF(ISBLANK(Instructions!H82),"",Instructions!H82)</f>
        <v>Entered</v>
      </c>
      <c r="E75" s="1">
        <f>IF(ISBLANK(Instructions!I82),"",Instructions!I82)</f>
        <v>45646</v>
      </c>
      <c r="F75" t="str">
        <f>IF(ISBLANK(Instructions!J82),"",Instructions!J82)</f>
        <v>Erica Williams</v>
      </c>
      <c r="G75" s="1" t="str">
        <f>IF(ISBLANK(Instructions!K82),"",Instructions!K82)</f>
        <v/>
      </c>
      <c r="H75" t="str">
        <f>IF(ISBLANK(Instructions!L82),"",Instructions!L82)</f>
        <v/>
      </c>
      <c r="I75" t="str">
        <f t="shared" si="3"/>
        <v>NULL</v>
      </c>
      <c r="J75" t="str">
        <f t="shared" si="3"/>
        <v>NULL</v>
      </c>
      <c r="K75" t="str">
        <f>Instructions!M82</f>
        <v>Added via SMSS</v>
      </c>
      <c r="L75" t="str">
        <f t="shared" si="1"/>
        <v>NULL</v>
      </c>
    </row>
    <row r="76" spans="1:12" x14ac:dyDescent="0.25">
      <c r="A76" t="str" cm="1">
        <f t="array" ref="A76">_xlfn.CONCAT(Instructions!C83,Instructions!A83,"_",TEXT(Instructions!B83,"YYYYMMDD"),"_1_",INDEX(Table1[], MATCH(1,(Table1[Estuary]=Instructions!C83)*(Table1[StationNumber]=Instructions!D83)*(Instructions!B83&gt;Table1[StartDate])*(Instructions!B83&lt;Table1[EndDate]),0),1),"_1_",Instructions!E83,"_",Instructions!F83)</f>
        <v>TBSRVY_20190924_1_0291_1_02_025</v>
      </c>
      <c r="B76" t="str" cm="1">
        <f t="array" ref="B76">_xlfn.CONCAT(Instructions!C83,Instructions!A83,"_",TEXT(Instructions!B83,"YYYYMMDD"),"_1_",INDEX(Table1[], MATCH(1,(Table1[Estuary]=Instructions!C83)*(Table1[StationNumber]=Instructions!D83)*(Instructions!B83&gt;Table1[StartDate])*(Instructions!B83&lt;Table1[EndDate]),0),1),"_1_",Instructions!E83)</f>
        <v>TBSRVY_20190924_1_0291_1_02</v>
      </c>
      <c r="C76">
        <f>Instructions!G83</f>
        <v>31</v>
      </c>
      <c r="D76" t="str">
        <f>IF(ISBLANK(Instructions!H83),"",Instructions!H83)</f>
        <v>Entered</v>
      </c>
      <c r="E76" s="1">
        <f>IF(ISBLANK(Instructions!I83),"",Instructions!I83)</f>
        <v>45646</v>
      </c>
      <c r="F76" t="str">
        <f>IF(ISBLANK(Instructions!J83),"",Instructions!J83)</f>
        <v>Erica Williams</v>
      </c>
      <c r="G76" s="1" t="str">
        <f>IF(ISBLANK(Instructions!K83),"",Instructions!K83)</f>
        <v/>
      </c>
      <c r="H76" t="str">
        <f>IF(ISBLANK(Instructions!L83),"",Instructions!L83)</f>
        <v/>
      </c>
      <c r="I76" t="str">
        <f t="shared" si="3"/>
        <v>NULL</v>
      </c>
      <c r="J76" t="str">
        <f t="shared" si="3"/>
        <v>NULL</v>
      </c>
      <c r="K76" t="str">
        <f>Instructions!M83</f>
        <v>Added via SMSS</v>
      </c>
      <c r="L76" t="str">
        <f t="shared" si="1"/>
        <v>NULL</v>
      </c>
    </row>
    <row r="77" spans="1:12" x14ac:dyDescent="0.25">
      <c r="A77" t="str" cm="1">
        <f t="array" ref="A77">_xlfn.CONCAT(Instructions!C84,Instructions!A84,"_",TEXT(Instructions!B84,"YYYYMMDD"),"_1_",INDEX(Table1[], MATCH(1,(Table1[Estuary]=Instructions!C84)*(Table1[StationNumber]=Instructions!D84)*(Instructions!B84&gt;Table1[StartDate])*(Instructions!B84&lt;Table1[EndDate]),0),1),"_1_",Instructions!E84,"_",Instructions!F84)</f>
        <v>TBSRVY_20190924_1_0291_1_02_026</v>
      </c>
      <c r="B77" t="str" cm="1">
        <f t="array" ref="B77">_xlfn.CONCAT(Instructions!C84,Instructions!A84,"_",TEXT(Instructions!B84,"YYYYMMDD"),"_1_",INDEX(Table1[], MATCH(1,(Table1[Estuary]=Instructions!C84)*(Table1[StationNumber]=Instructions!D84)*(Instructions!B84&gt;Table1[StartDate])*(Instructions!B84&lt;Table1[EndDate]),0),1),"_1_",Instructions!E84)</f>
        <v>TBSRVY_20190924_1_0291_1_02</v>
      </c>
      <c r="C77">
        <f>Instructions!G84</f>
        <v>62</v>
      </c>
      <c r="D77" t="str">
        <f>IF(ISBLANK(Instructions!H84),"",Instructions!H84)</f>
        <v>Entered</v>
      </c>
      <c r="E77" s="1">
        <f>IF(ISBLANK(Instructions!I84),"",Instructions!I84)</f>
        <v>45646</v>
      </c>
      <c r="F77" t="str">
        <f>IF(ISBLANK(Instructions!J84),"",Instructions!J84)</f>
        <v>Erica Williams</v>
      </c>
      <c r="G77" s="1" t="str">
        <f>IF(ISBLANK(Instructions!K84),"",Instructions!K84)</f>
        <v/>
      </c>
      <c r="H77" t="str">
        <f>IF(ISBLANK(Instructions!L84),"",Instructions!L84)</f>
        <v/>
      </c>
      <c r="I77" t="str">
        <f t="shared" si="3"/>
        <v>NULL</v>
      </c>
      <c r="J77" t="str">
        <f t="shared" si="3"/>
        <v>NULL</v>
      </c>
      <c r="K77" t="str">
        <f>Instructions!M84</f>
        <v>Added via SMSS</v>
      </c>
      <c r="L77" t="str">
        <f t="shared" si="1"/>
        <v>NULL</v>
      </c>
    </row>
    <row r="78" spans="1:12" x14ac:dyDescent="0.25">
      <c r="A78" t="str" cm="1">
        <f t="array" ref="A78">_xlfn.CONCAT(Instructions!C85,Instructions!A85,"_",TEXT(Instructions!B85,"YYYYMMDD"),"_1_",INDEX(Table1[], MATCH(1,(Table1[Estuary]=Instructions!C85)*(Table1[StationNumber]=Instructions!D85)*(Instructions!B85&gt;Table1[StartDate])*(Instructions!B85&lt;Table1[EndDate]),0),1),"_1_",Instructions!E85,"_",Instructions!F85)</f>
        <v>TBSRVY_20190924_1_0291_1_02_027</v>
      </c>
      <c r="B78" t="str" cm="1">
        <f t="array" ref="B78">_xlfn.CONCAT(Instructions!C85,Instructions!A85,"_",TEXT(Instructions!B85,"YYYYMMDD"),"_1_",INDEX(Table1[], MATCH(1,(Table1[Estuary]=Instructions!C85)*(Table1[StationNumber]=Instructions!D85)*(Instructions!B85&gt;Table1[StartDate])*(Instructions!B85&lt;Table1[EndDate]),0),1),"_1_",Instructions!E85)</f>
        <v>TBSRVY_20190924_1_0291_1_02</v>
      </c>
      <c r="C78">
        <f>Instructions!G85</f>
        <v>30</v>
      </c>
      <c r="D78" t="str">
        <f>IF(ISBLANK(Instructions!H85),"",Instructions!H85)</f>
        <v>Entered</v>
      </c>
      <c r="E78" s="1">
        <f>IF(ISBLANK(Instructions!I85),"",Instructions!I85)</f>
        <v>45646</v>
      </c>
      <c r="F78" t="str">
        <f>IF(ISBLANK(Instructions!J85),"",Instructions!J85)</f>
        <v>Erica Williams</v>
      </c>
      <c r="G78" s="1" t="str">
        <f>IF(ISBLANK(Instructions!K85),"",Instructions!K85)</f>
        <v/>
      </c>
      <c r="H78" t="str">
        <f>IF(ISBLANK(Instructions!L85),"",Instructions!L85)</f>
        <v/>
      </c>
      <c r="I78" t="str">
        <f t="shared" si="3"/>
        <v>NULL</v>
      </c>
      <c r="J78" t="str">
        <f t="shared" si="3"/>
        <v>NULL</v>
      </c>
      <c r="K78" t="str">
        <f>Instructions!M85</f>
        <v>Added via SMSS</v>
      </c>
      <c r="L78" t="str">
        <f t="shared" si="1"/>
        <v>NULL</v>
      </c>
    </row>
    <row r="79" spans="1:12" x14ac:dyDescent="0.25">
      <c r="A79" t="str" cm="1">
        <f t="array" ref="A79">_xlfn.CONCAT(Instructions!C86,Instructions!A86,"_",TEXT(Instructions!B86,"YYYYMMDD"),"_1_",INDEX(Table1[], MATCH(1,(Table1[Estuary]=Instructions!C86)*(Table1[StationNumber]=Instructions!D86)*(Instructions!B86&gt;Table1[StartDate])*(Instructions!B86&lt;Table1[EndDate]),0),1),"_1_",Instructions!E86,"_",Instructions!F86)</f>
        <v>TBSRVY_20190924_1_0291_1_02_028</v>
      </c>
      <c r="B79" t="str" cm="1">
        <f t="array" ref="B79">_xlfn.CONCAT(Instructions!C86,Instructions!A86,"_",TEXT(Instructions!B86,"YYYYMMDD"),"_1_",INDEX(Table1[], MATCH(1,(Table1[Estuary]=Instructions!C86)*(Table1[StationNumber]=Instructions!D86)*(Instructions!B86&gt;Table1[StartDate])*(Instructions!B86&lt;Table1[EndDate]),0),1),"_1_",Instructions!E86)</f>
        <v>TBSRVY_20190924_1_0291_1_02</v>
      </c>
      <c r="C79">
        <f>Instructions!G86</f>
        <v>10</v>
      </c>
      <c r="D79" t="str">
        <f>IF(ISBLANK(Instructions!H86),"",Instructions!H86)</f>
        <v>Entered</v>
      </c>
      <c r="E79" s="1">
        <f>IF(ISBLANK(Instructions!I86),"",Instructions!I86)</f>
        <v>45646</v>
      </c>
      <c r="F79" t="str">
        <f>IF(ISBLANK(Instructions!J86),"",Instructions!J86)</f>
        <v>Erica Williams</v>
      </c>
      <c r="G79" s="1" t="str">
        <f>IF(ISBLANK(Instructions!K86),"",Instructions!K86)</f>
        <v/>
      </c>
      <c r="H79" t="str">
        <f>IF(ISBLANK(Instructions!L86),"",Instructions!L86)</f>
        <v/>
      </c>
      <c r="I79" t="str">
        <f t="shared" si="3"/>
        <v>NULL</v>
      </c>
      <c r="J79" t="str">
        <f t="shared" si="3"/>
        <v>NULL</v>
      </c>
      <c r="K79" t="str">
        <f>Instructions!M86</f>
        <v>Added via SMSS</v>
      </c>
      <c r="L79" t="str">
        <f t="shared" si="1"/>
        <v>NULL</v>
      </c>
    </row>
    <row r="80" spans="1:12" x14ac:dyDescent="0.25">
      <c r="A80" t="str" cm="1">
        <f t="array" ref="A80">_xlfn.CONCAT(Instructions!C87,Instructions!A87,"_",TEXT(Instructions!B87,"YYYYMMDD"),"_1_",INDEX(Table1[], MATCH(1,(Table1[Estuary]=Instructions!C87)*(Table1[StationNumber]=Instructions!D87)*(Instructions!B87&gt;Table1[StartDate])*(Instructions!B87&lt;Table1[EndDate]),0),1),"_1_",Instructions!E87,"_",Instructions!F87)</f>
        <v>TBSRVY_20190924_1_0291_1_02_029</v>
      </c>
      <c r="B80" t="str" cm="1">
        <f t="array" ref="B80">_xlfn.CONCAT(Instructions!C87,Instructions!A87,"_",TEXT(Instructions!B87,"YYYYMMDD"),"_1_",INDEX(Table1[], MATCH(1,(Table1[Estuary]=Instructions!C87)*(Table1[StationNumber]=Instructions!D87)*(Instructions!B87&gt;Table1[StartDate])*(Instructions!B87&lt;Table1[EndDate]),0),1),"_1_",Instructions!E87)</f>
        <v>TBSRVY_20190924_1_0291_1_02</v>
      </c>
      <c r="C80">
        <f>Instructions!G87</f>
        <v>10</v>
      </c>
      <c r="D80" t="str">
        <f>IF(ISBLANK(Instructions!H87),"",Instructions!H87)</f>
        <v>Entered</v>
      </c>
      <c r="E80" s="1">
        <f>IF(ISBLANK(Instructions!I87),"",Instructions!I87)</f>
        <v>45646</v>
      </c>
      <c r="F80" t="str">
        <f>IF(ISBLANK(Instructions!J87),"",Instructions!J87)</f>
        <v>Erica Williams</v>
      </c>
      <c r="G80" s="1" t="str">
        <f>IF(ISBLANK(Instructions!K87),"",Instructions!K87)</f>
        <v/>
      </c>
      <c r="H80" t="str">
        <f>IF(ISBLANK(Instructions!L87),"",Instructions!L87)</f>
        <v/>
      </c>
      <c r="I80" t="str">
        <f t="shared" si="3"/>
        <v>NULL</v>
      </c>
      <c r="J80" t="str">
        <f t="shared" si="3"/>
        <v>NULL</v>
      </c>
      <c r="K80" t="str">
        <f>Instructions!M87</f>
        <v>Added via SMSS</v>
      </c>
      <c r="L80" t="str">
        <f t="shared" si="1"/>
        <v>NULL</v>
      </c>
    </row>
    <row r="81" spans="1:12" x14ac:dyDescent="0.25">
      <c r="A81" t="str" cm="1">
        <f t="array" ref="A81">_xlfn.CONCAT(Instructions!C88,Instructions!A88,"_",TEXT(Instructions!B88,"YYYYMMDD"),"_1_",INDEX(Table1[], MATCH(1,(Table1[Estuary]=Instructions!C88)*(Table1[StationNumber]=Instructions!D88)*(Instructions!B88&gt;Table1[StartDate])*(Instructions!B88&lt;Table1[EndDate]),0),1),"_1_",Instructions!E88,"_",Instructions!F88)</f>
        <v>TBSRVY_20190924_1_0291_1_02_030</v>
      </c>
      <c r="B81" t="str" cm="1">
        <f t="array" ref="B81">_xlfn.CONCAT(Instructions!C88,Instructions!A88,"_",TEXT(Instructions!B88,"YYYYMMDD"),"_1_",INDEX(Table1[], MATCH(1,(Table1[Estuary]=Instructions!C88)*(Table1[StationNumber]=Instructions!D88)*(Instructions!B88&gt;Table1[StartDate])*(Instructions!B88&lt;Table1[EndDate]),0),1),"_1_",Instructions!E88)</f>
        <v>TBSRVY_20190924_1_0291_1_02</v>
      </c>
      <c r="C81">
        <f>Instructions!G88</f>
        <v>12</v>
      </c>
      <c r="D81" t="str">
        <f>IF(ISBLANK(Instructions!H88),"",Instructions!H88)</f>
        <v>Entered</v>
      </c>
      <c r="E81" s="1">
        <f>IF(ISBLANK(Instructions!I88),"",Instructions!I88)</f>
        <v>45646</v>
      </c>
      <c r="F81" t="str">
        <f>IF(ISBLANK(Instructions!J88),"",Instructions!J88)</f>
        <v>Erica Williams</v>
      </c>
      <c r="G81" s="1" t="str">
        <f>IF(ISBLANK(Instructions!K88),"",Instructions!K88)</f>
        <v/>
      </c>
      <c r="H81" t="str">
        <f>IF(ISBLANK(Instructions!L88),"",Instructions!L88)</f>
        <v/>
      </c>
      <c r="I81" t="str">
        <f t="shared" si="3"/>
        <v>NULL</v>
      </c>
      <c r="J81" t="str">
        <f t="shared" si="3"/>
        <v>NULL</v>
      </c>
      <c r="K81" t="str">
        <f>Instructions!M88</f>
        <v>Added via SMSS</v>
      </c>
      <c r="L81" t="str">
        <f t="shared" si="1"/>
        <v>NULL</v>
      </c>
    </row>
    <row r="82" spans="1:12" x14ac:dyDescent="0.25">
      <c r="A82" t="str" cm="1">
        <f t="array" ref="A82">_xlfn.CONCAT(Instructions!C89,Instructions!A89,"_",TEXT(Instructions!B89,"YYYYMMDD"),"_1_",INDEX(Table1[], MATCH(1,(Table1[Estuary]=Instructions!C89)*(Table1[StationNumber]=Instructions!D89)*(Instructions!B89&gt;Table1[StartDate])*(Instructions!B89&lt;Table1[EndDate]),0),1),"_1_",Instructions!E89,"_",Instructions!F89)</f>
        <v>TBSRVY_20190924_1_0291_1_02_031</v>
      </c>
      <c r="B82" t="str" cm="1">
        <f t="array" ref="B82">_xlfn.CONCAT(Instructions!C89,Instructions!A89,"_",TEXT(Instructions!B89,"YYYYMMDD"),"_1_",INDEX(Table1[], MATCH(1,(Table1[Estuary]=Instructions!C89)*(Table1[StationNumber]=Instructions!D89)*(Instructions!B89&gt;Table1[StartDate])*(Instructions!B89&lt;Table1[EndDate]),0),1),"_1_",Instructions!E89)</f>
        <v>TBSRVY_20190924_1_0291_1_02</v>
      </c>
      <c r="C82">
        <f>Instructions!G89</f>
        <v>17</v>
      </c>
      <c r="D82" t="str">
        <f>IF(ISBLANK(Instructions!H89),"",Instructions!H89)</f>
        <v>Entered</v>
      </c>
      <c r="E82" s="1">
        <f>IF(ISBLANK(Instructions!I89),"",Instructions!I89)</f>
        <v>45646</v>
      </c>
      <c r="F82" t="str">
        <f>IF(ISBLANK(Instructions!J89),"",Instructions!J89)</f>
        <v>Erica Williams</v>
      </c>
      <c r="G82" s="1" t="str">
        <f>IF(ISBLANK(Instructions!K89),"",Instructions!K89)</f>
        <v/>
      </c>
      <c r="H82" t="str">
        <f>IF(ISBLANK(Instructions!L89),"",Instructions!L89)</f>
        <v/>
      </c>
      <c r="I82" t="str">
        <f t="shared" si="3"/>
        <v>NULL</v>
      </c>
      <c r="J82" t="str">
        <f t="shared" si="3"/>
        <v>NULL</v>
      </c>
      <c r="K82" t="str">
        <f>Instructions!M89</f>
        <v>Added via SMSS</v>
      </c>
      <c r="L82" t="str">
        <f t="shared" si="1"/>
        <v>NULL</v>
      </c>
    </row>
    <row r="83" spans="1:12" x14ac:dyDescent="0.25">
      <c r="A83" t="str" cm="1">
        <f t="array" ref="A83">_xlfn.CONCAT(Instructions!C90,Instructions!A90,"_",TEXT(Instructions!B90,"YYYYMMDD"),"_1_",INDEX(Table1[], MATCH(1,(Table1[Estuary]=Instructions!C90)*(Table1[StationNumber]=Instructions!D90)*(Instructions!B90&gt;Table1[StartDate])*(Instructions!B90&lt;Table1[EndDate]),0),1),"_1_",Instructions!E90,"_",Instructions!F90)</f>
        <v>TBSRVY_20190924_1_0291_1_02_032</v>
      </c>
      <c r="B83" t="str" cm="1">
        <f t="array" ref="B83">_xlfn.CONCAT(Instructions!C90,Instructions!A90,"_",TEXT(Instructions!B90,"YYYYMMDD"),"_1_",INDEX(Table1[], MATCH(1,(Table1[Estuary]=Instructions!C90)*(Table1[StationNumber]=Instructions!D90)*(Instructions!B90&gt;Table1[StartDate])*(Instructions!B90&lt;Table1[EndDate]),0),1),"_1_",Instructions!E90)</f>
        <v>TBSRVY_20190924_1_0291_1_02</v>
      </c>
      <c r="C83">
        <f>Instructions!G90</f>
        <v>40</v>
      </c>
      <c r="D83" t="str">
        <f>IF(ISBLANK(Instructions!H90),"",Instructions!H90)</f>
        <v>Entered</v>
      </c>
      <c r="E83" s="1">
        <f>IF(ISBLANK(Instructions!I90),"",Instructions!I90)</f>
        <v>45646</v>
      </c>
      <c r="F83" t="str">
        <f>IF(ISBLANK(Instructions!J90),"",Instructions!J90)</f>
        <v>Erica Williams</v>
      </c>
      <c r="G83" s="1" t="str">
        <f>IF(ISBLANK(Instructions!K90),"",Instructions!K90)</f>
        <v/>
      </c>
      <c r="H83" t="str">
        <f>IF(ISBLANK(Instructions!L90),"",Instructions!L90)</f>
        <v/>
      </c>
      <c r="I83" t="str">
        <f t="shared" si="3"/>
        <v>NULL</v>
      </c>
      <c r="J83" t="str">
        <f t="shared" si="3"/>
        <v>NULL</v>
      </c>
      <c r="K83" t="str">
        <f>Instructions!M90</f>
        <v>Added via SMSS</v>
      </c>
      <c r="L83" t="str">
        <f t="shared" si="1"/>
        <v>NULL</v>
      </c>
    </row>
    <row r="84" spans="1:12" x14ac:dyDescent="0.25">
      <c r="A84" t="str" cm="1">
        <f t="array" ref="A84">_xlfn.CONCAT(Instructions!C91,Instructions!A91,"_",TEXT(Instructions!B91,"YYYYMMDD"),"_1_",INDEX(Table1[], MATCH(1,(Table1[Estuary]=Instructions!C91)*(Table1[StationNumber]=Instructions!D91)*(Instructions!B91&gt;Table1[StartDate])*(Instructions!B91&lt;Table1[EndDate]),0),1),"_1_",Instructions!E91,"_",Instructions!F91)</f>
        <v>TBSRVY_20190924_1_0291_1_02_033</v>
      </c>
      <c r="B84" t="str" cm="1">
        <f t="array" ref="B84">_xlfn.CONCAT(Instructions!C91,Instructions!A91,"_",TEXT(Instructions!B91,"YYYYMMDD"),"_1_",INDEX(Table1[], MATCH(1,(Table1[Estuary]=Instructions!C91)*(Table1[StationNumber]=Instructions!D91)*(Instructions!B91&gt;Table1[StartDate])*(Instructions!B91&lt;Table1[EndDate]),0),1),"_1_",Instructions!E91)</f>
        <v>TBSRVY_20190924_1_0291_1_02</v>
      </c>
      <c r="C84">
        <f>Instructions!G91</f>
        <v>33</v>
      </c>
      <c r="D84" t="str">
        <f>IF(ISBLANK(Instructions!H91),"",Instructions!H91)</f>
        <v>Entered</v>
      </c>
      <c r="E84" s="1">
        <f>IF(ISBLANK(Instructions!I91),"",Instructions!I91)</f>
        <v>45646</v>
      </c>
      <c r="F84" t="str">
        <f>IF(ISBLANK(Instructions!J91),"",Instructions!J91)</f>
        <v>Erica Williams</v>
      </c>
      <c r="G84" s="1" t="str">
        <f>IF(ISBLANK(Instructions!K91),"",Instructions!K91)</f>
        <v/>
      </c>
      <c r="H84" t="str">
        <f>IF(ISBLANK(Instructions!L91),"",Instructions!L91)</f>
        <v/>
      </c>
      <c r="I84" t="str">
        <f t="shared" si="3"/>
        <v>NULL</v>
      </c>
      <c r="J84" t="str">
        <f t="shared" si="3"/>
        <v>NULL</v>
      </c>
      <c r="K84" t="str">
        <f>Instructions!M91</f>
        <v>Added via SMSS</v>
      </c>
      <c r="L84" t="str">
        <f t="shared" si="1"/>
        <v>NULL</v>
      </c>
    </row>
    <row r="85" spans="1:12" x14ac:dyDescent="0.25">
      <c r="A85" t="str" cm="1">
        <f t="array" ref="A85">_xlfn.CONCAT(Instructions!C92,Instructions!A92,"_",TEXT(Instructions!B92,"YYYYMMDD"),"_1_",INDEX(Table1[], MATCH(1,(Table1[Estuary]=Instructions!C92)*(Table1[StationNumber]=Instructions!D92)*(Instructions!B92&gt;Table1[StartDate])*(Instructions!B92&lt;Table1[EndDate]),0),1),"_1_",Instructions!E92,"_",Instructions!F92)</f>
        <v>TBSRVY_20190924_1_0291_1_02_034</v>
      </c>
      <c r="B85" t="str" cm="1">
        <f t="array" ref="B85">_xlfn.CONCAT(Instructions!C92,Instructions!A92,"_",TEXT(Instructions!B92,"YYYYMMDD"),"_1_",INDEX(Table1[], MATCH(1,(Table1[Estuary]=Instructions!C92)*(Table1[StationNumber]=Instructions!D92)*(Instructions!B92&gt;Table1[StartDate])*(Instructions!B92&lt;Table1[EndDate]),0),1),"_1_",Instructions!E92)</f>
        <v>TBSRVY_20190924_1_0291_1_02</v>
      </c>
      <c r="C85">
        <f>Instructions!G92</f>
        <v>27</v>
      </c>
      <c r="D85" t="str">
        <f>IF(ISBLANK(Instructions!H92),"",Instructions!H92)</f>
        <v>Entered</v>
      </c>
      <c r="E85" s="1">
        <f>IF(ISBLANK(Instructions!I92),"",Instructions!I92)</f>
        <v>45646</v>
      </c>
      <c r="F85" t="str">
        <f>IF(ISBLANK(Instructions!J92),"",Instructions!J92)</f>
        <v>Erica Williams</v>
      </c>
      <c r="G85" s="1" t="str">
        <f>IF(ISBLANK(Instructions!K92),"",Instructions!K92)</f>
        <v/>
      </c>
      <c r="H85" t="str">
        <f>IF(ISBLANK(Instructions!L92),"",Instructions!L92)</f>
        <v/>
      </c>
      <c r="I85" t="str">
        <f t="shared" si="3"/>
        <v>NULL</v>
      </c>
      <c r="J85" t="str">
        <f t="shared" si="3"/>
        <v>NULL</v>
      </c>
      <c r="K85" t="str">
        <f>Instructions!M92</f>
        <v>Added via SMSS</v>
      </c>
      <c r="L85" t="str">
        <f t="shared" si="1"/>
        <v>NULL</v>
      </c>
    </row>
    <row r="86" spans="1:12" x14ac:dyDescent="0.25">
      <c r="A86" t="str" cm="1">
        <f t="array" ref="A86">_xlfn.CONCAT(Instructions!C93,Instructions!A93,"_",TEXT(Instructions!B93,"YYYYMMDD"),"_1_",INDEX(Table1[], MATCH(1,(Table1[Estuary]=Instructions!C93)*(Table1[StationNumber]=Instructions!D93)*(Instructions!B93&gt;Table1[StartDate])*(Instructions!B93&lt;Table1[EndDate]),0),1),"_1_",Instructions!E93,"_",Instructions!F93)</f>
        <v>TBSRVY_20190924_1_0291_1_02_035</v>
      </c>
      <c r="B86" t="str" cm="1">
        <f t="array" ref="B86">_xlfn.CONCAT(Instructions!C93,Instructions!A93,"_",TEXT(Instructions!B93,"YYYYMMDD"),"_1_",INDEX(Table1[], MATCH(1,(Table1[Estuary]=Instructions!C93)*(Table1[StationNumber]=Instructions!D93)*(Instructions!B93&gt;Table1[StartDate])*(Instructions!B93&lt;Table1[EndDate]),0),1),"_1_",Instructions!E93)</f>
        <v>TBSRVY_20190924_1_0291_1_02</v>
      </c>
      <c r="C86">
        <f>Instructions!G93</f>
        <v>20</v>
      </c>
      <c r="D86" t="str">
        <f>IF(ISBLANK(Instructions!H93),"",Instructions!H93)</f>
        <v>Entered</v>
      </c>
      <c r="E86" s="1">
        <f>IF(ISBLANK(Instructions!I93),"",Instructions!I93)</f>
        <v>45646</v>
      </c>
      <c r="F86" t="str">
        <f>IF(ISBLANK(Instructions!J93),"",Instructions!J93)</f>
        <v>Erica Williams</v>
      </c>
      <c r="G86" s="1" t="str">
        <f>IF(ISBLANK(Instructions!K93),"",Instructions!K93)</f>
        <v/>
      </c>
      <c r="H86" t="str">
        <f>IF(ISBLANK(Instructions!L93),"",Instructions!L93)</f>
        <v/>
      </c>
      <c r="I86" t="str">
        <f t="shared" si="3"/>
        <v>NULL</v>
      </c>
      <c r="J86" t="str">
        <f t="shared" si="3"/>
        <v>NULL</v>
      </c>
      <c r="K86" t="str">
        <f>Instructions!M93</f>
        <v>Added via SMSS</v>
      </c>
      <c r="L86" t="str">
        <f t="shared" si="1"/>
        <v>NULL</v>
      </c>
    </row>
    <row r="87" spans="1:12" x14ac:dyDescent="0.25">
      <c r="A87" t="str" cm="1">
        <f t="array" ref="A87">_xlfn.CONCAT(Instructions!C94,Instructions!A94,"_",TEXT(Instructions!B94,"YYYYMMDD"),"_1_",INDEX(Table1[], MATCH(1,(Table1[Estuary]=Instructions!C94)*(Table1[StationNumber]=Instructions!D94)*(Instructions!B94&gt;Table1[StartDate])*(Instructions!B94&lt;Table1[EndDate]),0),1),"_1_",Instructions!E94,"_",Instructions!F94)</f>
        <v>TBSRVY_20190924_1_0291_1_02_036</v>
      </c>
      <c r="B87" t="str" cm="1">
        <f t="array" ref="B87">_xlfn.CONCAT(Instructions!C94,Instructions!A94,"_",TEXT(Instructions!B94,"YYYYMMDD"),"_1_",INDEX(Table1[], MATCH(1,(Table1[Estuary]=Instructions!C94)*(Table1[StationNumber]=Instructions!D94)*(Instructions!B94&gt;Table1[StartDate])*(Instructions!B94&lt;Table1[EndDate]),0),1),"_1_",Instructions!E94)</f>
        <v>TBSRVY_20190924_1_0291_1_02</v>
      </c>
      <c r="C87">
        <f>Instructions!G94</f>
        <v>10</v>
      </c>
      <c r="D87" t="str">
        <f>IF(ISBLANK(Instructions!H94),"",Instructions!H94)</f>
        <v>Entered</v>
      </c>
      <c r="E87" s="1">
        <f>IF(ISBLANK(Instructions!I94),"",Instructions!I94)</f>
        <v>45646</v>
      </c>
      <c r="F87" t="str">
        <f>IF(ISBLANK(Instructions!J94),"",Instructions!J94)</f>
        <v>Erica Williams</v>
      </c>
      <c r="G87" s="1" t="str">
        <f>IF(ISBLANK(Instructions!K94),"",Instructions!K94)</f>
        <v/>
      </c>
      <c r="H87" t="str">
        <f>IF(ISBLANK(Instructions!L94),"",Instructions!L94)</f>
        <v/>
      </c>
      <c r="I87" t="str">
        <f t="shared" si="3"/>
        <v>NULL</v>
      </c>
      <c r="J87" t="str">
        <f t="shared" si="3"/>
        <v>NULL</v>
      </c>
      <c r="K87" t="str">
        <f>Instructions!M94</f>
        <v>Added via SMSS</v>
      </c>
      <c r="L87" t="str">
        <f t="shared" si="1"/>
        <v>NULL</v>
      </c>
    </row>
    <row r="88" spans="1:12" x14ac:dyDescent="0.25">
      <c r="A88" t="str" cm="1">
        <f t="array" ref="A88">_xlfn.CONCAT(Instructions!C95,Instructions!A95,"_",TEXT(Instructions!B95,"YYYYMMDD"),"_1_",INDEX(Table1[], MATCH(1,(Table1[Estuary]=Instructions!C95)*(Table1[StationNumber]=Instructions!D95)*(Instructions!B95&gt;Table1[StartDate])*(Instructions!B95&lt;Table1[EndDate]),0),1),"_1_",Instructions!E95,"_",Instructions!F95)</f>
        <v>TBSRVY_20190924_1_0291_1_02_037</v>
      </c>
      <c r="B88" t="str" cm="1">
        <f t="array" ref="B88">_xlfn.CONCAT(Instructions!C95,Instructions!A95,"_",TEXT(Instructions!B95,"YYYYMMDD"),"_1_",INDEX(Table1[], MATCH(1,(Table1[Estuary]=Instructions!C95)*(Table1[StationNumber]=Instructions!D95)*(Instructions!B95&gt;Table1[StartDate])*(Instructions!B95&lt;Table1[EndDate]),0),1),"_1_",Instructions!E95)</f>
        <v>TBSRVY_20190924_1_0291_1_02</v>
      </c>
      <c r="C88">
        <f>Instructions!G95</f>
        <v>26</v>
      </c>
      <c r="D88" t="str">
        <f>IF(ISBLANK(Instructions!H95),"",Instructions!H95)</f>
        <v>Entered</v>
      </c>
      <c r="E88" s="1">
        <f>IF(ISBLANK(Instructions!I95),"",Instructions!I95)</f>
        <v>45646</v>
      </c>
      <c r="F88" t="str">
        <f>IF(ISBLANK(Instructions!J95),"",Instructions!J95)</f>
        <v>Erica Williams</v>
      </c>
      <c r="G88" s="1" t="str">
        <f>IF(ISBLANK(Instructions!K95),"",Instructions!K95)</f>
        <v/>
      </c>
      <c r="H88" t="str">
        <f>IF(ISBLANK(Instructions!L95),"",Instructions!L95)</f>
        <v/>
      </c>
      <c r="I88" t="str">
        <f t="shared" si="3"/>
        <v>NULL</v>
      </c>
      <c r="J88" t="str">
        <f t="shared" si="3"/>
        <v>NULL</v>
      </c>
      <c r="K88" t="str">
        <f>Instructions!M95</f>
        <v>Added via SMSS</v>
      </c>
      <c r="L88" t="str">
        <f t="shared" si="1"/>
        <v>NULL</v>
      </c>
    </row>
    <row r="89" spans="1:12" x14ac:dyDescent="0.25">
      <c r="A89" t="str" cm="1">
        <f t="array" ref="A89">_xlfn.CONCAT(Instructions!C96,Instructions!A96,"_",TEXT(Instructions!B96,"YYYYMMDD"),"_1_",INDEX(Table1[], MATCH(1,(Table1[Estuary]=Instructions!C96)*(Table1[StationNumber]=Instructions!D96)*(Instructions!B96&gt;Table1[StartDate])*(Instructions!B96&lt;Table1[EndDate]),0),1),"_1_",Instructions!E96,"_",Instructions!F96)</f>
        <v>TBSRVY_20190924_1_0291_1_02_038</v>
      </c>
      <c r="B89" t="str" cm="1">
        <f t="array" ref="B89">_xlfn.CONCAT(Instructions!C96,Instructions!A96,"_",TEXT(Instructions!B96,"YYYYMMDD"),"_1_",INDEX(Table1[], MATCH(1,(Table1[Estuary]=Instructions!C96)*(Table1[StationNumber]=Instructions!D96)*(Instructions!B96&gt;Table1[StartDate])*(Instructions!B96&lt;Table1[EndDate]),0),1),"_1_",Instructions!E96)</f>
        <v>TBSRVY_20190924_1_0291_1_02</v>
      </c>
      <c r="C89">
        <f>Instructions!G96</f>
        <v>56</v>
      </c>
      <c r="D89" t="str">
        <f>IF(ISBLANK(Instructions!H96),"",Instructions!H96)</f>
        <v>Entered</v>
      </c>
      <c r="E89" s="1">
        <f>IF(ISBLANK(Instructions!I96),"",Instructions!I96)</f>
        <v>45646</v>
      </c>
      <c r="F89" t="str">
        <f>IF(ISBLANK(Instructions!J96),"",Instructions!J96)</f>
        <v>Erica Williams</v>
      </c>
      <c r="G89" s="1" t="str">
        <f>IF(ISBLANK(Instructions!K96),"",Instructions!K96)</f>
        <v/>
      </c>
      <c r="H89" t="str">
        <f>IF(ISBLANK(Instructions!L96),"",Instructions!L96)</f>
        <v/>
      </c>
      <c r="I89" t="str">
        <f t="shared" si="3"/>
        <v>NULL</v>
      </c>
      <c r="J89" t="str">
        <f t="shared" si="3"/>
        <v>NULL</v>
      </c>
      <c r="K89" t="str">
        <f>Instructions!M96</f>
        <v>Added via SMSS</v>
      </c>
      <c r="L89" t="str">
        <f t="shared" si="1"/>
        <v>NULL</v>
      </c>
    </row>
    <row r="90" spans="1:12" x14ac:dyDescent="0.25">
      <c r="A90" t="str" cm="1">
        <f t="array" ref="A90">_xlfn.CONCAT(Instructions!C97,Instructions!A97,"_",TEXT(Instructions!B97,"YYYYMMDD"),"_1_",INDEX(Table1[], MATCH(1,(Table1[Estuary]=Instructions!C97)*(Table1[StationNumber]=Instructions!D97)*(Instructions!B97&gt;Table1[StartDate])*(Instructions!B97&lt;Table1[EndDate]),0),1),"_1_",Instructions!E97,"_",Instructions!F97)</f>
        <v>TBSRVY_20190924_1_0291_1_02_039</v>
      </c>
      <c r="B90" t="str" cm="1">
        <f t="array" ref="B90">_xlfn.CONCAT(Instructions!C97,Instructions!A97,"_",TEXT(Instructions!B97,"YYYYMMDD"),"_1_",INDEX(Table1[], MATCH(1,(Table1[Estuary]=Instructions!C97)*(Table1[StationNumber]=Instructions!D97)*(Instructions!B97&gt;Table1[StartDate])*(Instructions!B97&lt;Table1[EndDate]),0),1),"_1_",Instructions!E97)</f>
        <v>TBSRVY_20190924_1_0291_1_02</v>
      </c>
      <c r="C90">
        <f>Instructions!G97</f>
        <v>16</v>
      </c>
      <c r="D90" t="str">
        <f>IF(ISBLANK(Instructions!H97),"",Instructions!H97)</f>
        <v>Entered</v>
      </c>
      <c r="E90" s="1">
        <f>IF(ISBLANK(Instructions!I97),"",Instructions!I97)</f>
        <v>45646</v>
      </c>
      <c r="F90" t="str">
        <f>IF(ISBLANK(Instructions!J97),"",Instructions!J97)</f>
        <v>Erica Williams</v>
      </c>
      <c r="G90" s="1" t="str">
        <f>IF(ISBLANK(Instructions!K97),"",Instructions!K97)</f>
        <v/>
      </c>
      <c r="H90" t="str">
        <f>IF(ISBLANK(Instructions!L97),"",Instructions!L97)</f>
        <v/>
      </c>
      <c r="I90" t="str">
        <f t="shared" si="3"/>
        <v>NULL</v>
      </c>
      <c r="J90" t="str">
        <f t="shared" si="3"/>
        <v>NULL</v>
      </c>
      <c r="K90" t="str">
        <f>Instructions!M97</f>
        <v>Added via SMSS</v>
      </c>
      <c r="L90" t="str">
        <f t="shared" si="1"/>
        <v>NULL</v>
      </c>
    </row>
    <row r="91" spans="1:12" x14ac:dyDescent="0.25">
      <c r="A91" t="str" cm="1">
        <f t="array" ref="A91">_xlfn.CONCAT(Instructions!C98,Instructions!A98,"_",TEXT(Instructions!B98,"YYYYMMDD"),"_1_",INDEX(Table1[], MATCH(1,(Table1[Estuary]=Instructions!C98)*(Table1[StationNumber]=Instructions!D98)*(Instructions!B98&gt;Table1[StartDate])*(Instructions!B98&lt;Table1[EndDate]),0),1),"_1_",Instructions!E98,"_",Instructions!F98)</f>
        <v>TBSRVY_20190924_1_0291_1_02_040</v>
      </c>
      <c r="B91" t="str" cm="1">
        <f t="array" ref="B91">_xlfn.CONCAT(Instructions!C98,Instructions!A98,"_",TEXT(Instructions!B98,"YYYYMMDD"),"_1_",INDEX(Table1[], MATCH(1,(Table1[Estuary]=Instructions!C98)*(Table1[StationNumber]=Instructions!D98)*(Instructions!B98&gt;Table1[StartDate])*(Instructions!B98&lt;Table1[EndDate]),0),1),"_1_",Instructions!E98)</f>
        <v>TBSRVY_20190924_1_0291_1_02</v>
      </c>
      <c r="C91">
        <f>Instructions!G98</f>
        <v>12</v>
      </c>
      <c r="D91" t="str">
        <f>IF(ISBLANK(Instructions!H98),"",Instructions!H98)</f>
        <v>Entered</v>
      </c>
      <c r="E91" s="1">
        <f>IF(ISBLANK(Instructions!I98),"",Instructions!I98)</f>
        <v>45646</v>
      </c>
      <c r="F91" t="str">
        <f>IF(ISBLANK(Instructions!J98),"",Instructions!J98)</f>
        <v>Erica Williams</v>
      </c>
      <c r="G91" s="1" t="str">
        <f>IF(ISBLANK(Instructions!K98),"",Instructions!K98)</f>
        <v/>
      </c>
      <c r="H91" t="str">
        <f>IF(ISBLANK(Instructions!L98),"",Instructions!L98)</f>
        <v/>
      </c>
      <c r="I91" t="str">
        <f t="shared" si="3"/>
        <v>NULL</v>
      </c>
      <c r="J91" t="str">
        <f t="shared" si="3"/>
        <v>NULL</v>
      </c>
      <c r="K91" t="str">
        <f>Instructions!M98</f>
        <v>Added via SMSS</v>
      </c>
      <c r="L91" t="str">
        <f t="shared" si="1"/>
        <v>NULL</v>
      </c>
    </row>
    <row r="92" spans="1:12" x14ac:dyDescent="0.25">
      <c r="A92" t="str" cm="1">
        <f t="array" ref="A92">_xlfn.CONCAT(Instructions!C99,Instructions!A99,"_",TEXT(Instructions!B99,"YYYYMMDD"),"_1_",INDEX(Table1[], MATCH(1,(Table1[Estuary]=Instructions!C99)*(Table1[StationNumber]=Instructions!D99)*(Instructions!B99&gt;Table1[StartDate])*(Instructions!B99&lt;Table1[EndDate]),0),1),"_1_",Instructions!E99,"_",Instructions!F99)</f>
        <v>TBSRVY_20190924_1_0291_1_02_041</v>
      </c>
      <c r="B92" t="str" cm="1">
        <f t="array" ref="B92">_xlfn.CONCAT(Instructions!C99,Instructions!A99,"_",TEXT(Instructions!B99,"YYYYMMDD"),"_1_",INDEX(Table1[], MATCH(1,(Table1[Estuary]=Instructions!C99)*(Table1[StationNumber]=Instructions!D99)*(Instructions!B99&gt;Table1[StartDate])*(Instructions!B99&lt;Table1[EndDate]),0),1),"_1_",Instructions!E99)</f>
        <v>TBSRVY_20190924_1_0291_1_02</v>
      </c>
      <c r="C92">
        <f>Instructions!G99</f>
        <v>7</v>
      </c>
      <c r="D92" t="str">
        <f>IF(ISBLANK(Instructions!H99),"",Instructions!H99)</f>
        <v>Entered</v>
      </c>
      <c r="E92" s="1">
        <f>IF(ISBLANK(Instructions!I99),"",Instructions!I99)</f>
        <v>45646</v>
      </c>
      <c r="F92" t="str">
        <f>IF(ISBLANK(Instructions!J99),"",Instructions!J99)</f>
        <v>Erica Williams</v>
      </c>
      <c r="G92" s="1" t="str">
        <f>IF(ISBLANK(Instructions!K99),"",Instructions!K99)</f>
        <v/>
      </c>
      <c r="H92" t="str">
        <f>IF(ISBLANK(Instructions!L99),"",Instructions!L99)</f>
        <v/>
      </c>
      <c r="I92" t="str">
        <f t="shared" si="3"/>
        <v>NULL</v>
      </c>
      <c r="J92" t="str">
        <f t="shared" si="3"/>
        <v>NULL</v>
      </c>
      <c r="K92" t="str">
        <f>Instructions!M99</f>
        <v>Added via SMSS</v>
      </c>
      <c r="L92" t="str">
        <f t="shared" si="1"/>
        <v>NULL</v>
      </c>
    </row>
    <row r="93" spans="1:12" x14ac:dyDescent="0.25">
      <c r="A93" t="str" cm="1">
        <f t="array" ref="A93">_xlfn.CONCAT(Instructions!C100,Instructions!A100,"_",TEXT(Instructions!B100,"YYYYMMDD"),"_1_",INDEX(Table1[], MATCH(1,(Table1[Estuary]=Instructions!C100)*(Table1[StationNumber]=Instructions!D100)*(Instructions!B100&gt;Table1[StartDate])*(Instructions!B100&lt;Table1[EndDate]),0),1),"_1_",Instructions!E100,"_",Instructions!F100)</f>
        <v>TBSRVY_20190924_1_0291_1_02_042</v>
      </c>
      <c r="B93" t="str" cm="1">
        <f t="array" ref="B93">_xlfn.CONCAT(Instructions!C100,Instructions!A100,"_",TEXT(Instructions!B100,"YYYYMMDD"),"_1_",INDEX(Table1[], MATCH(1,(Table1[Estuary]=Instructions!C100)*(Table1[StationNumber]=Instructions!D100)*(Instructions!B100&gt;Table1[StartDate])*(Instructions!B100&lt;Table1[EndDate]),0),1),"_1_",Instructions!E100)</f>
        <v>TBSRVY_20190924_1_0291_1_02</v>
      </c>
      <c r="C93">
        <f>Instructions!G100</f>
        <v>6</v>
      </c>
      <c r="D93" t="str">
        <f>IF(ISBLANK(Instructions!H100),"",Instructions!H100)</f>
        <v>Entered</v>
      </c>
      <c r="E93" s="1">
        <f>IF(ISBLANK(Instructions!I100),"",Instructions!I100)</f>
        <v>45646</v>
      </c>
      <c r="F93" t="str">
        <f>IF(ISBLANK(Instructions!J100),"",Instructions!J100)</f>
        <v>Erica Williams</v>
      </c>
      <c r="G93" s="1" t="str">
        <f>IF(ISBLANK(Instructions!K100),"",Instructions!K100)</f>
        <v/>
      </c>
      <c r="H93" t="str">
        <f>IF(ISBLANK(Instructions!L100),"",Instructions!L100)</f>
        <v/>
      </c>
      <c r="I93" t="str">
        <f t="shared" si="3"/>
        <v>NULL</v>
      </c>
      <c r="J93" t="str">
        <f t="shared" si="3"/>
        <v>NULL</v>
      </c>
      <c r="K93" t="str">
        <f>Instructions!M100</f>
        <v>Added via SMSS</v>
      </c>
      <c r="L93" t="str">
        <f t="shared" si="1"/>
        <v>NULL</v>
      </c>
    </row>
    <row r="94" spans="1:12" x14ac:dyDescent="0.25">
      <c r="A94" t="str" cm="1">
        <f t="array" ref="A94">_xlfn.CONCAT(Instructions!C101,Instructions!A101,"_",TEXT(Instructions!B101,"YYYYMMDD"),"_1_",INDEX(Table1[], MATCH(1,(Table1[Estuary]=Instructions!C101)*(Table1[StationNumber]=Instructions!D101)*(Instructions!B101&gt;Table1[StartDate])*(Instructions!B101&lt;Table1[EndDate]),0),1),"_1_",Instructions!E101,"_",Instructions!F101)</f>
        <v>TBSRVY_20190924_1_0291_1_02_043</v>
      </c>
      <c r="B94" t="str" cm="1">
        <f t="array" ref="B94">_xlfn.CONCAT(Instructions!C101,Instructions!A101,"_",TEXT(Instructions!B101,"YYYYMMDD"),"_1_",INDEX(Table1[], MATCH(1,(Table1[Estuary]=Instructions!C101)*(Table1[StationNumber]=Instructions!D101)*(Instructions!B101&gt;Table1[StartDate])*(Instructions!B101&lt;Table1[EndDate]),0),1),"_1_",Instructions!E101)</f>
        <v>TBSRVY_20190924_1_0291_1_02</v>
      </c>
      <c r="C94">
        <f>Instructions!G101</f>
        <v>38</v>
      </c>
      <c r="D94" t="str">
        <f>IF(ISBLANK(Instructions!H101),"",Instructions!H101)</f>
        <v>Entered</v>
      </c>
      <c r="E94" s="1">
        <f>IF(ISBLANK(Instructions!I101),"",Instructions!I101)</f>
        <v>45646</v>
      </c>
      <c r="F94" t="str">
        <f>IF(ISBLANK(Instructions!J101),"",Instructions!J101)</f>
        <v>Erica Williams</v>
      </c>
      <c r="G94" s="1" t="str">
        <f>IF(ISBLANK(Instructions!K101),"",Instructions!K101)</f>
        <v/>
      </c>
      <c r="H94" t="str">
        <f>IF(ISBLANK(Instructions!L101),"",Instructions!L101)</f>
        <v/>
      </c>
      <c r="I94" t="str">
        <f t="shared" si="3"/>
        <v>NULL</v>
      </c>
      <c r="J94" t="str">
        <f t="shared" si="3"/>
        <v>NULL</v>
      </c>
      <c r="K94" t="str">
        <f>Instructions!M101</f>
        <v>Added via SMSS</v>
      </c>
      <c r="L94" t="str">
        <f t="shared" si="1"/>
        <v>NULL</v>
      </c>
    </row>
    <row r="95" spans="1:12" x14ac:dyDescent="0.25">
      <c r="A95" t="str" cm="1">
        <f t="array" ref="A95">_xlfn.CONCAT(Instructions!C102,Instructions!A102,"_",TEXT(Instructions!B102,"YYYYMMDD"),"_1_",INDEX(Table1[], MATCH(1,(Table1[Estuary]=Instructions!C102)*(Table1[StationNumber]=Instructions!D102)*(Instructions!B102&gt;Table1[StartDate])*(Instructions!B102&lt;Table1[EndDate]),0),1),"_1_",Instructions!E102,"_",Instructions!F102)</f>
        <v>TBSRVY_20190924_1_0291_1_02_044</v>
      </c>
      <c r="B95" t="str" cm="1">
        <f t="array" ref="B95">_xlfn.CONCAT(Instructions!C102,Instructions!A102,"_",TEXT(Instructions!B102,"YYYYMMDD"),"_1_",INDEX(Table1[], MATCH(1,(Table1[Estuary]=Instructions!C102)*(Table1[StationNumber]=Instructions!D102)*(Instructions!B102&gt;Table1[StartDate])*(Instructions!B102&lt;Table1[EndDate]),0),1),"_1_",Instructions!E102)</f>
        <v>TBSRVY_20190924_1_0291_1_02</v>
      </c>
      <c r="C95">
        <f>Instructions!G102</f>
        <v>43</v>
      </c>
      <c r="D95" t="str">
        <f>IF(ISBLANK(Instructions!H102),"",Instructions!H102)</f>
        <v>Entered</v>
      </c>
      <c r="E95" s="1">
        <f>IF(ISBLANK(Instructions!I102),"",Instructions!I102)</f>
        <v>45646</v>
      </c>
      <c r="F95" t="str">
        <f>IF(ISBLANK(Instructions!J102),"",Instructions!J102)</f>
        <v>Erica Williams</v>
      </c>
      <c r="G95" s="1" t="str">
        <f>IF(ISBLANK(Instructions!K102),"",Instructions!K102)</f>
        <v/>
      </c>
      <c r="H95" t="str">
        <f>IF(ISBLANK(Instructions!L102),"",Instructions!L102)</f>
        <v/>
      </c>
      <c r="I95" t="str">
        <f t="shared" si="3"/>
        <v>NULL</v>
      </c>
      <c r="J95" t="str">
        <f t="shared" si="3"/>
        <v>NULL</v>
      </c>
      <c r="K95" t="str">
        <f>Instructions!M102</f>
        <v>Added via SMSS</v>
      </c>
      <c r="L95" t="str">
        <f t="shared" si="1"/>
        <v>NULL</v>
      </c>
    </row>
    <row r="96" spans="1:12" x14ac:dyDescent="0.25">
      <c r="A96" t="str" cm="1">
        <f t="array" ref="A96">_xlfn.CONCAT(Instructions!C103,Instructions!A103,"_",TEXT(Instructions!B103,"YYYYMMDD"),"_1_",INDEX(Table1[], MATCH(1,(Table1[Estuary]=Instructions!C103)*(Table1[StationNumber]=Instructions!D103)*(Instructions!B103&gt;Table1[StartDate])*(Instructions!B103&lt;Table1[EndDate]),0),1),"_1_",Instructions!E103,"_",Instructions!F103)</f>
        <v>TBSRVY_20190924_1_0291_1_02_045</v>
      </c>
      <c r="B96" t="str" cm="1">
        <f t="array" ref="B96">_xlfn.CONCAT(Instructions!C103,Instructions!A103,"_",TEXT(Instructions!B103,"YYYYMMDD"),"_1_",INDEX(Table1[], MATCH(1,(Table1[Estuary]=Instructions!C103)*(Table1[StationNumber]=Instructions!D103)*(Instructions!B103&gt;Table1[StartDate])*(Instructions!B103&lt;Table1[EndDate]),0),1),"_1_",Instructions!E103)</f>
        <v>TBSRVY_20190924_1_0291_1_02</v>
      </c>
      <c r="C96">
        <f>Instructions!G103</f>
        <v>28</v>
      </c>
      <c r="D96" t="str">
        <f>IF(ISBLANK(Instructions!H103),"",Instructions!H103)</f>
        <v>Entered</v>
      </c>
      <c r="E96" s="1">
        <f>IF(ISBLANK(Instructions!I103),"",Instructions!I103)</f>
        <v>45646</v>
      </c>
      <c r="F96" t="str">
        <f>IF(ISBLANK(Instructions!J103),"",Instructions!J103)</f>
        <v>Erica Williams</v>
      </c>
      <c r="G96" s="1" t="str">
        <f>IF(ISBLANK(Instructions!K103),"",Instructions!K103)</f>
        <v/>
      </c>
      <c r="H96" t="str">
        <f>IF(ISBLANK(Instructions!L103),"",Instructions!L103)</f>
        <v/>
      </c>
      <c r="I96" t="str">
        <f t="shared" si="3"/>
        <v>NULL</v>
      </c>
      <c r="J96" t="str">
        <f t="shared" si="3"/>
        <v>NULL</v>
      </c>
      <c r="K96" t="str">
        <f>Instructions!M103</f>
        <v>Added via SMSS</v>
      </c>
      <c r="L96" t="str">
        <f t="shared" si="1"/>
        <v>NULL</v>
      </c>
    </row>
    <row r="97" spans="1:12" x14ac:dyDescent="0.25">
      <c r="A97" t="str" cm="1">
        <f t="array" ref="A97">_xlfn.CONCAT(Instructions!C104,Instructions!A104,"_",TEXT(Instructions!B104,"YYYYMMDD"),"_1_",INDEX(Table1[], MATCH(1,(Table1[Estuary]=Instructions!C104)*(Table1[StationNumber]=Instructions!D104)*(Instructions!B104&gt;Table1[StartDate])*(Instructions!B104&lt;Table1[EndDate]),0),1),"_1_",Instructions!E104,"_",Instructions!F104)</f>
        <v>TBSRVY_20190924_1_0291_1_02_046</v>
      </c>
      <c r="B97" t="str" cm="1">
        <f t="array" ref="B97">_xlfn.CONCAT(Instructions!C104,Instructions!A104,"_",TEXT(Instructions!B104,"YYYYMMDD"),"_1_",INDEX(Table1[], MATCH(1,(Table1[Estuary]=Instructions!C104)*(Table1[StationNumber]=Instructions!D104)*(Instructions!B104&gt;Table1[StartDate])*(Instructions!B104&lt;Table1[EndDate]),0),1),"_1_",Instructions!E104)</f>
        <v>TBSRVY_20190924_1_0291_1_02</v>
      </c>
      <c r="C97">
        <f>Instructions!G104</f>
        <v>65</v>
      </c>
      <c r="D97" t="str">
        <f>IF(ISBLANK(Instructions!H104),"",Instructions!H104)</f>
        <v>Entered</v>
      </c>
      <c r="E97" s="1">
        <f>IF(ISBLANK(Instructions!I104),"",Instructions!I104)</f>
        <v>45646</v>
      </c>
      <c r="F97" t="str">
        <f>IF(ISBLANK(Instructions!J104),"",Instructions!J104)</f>
        <v>Erica Williams</v>
      </c>
      <c r="G97" s="1" t="str">
        <f>IF(ISBLANK(Instructions!K104),"",Instructions!K104)</f>
        <v/>
      </c>
      <c r="H97" t="str">
        <f>IF(ISBLANK(Instructions!L104),"",Instructions!L104)</f>
        <v/>
      </c>
      <c r="I97" t="str">
        <f t="shared" si="3"/>
        <v>NULL</v>
      </c>
      <c r="J97" t="str">
        <f t="shared" si="3"/>
        <v>NULL</v>
      </c>
      <c r="K97" t="str">
        <f>Instructions!M104</f>
        <v>Added via SMSS</v>
      </c>
      <c r="L97" t="str">
        <f t="shared" si="1"/>
        <v>NULL</v>
      </c>
    </row>
    <row r="98" spans="1:12" x14ac:dyDescent="0.25">
      <c r="A98" t="str" cm="1">
        <f t="array" ref="A98">_xlfn.CONCAT(Instructions!C105,Instructions!A105,"_",TEXT(Instructions!B105,"YYYYMMDD"),"_1_",INDEX(Table1[], MATCH(1,(Table1[Estuary]=Instructions!C105)*(Table1[StationNumber]=Instructions!D105)*(Instructions!B105&gt;Table1[StartDate])*(Instructions!B105&lt;Table1[EndDate]),0),1),"_1_",Instructions!E105,"_",Instructions!F105)</f>
        <v>TBSRVY_20190924_1_0291_1_02_047</v>
      </c>
      <c r="B98" t="str" cm="1">
        <f t="array" ref="B98">_xlfn.CONCAT(Instructions!C105,Instructions!A105,"_",TEXT(Instructions!B105,"YYYYMMDD"),"_1_",INDEX(Table1[], MATCH(1,(Table1[Estuary]=Instructions!C105)*(Table1[StationNumber]=Instructions!D105)*(Instructions!B105&gt;Table1[StartDate])*(Instructions!B105&lt;Table1[EndDate]),0),1),"_1_",Instructions!E105)</f>
        <v>TBSRVY_20190924_1_0291_1_02</v>
      </c>
      <c r="C98">
        <f>Instructions!G105</f>
        <v>26</v>
      </c>
      <c r="D98" t="str">
        <f>IF(ISBLANK(Instructions!H105),"",Instructions!H105)</f>
        <v>Entered</v>
      </c>
      <c r="E98" s="1">
        <f>IF(ISBLANK(Instructions!I105),"",Instructions!I105)</f>
        <v>45646</v>
      </c>
      <c r="F98" t="str">
        <f>IF(ISBLANK(Instructions!J105),"",Instructions!J105)</f>
        <v>Erica Williams</v>
      </c>
      <c r="G98" s="1" t="str">
        <f>IF(ISBLANK(Instructions!K105),"",Instructions!K105)</f>
        <v/>
      </c>
      <c r="H98" t="str">
        <f>IF(ISBLANK(Instructions!L105),"",Instructions!L105)</f>
        <v/>
      </c>
      <c r="I98" t="str">
        <f t="shared" si="3"/>
        <v>NULL</v>
      </c>
      <c r="J98" t="str">
        <f t="shared" si="3"/>
        <v>NULL</v>
      </c>
      <c r="K98" t="str">
        <f>Instructions!M105</f>
        <v>Added via SMSS</v>
      </c>
      <c r="L98" t="str">
        <f t="shared" si="1"/>
        <v>NULL</v>
      </c>
    </row>
    <row r="99" spans="1:12" x14ac:dyDescent="0.25">
      <c r="A99" t="str" cm="1">
        <f t="array" ref="A99">_xlfn.CONCAT(Instructions!C106,Instructions!A106,"_",TEXT(Instructions!B106,"YYYYMMDD"),"_1_",INDEX(Table1[], MATCH(1,(Table1[Estuary]=Instructions!C106)*(Table1[StationNumber]=Instructions!D106)*(Instructions!B106&gt;Table1[StartDate])*(Instructions!B106&lt;Table1[EndDate]),0),1),"_1_",Instructions!E106,"_",Instructions!F106)</f>
        <v>TBSRVY_20190924_1_0291_1_02_048</v>
      </c>
      <c r="B99" t="str" cm="1">
        <f t="array" ref="B99">_xlfn.CONCAT(Instructions!C106,Instructions!A106,"_",TEXT(Instructions!B106,"YYYYMMDD"),"_1_",INDEX(Table1[], MATCH(1,(Table1[Estuary]=Instructions!C106)*(Table1[StationNumber]=Instructions!D106)*(Instructions!B106&gt;Table1[StartDate])*(Instructions!B106&lt;Table1[EndDate]),0),1),"_1_",Instructions!E106)</f>
        <v>TBSRVY_20190924_1_0291_1_02</v>
      </c>
      <c r="C99">
        <f>Instructions!G106</f>
        <v>24</v>
      </c>
      <c r="D99" t="str">
        <f>IF(ISBLANK(Instructions!H106),"",Instructions!H106)</f>
        <v>Entered</v>
      </c>
      <c r="E99" s="1">
        <f>IF(ISBLANK(Instructions!I106),"",Instructions!I106)</f>
        <v>45646</v>
      </c>
      <c r="F99" t="str">
        <f>IF(ISBLANK(Instructions!J106),"",Instructions!J106)</f>
        <v>Erica Williams</v>
      </c>
      <c r="G99" s="1" t="str">
        <f>IF(ISBLANK(Instructions!K106),"",Instructions!K106)</f>
        <v/>
      </c>
      <c r="H99" t="str">
        <f>IF(ISBLANK(Instructions!L106),"",Instructions!L106)</f>
        <v/>
      </c>
      <c r="I99" t="str">
        <f t="shared" si="3"/>
        <v>NULL</v>
      </c>
      <c r="J99" t="str">
        <f t="shared" si="3"/>
        <v>NULL</v>
      </c>
      <c r="K99" t="str">
        <f>Instructions!M106</f>
        <v>Added via SMSS</v>
      </c>
      <c r="L99" t="str">
        <f t="shared" si="1"/>
        <v>NULL</v>
      </c>
    </row>
    <row r="100" spans="1:12" x14ac:dyDescent="0.25">
      <c r="A100" t="str" cm="1">
        <f t="array" ref="A100">_xlfn.CONCAT(Instructions!C107,Instructions!A107,"_",TEXT(Instructions!B107,"YYYYMMDD"),"_1_",INDEX(Table1[], MATCH(1,(Table1[Estuary]=Instructions!C107)*(Table1[StationNumber]=Instructions!D107)*(Instructions!B107&gt;Table1[StartDate])*(Instructions!B107&lt;Table1[EndDate]),0),1),"_1_",Instructions!E107,"_",Instructions!F107)</f>
        <v>TBSRVY_20190924_1_0291_1_02_049</v>
      </c>
      <c r="B100" t="str" cm="1">
        <f t="array" ref="B100">_xlfn.CONCAT(Instructions!C107,Instructions!A107,"_",TEXT(Instructions!B107,"YYYYMMDD"),"_1_",INDEX(Table1[], MATCH(1,(Table1[Estuary]=Instructions!C107)*(Table1[StationNumber]=Instructions!D107)*(Instructions!B107&gt;Table1[StartDate])*(Instructions!B107&lt;Table1[EndDate]),0),1),"_1_",Instructions!E107)</f>
        <v>TBSRVY_20190924_1_0291_1_02</v>
      </c>
      <c r="C100">
        <f>Instructions!G107</f>
        <v>20</v>
      </c>
      <c r="D100" t="str">
        <f>IF(ISBLANK(Instructions!H107),"",Instructions!H107)</f>
        <v>Entered</v>
      </c>
      <c r="E100" s="1">
        <f>IF(ISBLANK(Instructions!I107),"",Instructions!I107)</f>
        <v>45646</v>
      </c>
      <c r="F100" t="str">
        <f>IF(ISBLANK(Instructions!J107),"",Instructions!J107)</f>
        <v>Erica Williams</v>
      </c>
      <c r="G100" s="1" t="str">
        <f>IF(ISBLANK(Instructions!K107),"",Instructions!K107)</f>
        <v/>
      </c>
      <c r="H100" t="str">
        <f>IF(ISBLANK(Instructions!L107),"",Instructions!L107)</f>
        <v/>
      </c>
      <c r="I100" t="str">
        <f t="shared" si="3"/>
        <v>NULL</v>
      </c>
      <c r="J100" t="str">
        <f t="shared" si="3"/>
        <v>NULL</v>
      </c>
      <c r="K100" t="str">
        <f>Instructions!M107</f>
        <v>Added via SMSS</v>
      </c>
      <c r="L100" t="str">
        <f t="shared" si="1"/>
        <v>NULL</v>
      </c>
    </row>
    <row r="101" spans="1:12" x14ac:dyDescent="0.25">
      <c r="A101" t="str" cm="1">
        <f t="array" ref="A101">_xlfn.CONCAT(Instructions!C108,Instructions!A108,"_",TEXT(Instructions!B108,"YYYYMMDD"),"_1_",INDEX(Table1[], MATCH(1,(Table1[Estuary]=Instructions!C108)*(Table1[StationNumber]=Instructions!D108)*(Instructions!B108&gt;Table1[StartDate])*(Instructions!B108&lt;Table1[EndDate]),0),1),"_1_",Instructions!E108,"_",Instructions!F108)</f>
        <v>TBSRVY_20190924_1_0291_1_02_050</v>
      </c>
      <c r="B101" t="str" cm="1">
        <f t="array" ref="B101">_xlfn.CONCAT(Instructions!C108,Instructions!A108,"_",TEXT(Instructions!B108,"YYYYMMDD"),"_1_",INDEX(Table1[], MATCH(1,(Table1[Estuary]=Instructions!C108)*(Table1[StationNumber]=Instructions!D108)*(Instructions!B108&gt;Table1[StartDate])*(Instructions!B108&lt;Table1[EndDate]),0),1),"_1_",Instructions!E108)</f>
        <v>TBSRVY_20190924_1_0291_1_02</v>
      </c>
      <c r="C101">
        <f>Instructions!G108</f>
        <v>26</v>
      </c>
      <c r="D101" t="str">
        <f>IF(ISBLANK(Instructions!H108),"",Instructions!H108)</f>
        <v>Entered</v>
      </c>
      <c r="E101" s="1">
        <f>IF(ISBLANK(Instructions!I108),"",Instructions!I108)</f>
        <v>45646</v>
      </c>
      <c r="F101" t="str">
        <f>IF(ISBLANK(Instructions!J108),"",Instructions!J108)</f>
        <v>Erica Williams</v>
      </c>
      <c r="G101" s="1" t="str">
        <f>IF(ISBLANK(Instructions!K108),"",Instructions!K108)</f>
        <v/>
      </c>
      <c r="H101" t="str">
        <f>IF(ISBLANK(Instructions!L108),"",Instructions!L108)</f>
        <v/>
      </c>
      <c r="I101" t="str">
        <f t="shared" si="3"/>
        <v>NULL</v>
      </c>
      <c r="J101" t="str">
        <f t="shared" si="3"/>
        <v>NULL</v>
      </c>
      <c r="K101" t="str">
        <f>Instructions!M108</f>
        <v>Added via SMSS</v>
      </c>
      <c r="L101" t="str">
        <f t="shared" si="1"/>
        <v>NULL</v>
      </c>
    </row>
    <row r="102" spans="1:12" x14ac:dyDescent="0.25">
      <c r="A102" t="str" cm="1">
        <f t="array" ref="A102">_xlfn.CONCAT(Instructions!C109,Instructions!A109,"_",TEXT(Instructions!B109,"YYYYMMDD"),"_1_",INDEX(Table1[], MATCH(1,(Table1[Estuary]=Instructions!C109)*(Table1[StationNumber]=Instructions!D109)*(Instructions!B109&gt;Table1[StartDate])*(Instructions!B109&lt;Table1[EndDate]),0),1),"_1_",Instructions!E109,"_",Instructions!F109)</f>
        <v>TBSRVY_20190924_1_0291_1_03_001</v>
      </c>
      <c r="B102" t="str" cm="1">
        <f t="array" ref="B102">_xlfn.CONCAT(Instructions!C109,Instructions!A109,"_",TEXT(Instructions!B109,"YYYYMMDD"),"_1_",INDEX(Table1[], MATCH(1,(Table1[Estuary]=Instructions!C109)*(Table1[StationNumber]=Instructions!D109)*(Instructions!B109&gt;Table1[StartDate])*(Instructions!B109&lt;Table1[EndDate]),0),1),"_1_",Instructions!E109)</f>
        <v>TBSRVY_20190924_1_0291_1_03</v>
      </c>
      <c r="C102">
        <f>Instructions!G109</f>
        <v>27</v>
      </c>
      <c r="D102" t="str">
        <f>IF(ISBLANK(Instructions!H109),"",Instructions!H109)</f>
        <v>Entered</v>
      </c>
      <c r="E102" s="1">
        <f>IF(ISBLANK(Instructions!I109),"",Instructions!I109)</f>
        <v>45646</v>
      </c>
      <c r="F102" t="str">
        <f>IF(ISBLANK(Instructions!J109),"",Instructions!J109)</f>
        <v>Erica Williams</v>
      </c>
      <c r="G102" s="1" t="str">
        <f>IF(ISBLANK(Instructions!K109),"",Instructions!K109)</f>
        <v/>
      </c>
      <c r="H102" t="str">
        <f>IF(ISBLANK(Instructions!L109),"",Instructions!L109)</f>
        <v/>
      </c>
      <c r="I102" t="str">
        <f t="shared" si="3"/>
        <v>NULL</v>
      </c>
      <c r="J102" t="str">
        <f t="shared" si="3"/>
        <v>NULL</v>
      </c>
      <c r="K102" t="str">
        <f>Instructions!M109</f>
        <v>Added via SMSS</v>
      </c>
      <c r="L102" t="str">
        <f t="shared" si="1"/>
        <v>NULL</v>
      </c>
    </row>
    <row r="103" spans="1:12" x14ac:dyDescent="0.25">
      <c r="A103" t="str" cm="1">
        <f t="array" ref="A103">_xlfn.CONCAT(Instructions!C110,Instructions!A110,"_",TEXT(Instructions!B110,"YYYYMMDD"),"_1_",INDEX(Table1[], MATCH(1,(Table1[Estuary]=Instructions!C110)*(Table1[StationNumber]=Instructions!D110)*(Instructions!B110&gt;Table1[StartDate])*(Instructions!B110&lt;Table1[EndDate]),0),1),"_1_",Instructions!E110,"_",Instructions!F110)</f>
        <v>TBSRVY_20190924_1_0291_1_03_002</v>
      </c>
      <c r="B103" t="str" cm="1">
        <f t="array" ref="B103">_xlfn.CONCAT(Instructions!C110,Instructions!A110,"_",TEXT(Instructions!B110,"YYYYMMDD"),"_1_",INDEX(Table1[], MATCH(1,(Table1[Estuary]=Instructions!C110)*(Table1[StationNumber]=Instructions!D110)*(Instructions!B110&gt;Table1[StartDate])*(Instructions!B110&lt;Table1[EndDate]),0),1),"_1_",Instructions!E110)</f>
        <v>TBSRVY_20190924_1_0291_1_03</v>
      </c>
      <c r="C103">
        <f>Instructions!G110</f>
        <v>25</v>
      </c>
      <c r="D103" t="str">
        <f>IF(ISBLANK(Instructions!H110),"",Instructions!H110)</f>
        <v>Entered</v>
      </c>
      <c r="E103" s="1">
        <f>IF(ISBLANK(Instructions!I110),"",Instructions!I110)</f>
        <v>45646</v>
      </c>
      <c r="F103" t="str">
        <f>IF(ISBLANK(Instructions!J110),"",Instructions!J110)</f>
        <v>Erica Williams</v>
      </c>
      <c r="G103" s="1" t="str">
        <f>IF(ISBLANK(Instructions!K110),"",Instructions!K110)</f>
        <v/>
      </c>
      <c r="H103" t="str">
        <f>IF(ISBLANK(Instructions!L110),"",Instructions!L110)</f>
        <v/>
      </c>
      <c r="I103" t="str">
        <f t="shared" si="3"/>
        <v>NULL</v>
      </c>
      <c r="J103" t="str">
        <f t="shared" si="3"/>
        <v>NULL</v>
      </c>
      <c r="K103" t="str">
        <f>Instructions!M110</f>
        <v>Added via SMSS</v>
      </c>
      <c r="L103" t="str">
        <f t="shared" si="1"/>
        <v>NULL</v>
      </c>
    </row>
    <row r="104" spans="1:12" x14ac:dyDescent="0.25">
      <c r="A104" t="str" cm="1">
        <f t="array" ref="A104">_xlfn.CONCAT(Instructions!C111,Instructions!A111,"_",TEXT(Instructions!B111,"YYYYMMDD"),"_1_",INDEX(Table1[], MATCH(1,(Table1[Estuary]=Instructions!C111)*(Table1[StationNumber]=Instructions!D111)*(Instructions!B111&gt;Table1[StartDate])*(Instructions!B111&lt;Table1[EndDate]),0),1),"_1_",Instructions!E111,"_",Instructions!F111)</f>
        <v>TBSRVY_20190924_1_0291_1_03_003</v>
      </c>
      <c r="B104" t="str" cm="1">
        <f t="array" ref="B104">_xlfn.CONCAT(Instructions!C111,Instructions!A111,"_",TEXT(Instructions!B111,"YYYYMMDD"),"_1_",INDEX(Table1[], MATCH(1,(Table1[Estuary]=Instructions!C111)*(Table1[StationNumber]=Instructions!D111)*(Instructions!B111&gt;Table1[StartDate])*(Instructions!B111&lt;Table1[EndDate]),0),1),"_1_",Instructions!E111)</f>
        <v>TBSRVY_20190924_1_0291_1_03</v>
      </c>
      <c r="C104">
        <f>Instructions!G111</f>
        <v>10</v>
      </c>
      <c r="D104" t="str">
        <f>IF(ISBLANK(Instructions!H111),"",Instructions!H111)</f>
        <v>Entered</v>
      </c>
      <c r="E104" s="1">
        <f>IF(ISBLANK(Instructions!I111),"",Instructions!I111)</f>
        <v>45646</v>
      </c>
      <c r="F104" t="str">
        <f>IF(ISBLANK(Instructions!J111),"",Instructions!J111)</f>
        <v>Erica Williams</v>
      </c>
      <c r="G104" s="1" t="str">
        <f>IF(ISBLANK(Instructions!K111),"",Instructions!K111)</f>
        <v/>
      </c>
      <c r="H104" t="str">
        <f>IF(ISBLANK(Instructions!L111),"",Instructions!L111)</f>
        <v/>
      </c>
      <c r="I104" t="str">
        <f t="shared" si="3"/>
        <v>NULL</v>
      </c>
      <c r="J104" t="str">
        <f t="shared" si="3"/>
        <v>NULL</v>
      </c>
      <c r="K104" t="str">
        <f>Instructions!M111</f>
        <v>Added via SMSS</v>
      </c>
      <c r="L104" t="str">
        <f t="shared" si="1"/>
        <v>NULL</v>
      </c>
    </row>
    <row r="105" spans="1:12" x14ac:dyDescent="0.25">
      <c r="A105" t="str" cm="1">
        <f t="array" ref="A105">_xlfn.CONCAT(Instructions!C112,Instructions!A112,"_",TEXT(Instructions!B112,"YYYYMMDD"),"_1_",INDEX(Table1[], MATCH(1,(Table1[Estuary]=Instructions!C112)*(Table1[StationNumber]=Instructions!D112)*(Instructions!B112&gt;Table1[StartDate])*(Instructions!B112&lt;Table1[EndDate]),0),1),"_1_",Instructions!E112,"_",Instructions!F112)</f>
        <v>TBSRVY_20190924_1_0291_1_03_004</v>
      </c>
      <c r="B105" t="str" cm="1">
        <f t="array" ref="B105">_xlfn.CONCAT(Instructions!C112,Instructions!A112,"_",TEXT(Instructions!B112,"YYYYMMDD"),"_1_",INDEX(Table1[], MATCH(1,(Table1[Estuary]=Instructions!C112)*(Table1[StationNumber]=Instructions!D112)*(Instructions!B112&gt;Table1[StartDate])*(Instructions!B112&lt;Table1[EndDate]),0),1),"_1_",Instructions!E112)</f>
        <v>TBSRVY_20190924_1_0291_1_03</v>
      </c>
      <c r="C105">
        <f>Instructions!G112</f>
        <v>22</v>
      </c>
      <c r="D105" t="str">
        <f>IF(ISBLANK(Instructions!H112),"",Instructions!H112)</f>
        <v>Entered</v>
      </c>
      <c r="E105" s="1">
        <f>IF(ISBLANK(Instructions!I112),"",Instructions!I112)</f>
        <v>45646</v>
      </c>
      <c r="F105" t="str">
        <f>IF(ISBLANK(Instructions!J112),"",Instructions!J112)</f>
        <v>Erica Williams</v>
      </c>
      <c r="G105" s="1" t="str">
        <f>IF(ISBLANK(Instructions!K112),"",Instructions!K112)</f>
        <v/>
      </c>
      <c r="H105" t="str">
        <f>IF(ISBLANK(Instructions!L112),"",Instructions!L112)</f>
        <v/>
      </c>
      <c r="I105" t="str">
        <f t="shared" si="3"/>
        <v>NULL</v>
      </c>
      <c r="J105" t="str">
        <f t="shared" si="3"/>
        <v>NULL</v>
      </c>
      <c r="K105" t="str">
        <f>Instructions!M112</f>
        <v>Added via SMSS</v>
      </c>
      <c r="L105" t="str">
        <f t="shared" si="1"/>
        <v>NULL</v>
      </c>
    </row>
    <row r="106" spans="1:12" x14ac:dyDescent="0.25">
      <c r="A106" t="str" cm="1">
        <f t="array" ref="A106">_xlfn.CONCAT(Instructions!C113,Instructions!A113,"_",TEXT(Instructions!B113,"YYYYMMDD"),"_1_",INDEX(Table1[], MATCH(1,(Table1[Estuary]=Instructions!C113)*(Table1[StationNumber]=Instructions!D113)*(Instructions!B113&gt;Table1[StartDate])*(Instructions!B113&lt;Table1[EndDate]),0),1),"_1_",Instructions!E113,"_",Instructions!F113)</f>
        <v>TBSRVY_20190924_1_0291_1_03_005</v>
      </c>
      <c r="B106" t="str" cm="1">
        <f t="array" ref="B106">_xlfn.CONCAT(Instructions!C113,Instructions!A113,"_",TEXT(Instructions!B113,"YYYYMMDD"),"_1_",INDEX(Table1[], MATCH(1,(Table1[Estuary]=Instructions!C113)*(Table1[StationNumber]=Instructions!D113)*(Instructions!B113&gt;Table1[StartDate])*(Instructions!B113&lt;Table1[EndDate]),0),1),"_1_",Instructions!E113)</f>
        <v>TBSRVY_20190924_1_0291_1_03</v>
      </c>
      <c r="C106">
        <f>Instructions!G113</f>
        <v>7</v>
      </c>
      <c r="D106" t="str">
        <f>IF(ISBLANK(Instructions!H113),"",Instructions!H113)</f>
        <v>Entered</v>
      </c>
      <c r="E106" s="1">
        <f>IF(ISBLANK(Instructions!I113),"",Instructions!I113)</f>
        <v>45646</v>
      </c>
      <c r="F106" t="str">
        <f>IF(ISBLANK(Instructions!J113),"",Instructions!J113)</f>
        <v>Erica Williams</v>
      </c>
      <c r="G106" s="1" t="str">
        <f>IF(ISBLANK(Instructions!K113),"",Instructions!K113)</f>
        <v/>
      </c>
      <c r="H106" t="str">
        <f>IF(ISBLANK(Instructions!L113),"",Instructions!L113)</f>
        <v/>
      </c>
      <c r="I106" t="str">
        <f t="shared" si="3"/>
        <v>NULL</v>
      </c>
      <c r="J106" t="str">
        <f t="shared" si="3"/>
        <v>NULL</v>
      </c>
      <c r="K106" t="str">
        <f>Instructions!M113</f>
        <v>Added via SMSS</v>
      </c>
      <c r="L106" t="str">
        <f t="shared" si="1"/>
        <v>NULL</v>
      </c>
    </row>
    <row r="107" spans="1:12" x14ac:dyDescent="0.25">
      <c r="A107" t="str" cm="1">
        <f t="array" ref="A107">_xlfn.CONCAT(Instructions!C114,Instructions!A114,"_",TEXT(Instructions!B114,"YYYYMMDD"),"_1_",INDEX(Table1[], MATCH(1,(Table1[Estuary]=Instructions!C114)*(Table1[StationNumber]=Instructions!D114)*(Instructions!B114&gt;Table1[StartDate])*(Instructions!B114&lt;Table1[EndDate]),0),1),"_1_",Instructions!E114,"_",Instructions!F114)</f>
        <v>TBSRVY_20190924_1_0291_1_03_006</v>
      </c>
      <c r="B107" t="str" cm="1">
        <f t="array" ref="B107">_xlfn.CONCAT(Instructions!C114,Instructions!A114,"_",TEXT(Instructions!B114,"YYYYMMDD"),"_1_",INDEX(Table1[], MATCH(1,(Table1[Estuary]=Instructions!C114)*(Table1[StationNumber]=Instructions!D114)*(Instructions!B114&gt;Table1[StartDate])*(Instructions!B114&lt;Table1[EndDate]),0),1),"_1_",Instructions!E114)</f>
        <v>TBSRVY_20190924_1_0291_1_03</v>
      </c>
      <c r="C107">
        <f>Instructions!G114</f>
        <v>45</v>
      </c>
      <c r="D107" t="str">
        <f>IF(ISBLANK(Instructions!H114),"",Instructions!H114)</f>
        <v>Entered</v>
      </c>
      <c r="E107" s="1">
        <f>IF(ISBLANK(Instructions!I114),"",Instructions!I114)</f>
        <v>45646</v>
      </c>
      <c r="F107" t="str">
        <f>IF(ISBLANK(Instructions!J114),"",Instructions!J114)</f>
        <v>Erica Williams</v>
      </c>
      <c r="G107" s="1" t="str">
        <f>IF(ISBLANK(Instructions!K114),"",Instructions!K114)</f>
        <v/>
      </c>
      <c r="H107" t="str">
        <f>IF(ISBLANK(Instructions!L114),"",Instructions!L114)</f>
        <v/>
      </c>
      <c r="I107" t="str">
        <f t="shared" si="3"/>
        <v>NULL</v>
      </c>
      <c r="J107" t="str">
        <f t="shared" si="3"/>
        <v>NULL</v>
      </c>
      <c r="K107" t="str">
        <f>Instructions!M114</f>
        <v>Added via SMSS</v>
      </c>
      <c r="L107" t="str">
        <f t="shared" si="1"/>
        <v>NULL</v>
      </c>
    </row>
    <row r="108" spans="1:12" x14ac:dyDescent="0.25">
      <c r="A108" t="str" cm="1">
        <f t="array" ref="A108">_xlfn.CONCAT(Instructions!C115,Instructions!A115,"_",TEXT(Instructions!B115,"YYYYMMDD"),"_1_",INDEX(Table1[], MATCH(1,(Table1[Estuary]=Instructions!C115)*(Table1[StationNumber]=Instructions!D115)*(Instructions!B115&gt;Table1[StartDate])*(Instructions!B115&lt;Table1[EndDate]),0),1),"_1_",Instructions!E115,"_",Instructions!F115)</f>
        <v>TBSRVY_20190924_1_0291_1_03_007</v>
      </c>
      <c r="B108" t="str" cm="1">
        <f t="array" ref="B108">_xlfn.CONCAT(Instructions!C115,Instructions!A115,"_",TEXT(Instructions!B115,"YYYYMMDD"),"_1_",INDEX(Table1[], MATCH(1,(Table1[Estuary]=Instructions!C115)*(Table1[StationNumber]=Instructions!D115)*(Instructions!B115&gt;Table1[StartDate])*(Instructions!B115&lt;Table1[EndDate]),0),1),"_1_",Instructions!E115)</f>
        <v>TBSRVY_20190924_1_0291_1_03</v>
      </c>
      <c r="C108">
        <f>Instructions!G115</f>
        <v>28</v>
      </c>
      <c r="D108" t="str">
        <f>IF(ISBLANK(Instructions!H115),"",Instructions!H115)</f>
        <v>Entered</v>
      </c>
      <c r="E108" s="1">
        <f>IF(ISBLANK(Instructions!I115),"",Instructions!I115)</f>
        <v>45646</v>
      </c>
      <c r="F108" t="str">
        <f>IF(ISBLANK(Instructions!J115),"",Instructions!J115)</f>
        <v>Erica Williams</v>
      </c>
      <c r="G108" s="1" t="str">
        <f>IF(ISBLANK(Instructions!K115),"",Instructions!K115)</f>
        <v/>
      </c>
      <c r="H108" t="str">
        <f>IF(ISBLANK(Instructions!L115),"",Instructions!L115)</f>
        <v/>
      </c>
      <c r="I108" t="str">
        <f t="shared" si="3"/>
        <v>NULL</v>
      </c>
      <c r="J108" t="str">
        <f t="shared" si="3"/>
        <v>NULL</v>
      </c>
      <c r="K108" t="str">
        <f>Instructions!M115</f>
        <v>Added via SMSS</v>
      </c>
      <c r="L108" t="str">
        <f t="shared" si="1"/>
        <v>NULL</v>
      </c>
    </row>
    <row r="109" spans="1:12" x14ac:dyDescent="0.25">
      <c r="A109" t="str" cm="1">
        <f t="array" ref="A109">_xlfn.CONCAT(Instructions!C116,Instructions!A116,"_",TEXT(Instructions!B116,"YYYYMMDD"),"_1_",INDEX(Table1[], MATCH(1,(Table1[Estuary]=Instructions!C116)*(Table1[StationNumber]=Instructions!D116)*(Instructions!B116&gt;Table1[StartDate])*(Instructions!B116&lt;Table1[EndDate]),0),1),"_1_",Instructions!E116,"_",Instructions!F116)</f>
        <v>TBSRVY_20190924_1_0291_1_03_008</v>
      </c>
      <c r="B109" t="str" cm="1">
        <f t="array" ref="B109">_xlfn.CONCAT(Instructions!C116,Instructions!A116,"_",TEXT(Instructions!B116,"YYYYMMDD"),"_1_",INDEX(Table1[], MATCH(1,(Table1[Estuary]=Instructions!C116)*(Table1[StationNumber]=Instructions!D116)*(Instructions!B116&gt;Table1[StartDate])*(Instructions!B116&lt;Table1[EndDate]),0),1),"_1_",Instructions!E116)</f>
        <v>TBSRVY_20190924_1_0291_1_03</v>
      </c>
      <c r="C109">
        <f>Instructions!G116</f>
        <v>18</v>
      </c>
      <c r="D109" t="str">
        <f>IF(ISBLANK(Instructions!H116),"",Instructions!H116)</f>
        <v>Entered</v>
      </c>
      <c r="E109" s="1">
        <f>IF(ISBLANK(Instructions!I116),"",Instructions!I116)</f>
        <v>45646</v>
      </c>
      <c r="F109" t="str">
        <f>IF(ISBLANK(Instructions!J116),"",Instructions!J116)</f>
        <v>Erica Williams</v>
      </c>
      <c r="G109" s="1" t="str">
        <f>IF(ISBLANK(Instructions!K116),"",Instructions!K116)</f>
        <v/>
      </c>
      <c r="H109" t="str">
        <f>IF(ISBLANK(Instructions!L116),"",Instructions!L116)</f>
        <v/>
      </c>
      <c r="I109" t="str">
        <f t="shared" si="3"/>
        <v>NULL</v>
      </c>
      <c r="J109" t="str">
        <f t="shared" si="3"/>
        <v>NULL</v>
      </c>
      <c r="K109" t="str">
        <f>Instructions!M116</f>
        <v>Added via SMSS</v>
      </c>
      <c r="L109" t="str">
        <f t="shared" si="1"/>
        <v>NULL</v>
      </c>
    </row>
    <row r="110" spans="1:12" x14ac:dyDescent="0.25">
      <c r="A110" t="str" cm="1">
        <f t="array" ref="A110">_xlfn.CONCAT(Instructions!C117,Instructions!A117,"_",TEXT(Instructions!B117,"YYYYMMDD"),"_1_",INDEX(Table1[], MATCH(1,(Table1[Estuary]=Instructions!C117)*(Table1[StationNumber]=Instructions!D117)*(Instructions!B117&gt;Table1[StartDate])*(Instructions!B117&lt;Table1[EndDate]),0),1),"_1_",Instructions!E117,"_",Instructions!F117)</f>
        <v>TBSRVY_20190924_1_0291_1_03_009</v>
      </c>
      <c r="B110" t="str" cm="1">
        <f t="array" ref="B110">_xlfn.CONCAT(Instructions!C117,Instructions!A117,"_",TEXT(Instructions!B117,"YYYYMMDD"),"_1_",INDEX(Table1[], MATCH(1,(Table1[Estuary]=Instructions!C117)*(Table1[StationNumber]=Instructions!D117)*(Instructions!B117&gt;Table1[StartDate])*(Instructions!B117&lt;Table1[EndDate]),0),1),"_1_",Instructions!E117)</f>
        <v>TBSRVY_20190924_1_0291_1_03</v>
      </c>
      <c r="C110">
        <f>Instructions!G117</f>
        <v>35</v>
      </c>
      <c r="D110" t="str">
        <f>IF(ISBLANK(Instructions!H117),"",Instructions!H117)</f>
        <v>Entered</v>
      </c>
      <c r="E110" s="1">
        <f>IF(ISBLANK(Instructions!I117),"",Instructions!I117)</f>
        <v>45646</v>
      </c>
      <c r="F110" t="str">
        <f>IF(ISBLANK(Instructions!J117),"",Instructions!J117)</f>
        <v>Erica Williams</v>
      </c>
      <c r="G110" s="1" t="str">
        <f>IF(ISBLANK(Instructions!K117),"",Instructions!K117)</f>
        <v/>
      </c>
      <c r="H110" t="str">
        <f>IF(ISBLANK(Instructions!L117),"",Instructions!L117)</f>
        <v/>
      </c>
      <c r="I110" t="str">
        <f t="shared" si="3"/>
        <v>NULL</v>
      </c>
      <c r="J110" t="str">
        <f t="shared" si="3"/>
        <v>NULL</v>
      </c>
      <c r="K110" t="str">
        <f>Instructions!M117</f>
        <v>Added via SMSS</v>
      </c>
      <c r="L110" t="str">
        <f t="shared" si="1"/>
        <v>NULL</v>
      </c>
    </row>
    <row r="111" spans="1:12" x14ac:dyDescent="0.25">
      <c r="A111" t="str" cm="1">
        <f t="array" ref="A111">_xlfn.CONCAT(Instructions!C118,Instructions!A118,"_",TEXT(Instructions!B118,"YYYYMMDD"),"_1_",INDEX(Table1[], MATCH(1,(Table1[Estuary]=Instructions!C118)*(Table1[StationNumber]=Instructions!D118)*(Instructions!B118&gt;Table1[StartDate])*(Instructions!B118&lt;Table1[EndDate]),0),1),"_1_",Instructions!E118,"_",Instructions!F118)</f>
        <v>TBSRVY_20190924_1_0291_1_03_010</v>
      </c>
      <c r="B111" t="str" cm="1">
        <f t="array" ref="B111">_xlfn.CONCAT(Instructions!C118,Instructions!A118,"_",TEXT(Instructions!B118,"YYYYMMDD"),"_1_",INDEX(Table1[], MATCH(1,(Table1[Estuary]=Instructions!C118)*(Table1[StationNumber]=Instructions!D118)*(Instructions!B118&gt;Table1[StartDate])*(Instructions!B118&lt;Table1[EndDate]),0),1),"_1_",Instructions!E118)</f>
        <v>TBSRVY_20190924_1_0291_1_03</v>
      </c>
      <c r="C111">
        <f>Instructions!G118</f>
        <v>32</v>
      </c>
      <c r="D111" t="str">
        <f>IF(ISBLANK(Instructions!H118),"",Instructions!H118)</f>
        <v>Entered</v>
      </c>
      <c r="E111" s="1">
        <f>IF(ISBLANK(Instructions!I118),"",Instructions!I118)</f>
        <v>45646</v>
      </c>
      <c r="F111" t="str">
        <f>IF(ISBLANK(Instructions!J118),"",Instructions!J118)</f>
        <v>Erica Williams</v>
      </c>
      <c r="G111" s="1" t="str">
        <f>IF(ISBLANK(Instructions!K118),"",Instructions!K118)</f>
        <v/>
      </c>
      <c r="H111" t="str">
        <f>IF(ISBLANK(Instructions!L118),"",Instructions!L118)</f>
        <v/>
      </c>
      <c r="I111" t="str">
        <f t="shared" si="3"/>
        <v>NULL</v>
      </c>
      <c r="J111" t="str">
        <f t="shared" si="3"/>
        <v>NULL</v>
      </c>
      <c r="K111" t="str">
        <f>Instructions!M118</f>
        <v>Added via SMSS</v>
      </c>
      <c r="L111" t="str">
        <f t="shared" si="1"/>
        <v>NULL</v>
      </c>
    </row>
    <row r="112" spans="1:12" x14ac:dyDescent="0.25">
      <c r="A112" t="str" cm="1">
        <f t="array" ref="A112">_xlfn.CONCAT(Instructions!C119,Instructions!A119,"_",TEXT(Instructions!B119,"YYYYMMDD"),"_1_",INDEX(Table1[], MATCH(1,(Table1[Estuary]=Instructions!C119)*(Table1[StationNumber]=Instructions!D119)*(Instructions!B119&gt;Table1[StartDate])*(Instructions!B119&lt;Table1[EndDate]),0),1),"_1_",Instructions!E119,"_",Instructions!F119)</f>
        <v>TBSRVY_20190924_1_0291_1_03_011</v>
      </c>
      <c r="B112" t="str" cm="1">
        <f t="array" ref="B112">_xlfn.CONCAT(Instructions!C119,Instructions!A119,"_",TEXT(Instructions!B119,"YYYYMMDD"),"_1_",INDEX(Table1[], MATCH(1,(Table1[Estuary]=Instructions!C119)*(Table1[StationNumber]=Instructions!D119)*(Instructions!B119&gt;Table1[StartDate])*(Instructions!B119&lt;Table1[EndDate]),0),1),"_1_",Instructions!E119)</f>
        <v>TBSRVY_20190924_1_0291_1_03</v>
      </c>
      <c r="C112">
        <f>Instructions!G119</f>
        <v>45</v>
      </c>
      <c r="D112" t="str">
        <f>IF(ISBLANK(Instructions!H119),"",Instructions!H119)</f>
        <v>Entered</v>
      </c>
      <c r="E112" s="1">
        <f>IF(ISBLANK(Instructions!I119),"",Instructions!I119)</f>
        <v>45646</v>
      </c>
      <c r="F112" t="str">
        <f>IF(ISBLANK(Instructions!J119),"",Instructions!J119)</f>
        <v>Erica Williams</v>
      </c>
      <c r="G112" s="1" t="str">
        <f>IF(ISBLANK(Instructions!K119),"",Instructions!K119)</f>
        <v/>
      </c>
      <c r="H112" t="str">
        <f>IF(ISBLANK(Instructions!L119),"",Instructions!L119)</f>
        <v/>
      </c>
      <c r="I112" t="str">
        <f t="shared" si="3"/>
        <v>NULL</v>
      </c>
      <c r="J112" t="str">
        <f t="shared" si="3"/>
        <v>NULL</v>
      </c>
      <c r="K112" t="str">
        <f>Instructions!M119</f>
        <v>Added via SMSS</v>
      </c>
      <c r="L112" t="str">
        <f t="shared" si="1"/>
        <v>NULL</v>
      </c>
    </row>
    <row r="113" spans="1:12" x14ac:dyDescent="0.25">
      <c r="A113" t="str" cm="1">
        <f t="array" ref="A113">_xlfn.CONCAT(Instructions!C120,Instructions!A120,"_",TEXT(Instructions!B120,"YYYYMMDD"),"_1_",INDEX(Table1[], MATCH(1,(Table1[Estuary]=Instructions!C120)*(Table1[StationNumber]=Instructions!D120)*(Instructions!B120&gt;Table1[StartDate])*(Instructions!B120&lt;Table1[EndDate]),0),1),"_1_",Instructions!E120,"_",Instructions!F120)</f>
        <v>TBSRVY_20190924_1_0291_1_03_012</v>
      </c>
      <c r="B113" t="str" cm="1">
        <f t="array" ref="B113">_xlfn.CONCAT(Instructions!C120,Instructions!A120,"_",TEXT(Instructions!B120,"YYYYMMDD"),"_1_",INDEX(Table1[], MATCH(1,(Table1[Estuary]=Instructions!C120)*(Table1[StationNumber]=Instructions!D120)*(Instructions!B120&gt;Table1[StartDate])*(Instructions!B120&lt;Table1[EndDate]),0),1),"_1_",Instructions!E120)</f>
        <v>TBSRVY_20190924_1_0291_1_03</v>
      </c>
      <c r="C113">
        <f>Instructions!G120</f>
        <v>12</v>
      </c>
      <c r="D113" t="str">
        <f>IF(ISBLANK(Instructions!H120),"",Instructions!H120)</f>
        <v>Entered</v>
      </c>
      <c r="E113" s="1">
        <f>IF(ISBLANK(Instructions!I120),"",Instructions!I120)</f>
        <v>45646</v>
      </c>
      <c r="F113" t="str">
        <f>IF(ISBLANK(Instructions!J120),"",Instructions!J120)</f>
        <v>Erica Williams</v>
      </c>
      <c r="G113" s="1" t="str">
        <f>IF(ISBLANK(Instructions!K120),"",Instructions!K120)</f>
        <v/>
      </c>
      <c r="H113" t="str">
        <f>IF(ISBLANK(Instructions!L120),"",Instructions!L120)</f>
        <v/>
      </c>
      <c r="I113" t="str">
        <f t="shared" si="3"/>
        <v>NULL</v>
      </c>
      <c r="J113" t="str">
        <f t="shared" si="3"/>
        <v>NULL</v>
      </c>
      <c r="K113" t="str">
        <f>Instructions!M120</f>
        <v>Added via SMSS</v>
      </c>
      <c r="L113" t="str">
        <f t="shared" si="1"/>
        <v>NULL</v>
      </c>
    </row>
    <row r="114" spans="1:12" x14ac:dyDescent="0.25">
      <c r="A114" t="str" cm="1">
        <f t="array" ref="A114">_xlfn.CONCAT(Instructions!C121,Instructions!A121,"_",TEXT(Instructions!B121,"YYYYMMDD"),"_1_",INDEX(Table1[], MATCH(1,(Table1[Estuary]=Instructions!C121)*(Table1[StationNumber]=Instructions!D121)*(Instructions!B121&gt;Table1[StartDate])*(Instructions!B121&lt;Table1[EndDate]),0),1),"_1_",Instructions!E121,"_",Instructions!F121)</f>
        <v>TBSRVY_20190924_1_0291_1_03_013</v>
      </c>
      <c r="B114" t="str" cm="1">
        <f t="array" ref="B114">_xlfn.CONCAT(Instructions!C121,Instructions!A121,"_",TEXT(Instructions!B121,"YYYYMMDD"),"_1_",INDEX(Table1[], MATCH(1,(Table1[Estuary]=Instructions!C121)*(Table1[StationNumber]=Instructions!D121)*(Instructions!B121&gt;Table1[StartDate])*(Instructions!B121&lt;Table1[EndDate]),0),1),"_1_",Instructions!E121)</f>
        <v>TBSRVY_20190924_1_0291_1_03</v>
      </c>
      <c r="C114">
        <f>Instructions!G121</f>
        <v>9</v>
      </c>
      <c r="D114" t="str">
        <f>IF(ISBLANK(Instructions!H121),"",Instructions!H121)</f>
        <v>Entered</v>
      </c>
      <c r="E114" s="1">
        <f>IF(ISBLANK(Instructions!I121),"",Instructions!I121)</f>
        <v>45646</v>
      </c>
      <c r="F114" t="str">
        <f>IF(ISBLANK(Instructions!J121),"",Instructions!J121)</f>
        <v>Erica Williams</v>
      </c>
      <c r="G114" s="1" t="str">
        <f>IF(ISBLANK(Instructions!K121),"",Instructions!K121)</f>
        <v/>
      </c>
      <c r="H114" t="str">
        <f>IF(ISBLANK(Instructions!L121),"",Instructions!L121)</f>
        <v/>
      </c>
      <c r="I114" t="str">
        <f t="shared" si="3"/>
        <v>NULL</v>
      </c>
      <c r="J114" t="str">
        <f t="shared" si="3"/>
        <v>NULL</v>
      </c>
      <c r="K114" t="str">
        <f>Instructions!M121</f>
        <v>Added via SMSS</v>
      </c>
      <c r="L114" t="str">
        <f t="shared" si="1"/>
        <v>NULL</v>
      </c>
    </row>
    <row r="115" spans="1:12" x14ac:dyDescent="0.25">
      <c r="A115" t="str" cm="1">
        <f t="array" ref="A115">_xlfn.CONCAT(Instructions!C122,Instructions!A122,"_",TEXT(Instructions!B122,"YYYYMMDD"),"_1_",INDEX(Table1[], MATCH(1,(Table1[Estuary]=Instructions!C122)*(Table1[StationNumber]=Instructions!D122)*(Instructions!B122&gt;Table1[StartDate])*(Instructions!B122&lt;Table1[EndDate]),0),1),"_1_",Instructions!E122,"_",Instructions!F122)</f>
        <v>TBSRVY_20190924_1_0291_1_03_014</v>
      </c>
      <c r="B115" t="str" cm="1">
        <f t="array" ref="B115">_xlfn.CONCAT(Instructions!C122,Instructions!A122,"_",TEXT(Instructions!B122,"YYYYMMDD"),"_1_",INDEX(Table1[], MATCH(1,(Table1[Estuary]=Instructions!C122)*(Table1[StationNumber]=Instructions!D122)*(Instructions!B122&gt;Table1[StartDate])*(Instructions!B122&lt;Table1[EndDate]),0),1),"_1_",Instructions!E122)</f>
        <v>TBSRVY_20190924_1_0291_1_03</v>
      </c>
      <c r="C115">
        <f>Instructions!G122</f>
        <v>35</v>
      </c>
      <c r="D115" t="str">
        <f>IF(ISBLANK(Instructions!H122),"",Instructions!H122)</f>
        <v>Entered</v>
      </c>
      <c r="E115" s="1">
        <f>IF(ISBLANK(Instructions!I122),"",Instructions!I122)</f>
        <v>45646</v>
      </c>
      <c r="F115" t="str">
        <f>IF(ISBLANK(Instructions!J122),"",Instructions!J122)</f>
        <v>Erica Williams</v>
      </c>
      <c r="G115" s="1" t="str">
        <f>IF(ISBLANK(Instructions!K122),"",Instructions!K122)</f>
        <v/>
      </c>
      <c r="H115" t="str">
        <f>IF(ISBLANK(Instructions!L122),"",Instructions!L122)</f>
        <v/>
      </c>
      <c r="I115" t="str">
        <f t="shared" si="3"/>
        <v>NULL</v>
      </c>
      <c r="J115" t="str">
        <f t="shared" si="3"/>
        <v>NULL</v>
      </c>
      <c r="K115" t="str">
        <f>Instructions!M122</f>
        <v>Added via SMSS</v>
      </c>
      <c r="L115" t="str">
        <f t="shared" si="1"/>
        <v>NULL</v>
      </c>
    </row>
    <row r="116" spans="1:12" x14ac:dyDescent="0.25">
      <c r="A116" t="str" cm="1">
        <f t="array" ref="A116">_xlfn.CONCAT(Instructions!C123,Instructions!A123,"_",TEXT(Instructions!B123,"YYYYMMDD"),"_1_",INDEX(Table1[], MATCH(1,(Table1[Estuary]=Instructions!C123)*(Table1[StationNumber]=Instructions!D123)*(Instructions!B123&gt;Table1[StartDate])*(Instructions!B123&lt;Table1[EndDate]),0),1),"_1_",Instructions!E123,"_",Instructions!F123)</f>
        <v>TBSRVY_20190924_1_0291_1_03_015</v>
      </c>
      <c r="B116" t="str" cm="1">
        <f t="array" ref="B116">_xlfn.CONCAT(Instructions!C123,Instructions!A123,"_",TEXT(Instructions!B123,"YYYYMMDD"),"_1_",INDEX(Table1[], MATCH(1,(Table1[Estuary]=Instructions!C123)*(Table1[StationNumber]=Instructions!D123)*(Instructions!B123&gt;Table1[StartDate])*(Instructions!B123&lt;Table1[EndDate]),0),1),"_1_",Instructions!E123)</f>
        <v>TBSRVY_20190924_1_0291_1_03</v>
      </c>
      <c r="C116">
        <f>Instructions!G123</f>
        <v>36</v>
      </c>
      <c r="D116" t="str">
        <f>IF(ISBLANK(Instructions!H123),"",Instructions!H123)</f>
        <v>Entered</v>
      </c>
      <c r="E116" s="1">
        <f>IF(ISBLANK(Instructions!I123),"",Instructions!I123)</f>
        <v>45646</v>
      </c>
      <c r="F116" t="str">
        <f>IF(ISBLANK(Instructions!J123),"",Instructions!J123)</f>
        <v>Erica Williams</v>
      </c>
      <c r="G116" s="1" t="str">
        <f>IF(ISBLANK(Instructions!K123),"",Instructions!K123)</f>
        <v/>
      </c>
      <c r="H116" t="str">
        <f>IF(ISBLANK(Instructions!L123),"",Instructions!L123)</f>
        <v/>
      </c>
      <c r="I116" t="str">
        <f t="shared" si="3"/>
        <v>NULL</v>
      </c>
      <c r="J116" t="str">
        <f t="shared" si="3"/>
        <v>NULL</v>
      </c>
      <c r="K116" t="str">
        <f>Instructions!M123</f>
        <v>Added via SMSS</v>
      </c>
      <c r="L116" t="str">
        <f t="shared" si="1"/>
        <v>NULL</v>
      </c>
    </row>
    <row r="117" spans="1:12" x14ac:dyDescent="0.25">
      <c r="A117" t="str" cm="1">
        <f t="array" ref="A117">_xlfn.CONCAT(Instructions!C124,Instructions!A124,"_",TEXT(Instructions!B124,"YYYYMMDD"),"_1_",INDEX(Table1[], MATCH(1,(Table1[Estuary]=Instructions!C124)*(Table1[StationNumber]=Instructions!D124)*(Instructions!B124&gt;Table1[StartDate])*(Instructions!B124&lt;Table1[EndDate]),0),1),"_1_",Instructions!E124,"_",Instructions!F124)</f>
        <v>TBSRVY_20190924_1_0291_1_03_016</v>
      </c>
      <c r="B117" t="str" cm="1">
        <f t="array" ref="B117">_xlfn.CONCAT(Instructions!C124,Instructions!A124,"_",TEXT(Instructions!B124,"YYYYMMDD"),"_1_",INDEX(Table1[], MATCH(1,(Table1[Estuary]=Instructions!C124)*(Table1[StationNumber]=Instructions!D124)*(Instructions!B124&gt;Table1[StartDate])*(Instructions!B124&lt;Table1[EndDate]),0),1),"_1_",Instructions!E124)</f>
        <v>TBSRVY_20190924_1_0291_1_03</v>
      </c>
      <c r="C117">
        <f>Instructions!G124</f>
        <v>21</v>
      </c>
      <c r="D117" t="str">
        <f>IF(ISBLANK(Instructions!H124),"",Instructions!H124)</f>
        <v>Entered</v>
      </c>
      <c r="E117" s="1">
        <f>IF(ISBLANK(Instructions!I124),"",Instructions!I124)</f>
        <v>45646</v>
      </c>
      <c r="F117" t="str">
        <f>IF(ISBLANK(Instructions!J124),"",Instructions!J124)</f>
        <v>Erica Williams</v>
      </c>
      <c r="G117" s="1" t="str">
        <f>IF(ISBLANK(Instructions!K124),"",Instructions!K124)</f>
        <v/>
      </c>
      <c r="H117" t="str">
        <f>IF(ISBLANK(Instructions!L124),"",Instructions!L124)</f>
        <v/>
      </c>
      <c r="I117" t="str">
        <f t="shared" si="3"/>
        <v>NULL</v>
      </c>
      <c r="J117" t="str">
        <f t="shared" si="3"/>
        <v>NULL</v>
      </c>
      <c r="K117" t="str">
        <f>Instructions!M124</f>
        <v>Added via SMSS</v>
      </c>
      <c r="L117" t="str">
        <f t="shared" si="1"/>
        <v>NULL</v>
      </c>
    </row>
    <row r="118" spans="1:12" x14ac:dyDescent="0.25">
      <c r="A118" t="str" cm="1">
        <f t="array" ref="A118">_xlfn.CONCAT(Instructions!C125,Instructions!A125,"_",TEXT(Instructions!B125,"YYYYMMDD"),"_1_",INDEX(Table1[], MATCH(1,(Table1[Estuary]=Instructions!C125)*(Table1[StationNumber]=Instructions!D125)*(Instructions!B125&gt;Table1[StartDate])*(Instructions!B125&lt;Table1[EndDate]),0),1),"_1_",Instructions!E125,"_",Instructions!F125)</f>
        <v>TBSRVY_20190924_1_0291_1_03_017</v>
      </c>
      <c r="B118" t="str" cm="1">
        <f t="array" ref="B118">_xlfn.CONCAT(Instructions!C125,Instructions!A125,"_",TEXT(Instructions!B125,"YYYYMMDD"),"_1_",INDEX(Table1[], MATCH(1,(Table1[Estuary]=Instructions!C125)*(Table1[StationNumber]=Instructions!D125)*(Instructions!B125&gt;Table1[StartDate])*(Instructions!B125&lt;Table1[EndDate]),0),1),"_1_",Instructions!E125)</f>
        <v>TBSRVY_20190924_1_0291_1_03</v>
      </c>
      <c r="C118">
        <f>Instructions!G125</f>
        <v>31</v>
      </c>
      <c r="D118" t="str">
        <f>IF(ISBLANK(Instructions!H125),"",Instructions!H125)</f>
        <v>Entered</v>
      </c>
      <c r="E118" s="1">
        <f>IF(ISBLANK(Instructions!I125),"",Instructions!I125)</f>
        <v>45646</v>
      </c>
      <c r="F118" t="str">
        <f>IF(ISBLANK(Instructions!J125),"",Instructions!J125)</f>
        <v>Erica Williams</v>
      </c>
      <c r="G118" s="1" t="str">
        <f>IF(ISBLANK(Instructions!K125),"",Instructions!K125)</f>
        <v/>
      </c>
      <c r="H118" t="str">
        <f>IF(ISBLANK(Instructions!L125),"",Instructions!L125)</f>
        <v/>
      </c>
      <c r="I118" t="str">
        <f t="shared" si="3"/>
        <v>NULL</v>
      </c>
      <c r="J118" t="str">
        <f t="shared" si="3"/>
        <v>NULL</v>
      </c>
      <c r="K118" t="str">
        <f>Instructions!M125</f>
        <v>Added via SMSS</v>
      </c>
      <c r="L118" t="str">
        <f t="shared" si="1"/>
        <v>NULL</v>
      </c>
    </row>
    <row r="119" spans="1:12" x14ac:dyDescent="0.25">
      <c r="A119" t="str" cm="1">
        <f t="array" ref="A119">_xlfn.CONCAT(Instructions!C126,Instructions!A126,"_",TEXT(Instructions!B126,"YYYYMMDD"),"_1_",INDEX(Table1[], MATCH(1,(Table1[Estuary]=Instructions!C126)*(Table1[StationNumber]=Instructions!D126)*(Instructions!B126&gt;Table1[StartDate])*(Instructions!B126&lt;Table1[EndDate]),0),1),"_1_",Instructions!E126,"_",Instructions!F126)</f>
        <v>TBSRVY_20190924_1_0291_1_03_018</v>
      </c>
      <c r="B119" t="str" cm="1">
        <f t="array" ref="B119">_xlfn.CONCAT(Instructions!C126,Instructions!A126,"_",TEXT(Instructions!B126,"YYYYMMDD"),"_1_",INDEX(Table1[], MATCH(1,(Table1[Estuary]=Instructions!C126)*(Table1[StationNumber]=Instructions!D126)*(Instructions!B126&gt;Table1[StartDate])*(Instructions!B126&lt;Table1[EndDate]),0),1),"_1_",Instructions!E126)</f>
        <v>TBSRVY_20190924_1_0291_1_03</v>
      </c>
      <c r="C119">
        <f>Instructions!G126</f>
        <v>13</v>
      </c>
      <c r="D119" t="str">
        <f>IF(ISBLANK(Instructions!H126),"",Instructions!H126)</f>
        <v>Entered</v>
      </c>
      <c r="E119" s="1">
        <f>IF(ISBLANK(Instructions!I126),"",Instructions!I126)</f>
        <v>45646</v>
      </c>
      <c r="F119" t="str">
        <f>IF(ISBLANK(Instructions!J126),"",Instructions!J126)</f>
        <v>Erica Williams</v>
      </c>
      <c r="G119" s="1" t="str">
        <f>IF(ISBLANK(Instructions!K126),"",Instructions!K126)</f>
        <v/>
      </c>
      <c r="H119" t="str">
        <f>IF(ISBLANK(Instructions!L126),"",Instructions!L126)</f>
        <v/>
      </c>
      <c r="I119" t="str">
        <f t="shared" si="3"/>
        <v>NULL</v>
      </c>
      <c r="J119" t="str">
        <f t="shared" si="3"/>
        <v>NULL</v>
      </c>
      <c r="K119" t="str">
        <f>Instructions!M126</f>
        <v>Added via SMSS</v>
      </c>
      <c r="L119" t="str">
        <f t="shared" si="1"/>
        <v>NULL</v>
      </c>
    </row>
    <row r="120" spans="1:12" x14ac:dyDescent="0.25">
      <c r="A120" t="str" cm="1">
        <f t="array" ref="A120">_xlfn.CONCAT(Instructions!C127,Instructions!A127,"_",TEXT(Instructions!B127,"YYYYMMDD"),"_1_",INDEX(Table1[], MATCH(1,(Table1[Estuary]=Instructions!C127)*(Table1[StationNumber]=Instructions!D127)*(Instructions!B127&gt;Table1[StartDate])*(Instructions!B127&lt;Table1[EndDate]),0),1),"_1_",Instructions!E127,"_",Instructions!F127)</f>
        <v>TBSRVY_20190924_1_0291_1_03_019</v>
      </c>
      <c r="B120" t="str" cm="1">
        <f t="array" ref="B120">_xlfn.CONCAT(Instructions!C127,Instructions!A127,"_",TEXT(Instructions!B127,"YYYYMMDD"),"_1_",INDEX(Table1[], MATCH(1,(Table1[Estuary]=Instructions!C127)*(Table1[StationNumber]=Instructions!D127)*(Instructions!B127&gt;Table1[StartDate])*(Instructions!B127&lt;Table1[EndDate]),0),1),"_1_",Instructions!E127)</f>
        <v>TBSRVY_20190924_1_0291_1_03</v>
      </c>
      <c r="C120">
        <f>Instructions!G127</f>
        <v>25</v>
      </c>
      <c r="D120" t="str">
        <f>IF(ISBLANK(Instructions!H127),"",Instructions!H127)</f>
        <v>Entered</v>
      </c>
      <c r="E120" s="1">
        <f>IF(ISBLANK(Instructions!I127),"",Instructions!I127)</f>
        <v>45646</v>
      </c>
      <c r="F120" t="str">
        <f>IF(ISBLANK(Instructions!J127),"",Instructions!J127)</f>
        <v>Erica Williams</v>
      </c>
      <c r="G120" s="1" t="str">
        <f>IF(ISBLANK(Instructions!K127),"",Instructions!K127)</f>
        <v/>
      </c>
      <c r="H120" t="str">
        <f>IF(ISBLANK(Instructions!L127),"",Instructions!L127)</f>
        <v/>
      </c>
      <c r="I120" t="str">
        <f t="shared" si="3"/>
        <v>NULL</v>
      </c>
      <c r="J120" t="str">
        <f t="shared" si="3"/>
        <v>NULL</v>
      </c>
      <c r="K120" t="str">
        <f>Instructions!M127</f>
        <v>Added via SMSS</v>
      </c>
      <c r="L120" t="str">
        <f t="shared" si="1"/>
        <v>NULL</v>
      </c>
    </row>
    <row r="121" spans="1:12" x14ac:dyDescent="0.25">
      <c r="A121" t="str" cm="1">
        <f t="array" ref="A121">_xlfn.CONCAT(Instructions!C128,Instructions!A128,"_",TEXT(Instructions!B128,"YYYYMMDD"),"_1_",INDEX(Table1[], MATCH(1,(Table1[Estuary]=Instructions!C128)*(Table1[StationNumber]=Instructions!D128)*(Instructions!B128&gt;Table1[StartDate])*(Instructions!B128&lt;Table1[EndDate]),0),1),"_1_",Instructions!E128,"_",Instructions!F128)</f>
        <v>TBSRVY_20190924_1_0291_1_03_020</v>
      </c>
      <c r="B121" t="str" cm="1">
        <f t="array" ref="B121">_xlfn.CONCAT(Instructions!C128,Instructions!A128,"_",TEXT(Instructions!B128,"YYYYMMDD"),"_1_",INDEX(Table1[], MATCH(1,(Table1[Estuary]=Instructions!C128)*(Table1[StationNumber]=Instructions!D128)*(Instructions!B128&gt;Table1[StartDate])*(Instructions!B128&lt;Table1[EndDate]),0),1),"_1_",Instructions!E128)</f>
        <v>TBSRVY_20190924_1_0291_1_03</v>
      </c>
      <c r="C121">
        <f>Instructions!G128</f>
        <v>12</v>
      </c>
      <c r="D121" t="str">
        <f>IF(ISBLANK(Instructions!H128),"",Instructions!H128)</f>
        <v>Entered</v>
      </c>
      <c r="E121" s="1">
        <f>IF(ISBLANK(Instructions!I128),"",Instructions!I128)</f>
        <v>45646</v>
      </c>
      <c r="F121" t="str">
        <f>IF(ISBLANK(Instructions!J128),"",Instructions!J128)</f>
        <v>Erica Williams</v>
      </c>
      <c r="G121" s="1" t="str">
        <f>IF(ISBLANK(Instructions!K128),"",Instructions!K128)</f>
        <v/>
      </c>
      <c r="H121" t="str">
        <f>IF(ISBLANK(Instructions!L128),"",Instructions!L128)</f>
        <v/>
      </c>
      <c r="I121" t="str">
        <f t="shared" si="3"/>
        <v>NULL</v>
      </c>
      <c r="J121" t="str">
        <f t="shared" si="3"/>
        <v>NULL</v>
      </c>
      <c r="K121" t="str">
        <f>Instructions!M128</f>
        <v>Added via SMSS</v>
      </c>
      <c r="L121" t="str">
        <f t="shared" si="1"/>
        <v>NULL</v>
      </c>
    </row>
    <row r="122" spans="1:12" x14ac:dyDescent="0.25">
      <c r="A122" t="str" cm="1">
        <f t="array" ref="A122">_xlfn.CONCAT(Instructions!C129,Instructions!A129,"_",TEXT(Instructions!B129,"YYYYMMDD"),"_1_",INDEX(Table1[], MATCH(1,(Table1[Estuary]=Instructions!C129)*(Table1[StationNumber]=Instructions!D129)*(Instructions!B129&gt;Table1[StartDate])*(Instructions!B129&lt;Table1[EndDate]),0),1),"_1_",Instructions!E129,"_",Instructions!F129)</f>
        <v>TBSRVY_20190924_1_0291_1_03_021</v>
      </c>
      <c r="B122" t="str" cm="1">
        <f t="array" ref="B122">_xlfn.CONCAT(Instructions!C129,Instructions!A129,"_",TEXT(Instructions!B129,"YYYYMMDD"),"_1_",INDEX(Table1[], MATCH(1,(Table1[Estuary]=Instructions!C129)*(Table1[StationNumber]=Instructions!D129)*(Instructions!B129&gt;Table1[StartDate])*(Instructions!B129&lt;Table1[EndDate]),0),1),"_1_",Instructions!E129)</f>
        <v>TBSRVY_20190924_1_0291_1_03</v>
      </c>
      <c r="C122">
        <f>Instructions!G129</f>
        <v>16</v>
      </c>
      <c r="D122" t="str">
        <f>IF(ISBLANK(Instructions!H129),"",Instructions!H129)</f>
        <v>Entered</v>
      </c>
      <c r="E122" s="1">
        <f>IF(ISBLANK(Instructions!I129),"",Instructions!I129)</f>
        <v>45646</v>
      </c>
      <c r="F122" t="str">
        <f>IF(ISBLANK(Instructions!J129),"",Instructions!J129)</f>
        <v>Erica Williams</v>
      </c>
      <c r="G122" s="1" t="str">
        <f>IF(ISBLANK(Instructions!K129),"",Instructions!K129)</f>
        <v/>
      </c>
      <c r="H122" t="str">
        <f>IF(ISBLANK(Instructions!L129),"",Instructions!L129)</f>
        <v/>
      </c>
      <c r="I122" t="str">
        <f t="shared" si="3"/>
        <v>NULL</v>
      </c>
      <c r="J122" t="str">
        <f t="shared" si="3"/>
        <v>NULL</v>
      </c>
      <c r="K122" t="str">
        <f>Instructions!M129</f>
        <v>Added via SMSS</v>
      </c>
      <c r="L122" t="str">
        <f t="shared" si="1"/>
        <v>NULL</v>
      </c>
    </row>
    <row r="123" spans="1:12" x14ac:dyDescent="0.25">
      <c r="A123" t="str" cm="1">
        <f t="array" ref="A123">_xlfn.CONCAT(Instructions!C130,Instructions!A130,"_",TEXT(Instructions!B130,"YYYYMMDD"),"_1_",INDEX(Table1[], MATCH(1,(Table1[Estuary]=Instructions!C130)*(Table1[StationNumber]=Instructions!D130)*(Instructions!B130&gt;Table1[StartDate])*(Instructions!B130&lt;Table1[EndDate]),0),1),"_1_",Instructions!E130,"_",Instructions!F130)</f>
        <v>TBSRVY_20190924_1_0291_1_03_022</v>
      </c>
      <c r="B123" t="str" cm="1">
        <f t="array" ref="B123">_xlfn.CONCAT(Instructions!C130,Instructions!A130,"_",TEXT(Instructions!B130,"YYYYMMDD"),"_1_",INDEX(Table1[], MATCH(1,(Table1[Estuary]=Instructions!C130)*(Table1[StationNumber]=Instructions!D130)*(Instructions!B130&gt;Table1[StartDate])*(Instructions!B130&lt;Table1[EndDate]),0),1),"_1_",Instructions!E130)</f>
        <v>TBSRVY_20190924_1_0291_1_03</v>
      </c>
      <c r="C123">
        <f>Instructions!G130</f>
        <v>11</v>
      </c>
      <c r="D123" t="str">
        <f>IF(ISBLANK(Instructions!H130),"",Instructions!H130)</f>
        <v>Entered</v>
      </c>
      <c r="E123" s="1">
        <f>IF(ISBLANK(Instructions!I130),"",Instructions!I130)</f>
        <v>45646</v>
      </c>
      <c r="F123" t="str">
        <f>IF(ISBLANK(Instructions!J130),"",Instructions!J130)</f>
        <v>Erica Williams</v>
      </c>
      <c r="G123" s="1" t="str">
        <f>IF(ISBLANK(Instructions!K130),"",Instructions!K130)</f>
        <v/>
      </c>
      <c r="H123" t="str">
        <f>IF(ISBLANK(Instructions!L130),"",Instructions!L130)</f>
        <v/>
      </c>
      <c r="I123" t="str">
        <f t="shared" si="3"/>
        <v>NULL</v>
      </c>
      <c r="J123" t="str">
        <f t="shared" si="3"/>
        <v>NULL</v>
      </c>
      <c r="K123" t="str">
        <f>Instructions!M130</f>
        <v>Added via SMSS</v>
      </c>
      <c r="L123" t="str">
        <f t="shared" si="1"/>
        <v>NULL</v>
      </c>
    </row>
    <row r="124" spans="1:12" x14ac:dyDescent="0.25">
      <c r="A124" t="str" cm="1">
        <f t="array" ref="A124">_xlfn.CONCAT(Instructions!C131,Instructions!A131,"_",TEXT(Instructions!B131,"YYYYMMDD"),"_1_",INDEX(Table1[], MATCH(1,(Table1[Estuary]=Instructions!C131)*(Table1[StationNumber]=Instructions!D131)*(Instructions!B131&gt;Table1[StartDate])*(Instructions!B131&lt;Table1[EndDate]),0),1),"_1_",Instructions!E131,"_",Instructions!F131)</f>
        <v>TBSRVY_20190924_1_0291_1_03_023</v>
      </c>
      <c r="B124" t="str" cm="1">
        <f t="array" ref="B124">_xlfn.CONCAT(Instructions!C131,Instructions!A131,"_",TEXT(Instructions!B131,"YYYYMMDD"),"_1_",INDEX(Table1[], MATCH(1,(Table1[Estuary]=Instructions!C131)*(Table1[StationNumber]=Instructions!D131)*(Instructions!B131&gt;Table1[StartDate])*(Instructions!B131&lt;Table1[EndDate]),0),1),"_1_",Instructions!E131)</f>
        <v>TBSRVY_20190924_1_0291_1_03</v>
      </c>
      <c r="C124">
        <f>Instructions!G131</f>
        <v>7</v>
      </c>
      <c r="D124" t="str">
        <f>IF(ISBLANK(Instructions!H131),"",Instructions!H131)</f>
        <v>Entered</v>
      </c>
      <c r="E124" s="1">
        <f>IF(ISBLANK(Instructions!I131),"",Instructions!I131)</f>
        <v>45646</v>
      </c>
      <c r="F124" t="str">
        <f>IF(ISBLANK(Instructions!J131),"",Instructions!J131)</f>
        <v>Erica Williams</v>
      </c>
      <c r="G124" s="1" t="str">
        <f>IF(ISBLANK(Instructions!K131),"",Instructions!K131)</f>
        <v/>
      </c>
      <c r="H124" t="str">
        <f>IF(ISBLANK(Instructions!L131),"",Instructions!L131)</f>
        <v/>
      </c>
      <c r="I124" t="str">
        <f t="shared" si="3"/>
        <v>NULL</v>
      </c>
      <c r="J124" t="str">
        <f t="shared" si="3"/>
        <v>NULL</v>
      </c>
      <c r="K124" t="str">
        <f>Instructions!M131</f>
        <v>Added via SMSS</v>
      </c>
      <c r="L124" t="str">
        <f t="shared" si="1"/>
        <v>NULL</v>
      </c>
    </row>
    <row r="125" spans="1:12" x14ac:dyDescent="0.25">
      <c r="A125" t="str" cm="1">
        <f t="array" ref="A125">_xlfn.CONCAT(Instructions!C132,Instructions!A132,"_",TEXT(Instructions!B132,"YYYYMMDD"),"_1_",INDEX(Table1[], MATCH(1,(Table1[Estuary]=Instructions!C132)*(Table1[StationNumber]=Instructions!D132)*(Instructions!B132&gt;Table1[StartDate])*(Instructions!B132&lt;Table1[EndDate]),0),1),"_1_",Instructions!E132,"_",Instructions!F132)</f>
        <v>TBSRVY_20190924_1_0291_1_03_024</v>
      </c>
      <c r="B125" t="str" cm="1">
        <f t="array" ref="B125">_xlfn.CONCAT(Instructions!C132,Instructions!A132,"_",TEXT(Instructions!B132,"YYYYMMDD"),"_1_",INDEX(Table1[], MATCH(1,(Table1[Estuary]=Instructions!C132)*(Table1[StationNumber]=Instructions!D132)*(Instructions!B132&gt;Table1[StartDate])*(Instructions!B132&lt;Table1[EndDate]),0),1),"_1_",Instructions!E132)</f>
        <v>TBSRVY_20190924_1_0291_1_03</v>
      </c>
      <c r="C125">
        <f>Instructions!G132</f>
        <v>5</v>
      </c>
      <c r="D125" t="str">
        <f>IF(ISBLANK(Instructions!H132),"",Instructions!H132)</f>
        <v>Entered</v>
      </c>
      <c r="E125" s="1">
        <f>IF(ISBLANK(Instructions!I132),"",Instructions!I132)</f>
        <v>45646</v>
      </c>
      <c r="F125" t="str">
        <f>IF(ISBLANK(Instructions!J132),"",Instructions!J132)</f>
        <v>Erica Williams</v>
      </c>
      <c r="G125" s="1" t="str">
        <f>IF(ISBLANK(Instructions!K132),"",Instructions!K132)</f>
        <v/>
      </c>
      <c r="H125" t="str">
        <f>IF(ISBLANK(Instructions!L132),"",Instructions!L132)</f>
        <v/>
      </c>
      <c r="I125" t="str">
        <f t="shared" si="3"/>
        <v>NULL</v>
      </c>
      <c r="J125" t="str">
        <f t="shared" si="3"/>
        <v>NULL</v>
      </c>
      <c r="K125" t="str">
        <f>Instructions!M132</f>
        <v>Added via SMSS</v>
      </c>
      <c r="L125" t="str">
        <f t="shared" si="1"/>
        <v>NULL</v>
      </c>
    </row>
    <row r="126" spans="1:12" x14ac:dyDescent="0.25">
      <c r="A126" t="str" cm="1">
        <f t="array" ref="A126">_xlfn.CONCAT(Instructions!C133,Instructions!A133,"_",TEXT(Instructions!B133,"YYYYMMDD"),"_1_",INDEX(Table1[], MATCH(1,(Table1[Estuary]=Instructions!C133)*(Table1[StationNumber]=Instructions!D133)*(Instructions!B133&gt;Table1[StartDate])*(Instructions!B133&lt;Table1[EndDate]),0),1),"_1_",Instructions!E133,"_",Instructions!F133)</f>
        <v>TBSRVY_20190924_1_0291_1_03_025</v>
      </c>
      <c r="B126" t="str" cm="1">
        <f t="array" ref="B126">_xlfn.CONCAT(Instructions!C133,Instructions!A133,"_",TEXT(Instructions!B133,"YYYYMMDD"),"_1_",INDEX(Table1[], MATCH(1,(Table1[Estuary]=Instructions!C133)*(Table1[StationNumber]=Instructions!D133)*(Instructions!B133&gt;Table1[StartDate])*(Instructions!B133&lt;Table1[EndDate]),0),1),"_1_",Instructions!E133)</f>
        <v>TBSRVY_20190924_1_0291_1_03</v>
      </c>
      <c r="C126">
        <f>Instructions!G133</f>
        <v>13</v>
      </c>
      <c r="D126" t="str">
        <f>IF(ISBLANK(Instructions!H133),"",Instructions!H133)</f>
        <v>Entered</v>
      </c>
      <c r="E126" s="1">
        <f>IF(ISBLANK(Instructions!I133),"",Instructions!I133)</f>
        <v>45646</v>
      </c>
      <c r="F126" t="str">
        <f>IF(ISBLANK(Instructions!J133),"",Instructions!J133)</f>
        <v>Erica Williams</v>
      </c>
      <c r="G126" s="1" t="str">
        <f>IF(ISBLANK(Instructions!K133),"",Instructions!K133)</f>
        <v/>
      </c>
      <c r="H126" t="str">
        <f>IF(ISBLANK(Instructions!L133),"",Instructions!L133)</f>
        <v/>
      </c>
      <c r="I126" t="str">
        <f t="shared" si="3"/>
        <v>NULL</v>
      </c>
      <c r="J126" t="str">
        <f t="shared" si="3"/>
        <v>NULL</v>
      </c>
      <c r="K126" t="str">
        <f>Instructions!M133</f>
        <v>Added via SMSS</v>
      </c>
      <c r="L126" t="str">
        <f t="shared" si="1"/>
        <v>NULL</v>
      </c>
    </row>
    <row r="127" spans="1:12" x14ac:dyDescent="0.25">
      <c r="A127" t="str" cm="1">
        <f t="array" ref="A127">_xlfn.CONCAT(Instructions!C134,Instructions!A134,"_",TEXT(Instructions!B134,"YYYYMMDD"),"_1_",INDEX(Table1[], MATCH(1,(Table1[Estuary]=Instructions!C134)*(Table1[StationNumber]=Instructions!D134)*(Instructions!B134&gt;Table1[StartDate])*(Instructions!B134&lt;Table1[EndDate]),0),1),"_1_",Instructions!E134,"_",Instructions!F134)</f>
        <v>TBSRVY_20190924_1_0291_1_03_026</v>
      </c>
      <c r="B127" t="str" cm="1">
        <f t="array" ref="B127">_xlfn.CONCAT(Instructions!C134,Instructions!A134,"_",TEXT(Instructions!B134,"YYYYMMDD"),"_1_",INDEX(Table1[], MATCH(1,(Table1[Estuary]=Instructions!C134)*(Table1[StationNumber]=Instructions!D134)*(Instructions!B134&gt;Table1[StartDate])*(Instructions!B134&lt;Table1[EndDate]),0),1),"_1_",Instructions!E134)</f>
        <v>TBSRVY_20190924_1_0291_1_03</v>
      </c>
      <c r="C127">
        <f>Instructions!G134</f>
        <v>10</v>
      </c>
      <c r="D127" t="str">
        <f>IF(ISBLANK(Instructions!H134),"",Instructions!H134)</f>
        <v>Entered</v>
      </c>
      <c r="E127" s="1">
        <f>IF(ISBLANK(Instructions!I134),"",Instructions!I134)</f>
        <v>45646</v>
      </c>
      <c r="F127" t="str">
        <f>IF(ISBLANK(Instructions!J134),"",Instructions!J134)</f>
        <v>Erica Williams</v>
      </c>
      <c r="G127" s="1" t="str">
        <f>IF(ISBLANK(Instructions!K134),"",Instructions!K134)</f>
        <v/>
      </c>
      <c r="H127" t="str">
        <f>IF(ISBLANK(Instructions!L134),"",Instructions!L134)</f>
        <v/>
      </c>
      <c r="I127" t="str">
        <f t="shared" si="3"/>
        <v>NULL</v>
      </c>
      <c r="J127" t="str">
        <f t="shared" si="3"/>
        <v>NULL</v>
      </c>
      <c r="K127" t="str">
        <f>Instructions!M134</f>
        <v>Added via SMSS</v>
      </c>
      <c r="L127" t="str">
        <f t="shared" si="1"/>
        <v>NULL</v>
      </c>
    </row>
    <row r="128" spans="1:12" x14ac:dyDescent="0.25">
      <c r="A128" t="str" cm="1">
        <f t="array" ref="A128">_xlfn.CONCAT(Instructions!C135,Instructions!A135,"_",TEXT(Instructions!B135,"YYYYMMDD"),"_1_",INDEX(Table1[], MATCH(1,(Table1[Estuary]=Instructions!C135)*(Table1[StationNumber]=Instructions!D135)*(Instructions!B135&gt;Table1[StartDate])*(Instructions!B135&lt;Table1[EndDate]),0),1),"_1_",Instructions!E135,"_",Instructions!F135)</f>
        <v>TBSRVY_20190924_1_0291_1_03_027</v>
      </c>
      <c r="B128" t="str" cm="1">
        <f t="array" ref="B128">_xlfn.CONCAT(Instructions!C135,Instructions!A135,"_",TEXT(Instructions!B135,"YYYYMMDD"),"_1_",INDEX(Table1[], MATCH(1,(Table1[Estuary]=Instructions!C135)*(Table1[StationNumber]=Instructions!D135)*(Instructions!B135&gt;Table1[StartDate])*(Instructions!B135&lt;Table1[EndDate]),0),1),"_1_",Instructions!E135)</f>
        <v>TBSRVY_20190924_1_0291_1_03</v>
      </c>
      <c r="C128">
        <f>Instructions!G135</f>
        <v>32</v>
      </c>
      <c r="D128" t="str">
        <f>IF(ISBLANK(Instructions!H135),"",Instructions!H135)</f>
        <v>Entered</v>
      </c>
      <c r="E128" s="1">
        <f>IF(ISBLANK(Instructions!I135),"",Instructions!I135)</f>
        <v>45646</v>
      </c>
      <c r="F128" t="str">
        <f>IF(ISBLANK(Instructions!J135),"",Instructions!J135)</f>
        <v>Erica Williams</v>
      </c>
      <c r="G128" s="1" t="str">
        <f>IF(ISBLANK(Instructions!K135),"",Instructions!K135)</f>
        <v/>
      </c>
      <c r="H128" t="str">
        <f>IF(ISBLANK(Instructions!L135),"",Instructions!L135)</f>
        <v/>
      </c>
      <c r="I128" t="str">
        <f t="shared" si="3"/>
        <v>NULL</v>
      </c>
      <c r="J128" t="str">
        <f t="shared" si="3"/>
        <v>NULL</v>
      </c>
      <c r="K128" t="str">
        <f>Instructions!M135</f>
        <v>Added via SMSS</v>
      </c>
      <c r="L128" t="str">
        <f t="shared" si="1"/>
        <v>NULL</v>
      </c>
    </row>
    <row r="129" spans="1:12" x14ac:dyDescent="0.25">
      <c r="A129" t="str" cm="1">
        <f t="array" ref="A129">_xlfn.CONCAT(Instructions!C136,Instructions!A136,"_",TEXT(Instructions!B136,"YYYYMMDD"),"_1_",INDEX(Table1[], MATCH(1,(Table1[Estuary]=Instructions!C136)*(Table1[StationNumber]=Instructions!D136)*(Instructions!B136&gt;Table1[StartDate])*(Instructions!B136&lt;Table1[EndDate]),0),1),"_1_",Instructions!E136,"_",Instructions!F136)</f>
        <v>TBSRVY_20190924_1_0291_1_03_028</v>
      </c>
      <c r="B129" t="str" cm="1">
        <f t="array" ref="B129">_xlfn.CONCAT(Instructions!C136,Instructions!A136,"_",TEXT(Instructions!B136,"YYYYMMDD"),"_1_",INDEX(Table1[], MATCH(1,(Table1[Estuary]=Instructions!C136)*(Table1[StationNumber]=Instructions!D136)*(Instructions!B136&gt;Table1[StartDate])*(Instructions!B136&lt;Table1[EndDate]),0),1),"_1_",Instructions!E136)</f>
        <v>TBSRVY_20190924_1_0291_1_03</v>
      </c>
      <c r="C129">
        <f>Instructions!G136</f>
        <v>20</v>
      </c>
      <c r="D129" t="str">
        <f>IF(ISBLANK(Instructions!H136),"",Instructions!H136)</f>
        <v>Entered</v>
      </c>
      <c r="E129" s="1">
        <f>IF(ISBLANK(Instructions!I136),"",Instructions!I136)</f>
        <v>45646</v>
      </c>
      <c r="F129" t="str">
        <f>IF(ISBLANK(Instructions!J136),"",Instructions!J136)</f>
        <v>Erica Williams</v>
      </c>
      <c r="G129" s="1" t="str">
        <f>IF(ISBLANK(Instructions!K136),"",Instructions!K136)</f>
        <v/>
      </c>
      <c r="H129" t="str">
        <f>IF(ISBLANK(Instructions!L136),"",Instructions!L136)</f>
        <v/>
      </c>
      <c r="I129" t="str">
        <f t="shared" si="3"/>
        <v>NULL</v>
      </c>
      <c r="J129" t="str">
        <f t="shared" si="3"/>
        <v>NULL</v>
      </c>
      <c r="K129" t="str">
        <f>Instructions!M136</f>
        <v>Added via SMSS</v>
      </c>
      <c r="L129" t="str">
        <f t="shared" si="1"/>
        <v>NULL</v>
      </c>
    </row>
    <row r="130" spans="1:12" x14ac:dyDescent="0.25">
      <c r="A130" t="str" cm="1">
        <f t="array" ref="A130">_xlfn.CONCAT(Instructions!C137,Instructions!A137,"_",TEXT(Instructions!B137,"YYYYMMDD"),"_1_",INDEX(Table1[], MATCH(1,(Table1[Estuary]=Instructions!C137)*(Table1[StationNumber]=Instructions!D137)*(Instructions!B137&gt;Table1[StartDate])*(Instructions!B137&lt;Table1[EndDate]),0),1),"_1_",Instructions!E137,"_",Instructions!F137)</f>
        <v>TBSRVY_20190924_1_0291_1_03_029</v>
      </c>
      <c r="B130" t="str" cm="1">
        <f t="array" ref="B130">_xlfn.CONCAT(Instructions!C137,Instructions!A137,"_",TEXT(Instructions!B137,"YYYYMMDD"),"_1_",INDEX(Table1[], MATCH(1,(Table1[Estuary]=Instructions!C137)*(Table1[StationNumber]=Instructions!D137)*(Instructions!B137&gt;Table1[StartDate])*(Instructions!B137&lt;Table1[EndDate]),0),1),"_1_",Instructions!E137)</f>
        <v>TBSRVY_20190924_1_0291_1_03</v>
      </c>
      <c r="C130">
        <f>Instructions!G137</f>
        <v>12</v>
      </c>
      <c r="D130" t="str">
        <f>IF(ISBLANK(Instructions!H137),"",Instructions!H137)</f>
        <v>Entered</v>
      </c>
      <c r="E130" s="1">
        <f>IF(ISBLANK(Instructions!I137),"",Instructions!I137)</f>
        <v>45646</v>
      </c>
      <c r="F130" t="str">
        <f>IF(ISBLANK(Instructions!J137),"",Instructions!J137)</f>
        <v>Erica Williams</v>
      </c>
      <c r="G130" s="1" t="str">
        <f>IF(ISBLANK(Instructions!K137),"",Instructions!K137)</f>
        <v/>
      </c>
      <c r="H130" t="str">
        <f>IF(ISBLANK(Instructions!L137),"",Instructions!L137)</f>
        <v/>
      </c>
      <c r="I130" t="str">
        <f t="shared" si="3"/>
        <v>NULL</v>
      </c>
      <c r="J130" t="str">
        <f t="shared" ref="J130" si="4">"NULL"</f>
        <v>NULL</v>
      </c>
      <c r="K130" t="str">
        <f>Instructions!M137</f>
        <v>Added via SMSS</v>
      </c>
      <c r="L130" t="str">
        <f t="shared" si="1"/>
        <v>NULL</v>
      </c>
    </row>
    <row r="131" spans="1:12" x14ac:dyDescent="0.25">
      <c r="A131" t="str" cm="1">
        <f t="array" ref="A131">_xlfn.CONCAT(Instructions!C138,Instructions!A138,"_",TEXT(Instructions!B138,"YYYYMMDD"),"_1_",INDEX(Table1[], MATCH(1,(Table1[Estuary]=Instructions!C138)*(Table1[StationNumber]=Instructions!D138)*(Instructions!B138&gt;Table1[StartDate])*(Instructions!B138&lt;Table1[EndDate]),0),1),"_1_",Instructions!E138,"_",Instructions!F138)</f>
        <v>TBSRVY_20190924_1_0291_1_03_030</v>
      </c>
      <c r="B131" t="str" cm="1">
        <f t="array" ref="B131">_xlfn.CONCAT(Instructions!C138,Instructions!A138,"_",TEXT(Instructions!B138,"YYYYMMDD"),"_1_",INDEX(Table1[], MATCH(1,(Table1[Estuary]=Instructions!C138)*(Table1[StationNumber]=Instructions!D138)*(Instructions!B138&gt;Table1[StartDate])*(Instructions!B138&lt;Table1[EndDate]),0),1),"_1_",Instructions!E138)</f>
        <v>TBSRVY_20190924_1_0291_1_03</v>
      </c>
      <c r="C131">
        <f>Instructions!G138</f>
        <v>15</v>
      </c>
      <c r="D131" t="str">
        <f>IF(ISBLANK(Instructions!H138),"",Instructions!H138)</f>
        <v>Entered</v>
      </c>
      <c r="E131" s="1">
        <f>IF(ISBLANK(Instructions!I138),"",Instructions!I138)</f>
        <v>45646</v>
      </c>
      <c r="F131" t="str">
        <f>IF(ISBLANK(Instructions!J138),"",Instructions!J138)</f>
        <v>Erica Williams</v>
      </c>
      <c r="G131" s="1" t="str">
        <f>IF(ISBLANK(Instructions!K138),"",Instructions!K138)</f>
        <v/>
      </c>
      <c r="H131" t="str">
        <f>IF(ISBLANK(Instructions!L138),"",Instructions!L138)</f>
        <v/>
      </c>
      <c r="I131" t="str">
        <f t="shared" ref="I131:J194" si="5">"NULL"</f>
        <v>NULL</v>
      </c>
      <c r="J131" t="str">
        <f t="shared" si="5"/>
        <v>NULL</v>
      </c>
      <c r="K131" t="str">
        <f>Instructions!M138</f>
        <v>Added via SMSS</v>
      </c>
      <c r="L131" t="str">
        <f t="shared" si="1"/>
        <v>NULL</v>
      </c>
    </row>
    <row r="132" spans="1:12" x14ac:dyDescent="0.25">
      <c r="A132" t="str" cm="1">
        <f t="array" ref="A132">_xlfn.CONCAT(Instructions!C139,Instructions!A139,"_",TEXT(Instructions!B139,"YYYYMMDD"),"_1_",INDEX(Table1[], MATCH(1,(Table1[Estuary]=Instructions!C139)*(Table1[StationNumber]=Instructions!D139)*(Instructions!B139&gt;Table1[StartDate])*(Instructions!B139&lt;Table1[EndDate]),0),1),"_1_",Instructions!E139,"_",Instructions!F139)</f>
        <v>TBSRVY_20190924_1_0291_1_03_031</v>
      </c>
      <c r="B132" t="str" cm="1">
        <f t="array" ref="B132">_xlfn.CONCAT(Instructions!C139,Instructions!A139,"_",TEXT(Instructions!B139,"YYYYMMDD"),"_1_",INDEX(Table1[], MATCH(1,(Table1[Estuary]=Instructions!C139)*(Table1[StationNumber]=Instructions!D139)*(Instructions!B139&gt;Table1[StartDate])*(Instructions!B139&lt;Table1[EndDate]),0),1),"_1_",Instructions!E139)</f>
        <v>TBSRVY_20190924_1_0291_1_03</v>
      </c>
      <c r="C132">
        <f>Instructions!G139</f>
        <v>22</v>
      </c>
      <c r="D132" t="str">
        <f>IF(ISBLANK(Instructions!H139),"",Instructions!H139)</f>
        <v>Entered</v>
      </c>
      <c r="E132" s="1">
        <f>IF(ISBLANK(Instructions!I139),"",Instructions!I139)</f>
        <v>45646</v>
      </c>
      <c r="F132" t="str">
        <f>IF(ISBLANK(Instructions!J139),"",Instructions!J139)</f>
        <v>Erica Williams</v>
      </c>
      <c r="G132" s="1" t="str">
        <f>IF(ISBLANK(Instructions!K139),"",Instructions!K139)</f>
        <v/>
      </c>
      <c r="H132" t="str">
        <f>IF(ISBLANK(Instructions!L139),"",Instructions!L139)</f>
        <v/>
      </c>
      <c r="I132" t="str">
        <f t="shared" si="5"/>
        <v>NULL</v>
      </c>
      <c r="J132" t="str">
        <f t="shared" si="5"/>
        <v>NULL</v>
      </c>
      <c r="K132" t="str">
        <f>Instructions!M139</f>
        <v>Added via SMSS</v>
      </c>
      <c r="L132" t="str">
        <f t="shared" si="1"/>
        <v>NULL</v>
      </c>
    </row>
    <row r="133" spans="1:12" x14ac:dyDescent="0.25">
      <c r="A133" t="str" cm="1">
        <f t="array" ref="A133">_xlfn.CONCAT(Instructions!C140,Instructions!A140,"_",TEXT(Instructions!B140,"YYYYMMDD"),"_1_",INDEX(Table1[], MATCH(1,(Table1[Estuary]=Instructions!C140)*(Table1[StationNumber]=Instructions!D140)*(Instructions!B140&gt;Table1[StartDate])*(Instructions!B140&lt;Table1[EndDate]),0),1),"_1_",Instructions!E140,"_",Instructions!F140)</f>
        <v>TBSRVY_20190924_1_0291_1_03_032</v>
      </c>
      <c r="B133" t="str" cm="1">
        <f t="array" ref="B133">_xlfn.CONCAT(Instructions!C140,Instructions!A140,"_",TEXT(Instructions!B140,"YYYYMMDD"),"_1_",INDEX(Table1[], MATCH(1,(Table1[Estuary]=Instructions!C140)*(Table1[StationNumber]=Instructions!D140)*(Instructions!B140&gt;Table1[StartDate])*(Instructions!B140&lt;Table1[EndDate]),0),1),"_1_",Instructions!E140)</f>
        <v>TBSRVY_20190924_1_0291_1_03</v>
      </c>
      <c r="C133">
        <f>Instructions!G140</f>
        <v>7</v>
      </c>
      <c r="D133" t="str">
        <f>IF(ISBLANK(Instructions!H140),"",Instructions!H140)</f>
        <v>Entered</v>
      </c>
      <c r="E133" s="1">
        <f>IF(ISBLANK(Instructions!I140),"",Instructions!I140)</f>
        <v>45646</v>
      </c>
      <c r="F133" t="str">
        <f>IF(ISBLANK(Instructions!J140),"",Instructions!J140)</f>
        <v>Erica Williams</v>
      </c>
      <c r="G133" s="1" t="str">
        <f>IF(ISBLANK(Instructions!K140),"",Instructions!K140)</f>
        <v/>
      </c>
      <c r="H133" t="str">
        <f>IF(ISBLANK(Instructions!L140),"",Instructions!L140)</f>
        <v/>
      </c>
      <c r="I133" t="str">
        <f t="shared" si="5"/>
        <v>NULL</v>
      </c>
      <c r="J133" t="str">
        <f t="shared" si="5"/>
        <v>NULL</v>
      </c>
      <c r="K133" t="str">
        <f>Instructions!M140</f>
        <v>Added via SMSS</v>
      </c>
      <c r="L133" t="str">
        <f t="shared" si="1"/>
        <v>NULL</v>
      </c>
    </row>
    <row r="134" spans="1:12" x14ac:dyDescent="0.25">
      <c r="A134" t="str" cm="1">
        <f t="array" ref="A134">_xlfn.CONCAT(Instructions!C141,Instructions!A141,"_",TEXT(Instructions!B141,"YYYYMMDD"),"_1_",INDEX(Table1[], MATCH(1,(Table1[Estuary]=Instructions!C141)*(Table1[StationNumber]=Instructions!D141)*(Instructions!B141&gt;Table1[StartDate])*(Instructions!B141&lt;Table1[EndDate]),0),1),"_1_",Instructions!E141,"_",Instructions!F141)</f>
        <v>TBSRVY_20190924_1_0291_1_03_033</v>
      </c>
      <c r="B134" t="str" cm="1">
        <f t="array" ref="B134">_xlfn.CONCAT(Instructions!C141,Instructions!A141,"_",TEXT(Instructions!B141,"YYYYMMDD"),"_1_",INDEX(Table1[], MATCH(1,(Table1[Estuary]=Instructions!C141)*(Table1[StationNumber]=Instructions!D141)*(Instructions!B141&gt;Table1[StartDate])*(Instructions!B141&lt;Table1[EndDate]),0),1),"_1_",Instructions!E141)</f>
        <v>TBSRVY_20190924_1_0291_1_03</v>
      </c>
      <c r="C134">
        <f>Instructions!G141</f>
        <v>5</v>
      </c>
      <c r="D134" t="str">
        <f>IF(ISBLANK(Instructions!H141),"",Instructions!H141)</f>
        <v>Entered</v>
      </c>
      <c r="E134" s="1">
        <f>IF(ISBLANK(Instructions!I141),"",Instructions!I141)</f>
        <v>45646</v>
      </c>
      <c r="F134" t="str">
        <f>IF(ISBLANK(Instructions!J141),"",Instructions!J141)</f>
        <v>Erica Williams</v>
      </c>
      <c r="G134" s="1" t="str">
        <f>IF(ISBLANK(Instructions!K141),"",Instructions!K141)</f>
        <v/>
      </c>
      <c r="H134" t="str">
        <f>IF(ISBLANK(Instructions!L141),"",Instructions!L141)</f>
        <v/>
      </c>
      <c r="I134" t="str">
        <f t="shared" si="5"/>
        <v>NULL</v>
      </c>
      <c r="J134" t="str">
        <f t="shared" si="5"/>
        <v>NULL</v>
      </c>
      <c r="K134" t="str">
        <f>Instructions!M141</f>
        <v>Added via SMSS</v>
      </c>
      <c r="L134" t="str">
        <f t="shared" si="1"/>
        <v>NULL</v>
      </c>
    </row>
    <row r="135" spans="1:12" x14ac:dyDescent="0.25">
      <c r="A135" t="str" cm="1">
        <f t="array" ref="A135">_xlfn.CONCAT(Instructions!C142,Instructions!A142,"_",TEXT(Instructions!B142,"YYYYMMDD"),"_1_",INDEX(Table1[], MATCH(1,(Table1[Estuary]=Instructions!C142)*(Table1[StationNumber]=Instructions!D142)*(Instructions!B142&gt;Table1[StartDate])*(Instructions!B142&lt;Table1[EndDate]),0),1),"_1_",Instructions!E142,"_",Instructions!F142)</f>
        <v>TBSRVY_20190924_1_0291_1_03_034</v>
      </c>
      <c r="B135" t="str" cm="1">
        <f t="array" ref="B135">_xlfn.CONCAT(Instructions!C142,Instructions!A142,"_",TEXT(Instructions!B142,"YYYYMMDD"),"_1_",INDEX(Table1[], MATCH(1,(Table1[Estuary]=Instructions!C142)*(Table1[StationNumber]=Instructions!D142)*(Instructions!B142&gt;Table1[StartDate])*(Instructions!B142&lt;Table1[EndDate]),0),1),"_1_",Instructions!E142)</f>
        <v>TBSRVY_20190924_1_0291_1_03</v>
      </c>
      <c r="C135">
        <f>Instructions!G142</f>
        <v>31</v>
      </c>
      <c r="D135" t="str">
        <f>IF(ISBLANK(Instructions!H142),"",Instructions!H142)</f>
        <v>Entered</v>
      </c>
      <c r="E135" s="1">
        <f>IF(ISBLANK(Instructions!I142),"",Instructions!I142)</f>
        <v>45646</v>
      </c>
      <c r="F135" t="str">
        <f>IF(ISBLANK(Instructions!J142),"",Instructions!J142)</f>
        <v>Erica Williams</v>
      </c>
      <c r="G135" s="1" t="str">
        <f>IF(ISBLANK(Instructions!K142),"",Instructions!K142)</f>
        <v/>
      </c>
      <c r="H135" t="str">
        <f>IF(ISBLANK(Instructions!L142),"",Instructions!L142)</f>
        <v/>
      </c>
      <c r="I135" t="str">
        <f t="shared" si="5"/>
        <v>NULL</v>
      </c>
      <c r="J135" t="str">
        <f t="shared" si="5"/>
        <v>NULL</v>
      </c>
      <c r="K135" t="str">
        <f>Instructions!M142</f>
        <v>Added via SMSS</v>
      </c>
      <c r="L135" t="str">
        <f t="shared" si="1"/>
        <v>NULL</v>
      </c>
    </row>
    <row r="136" spans="1:12" x14ac:dyDescent="0.25">
      <c r="A136" t="str" cm="1">
        <f t="array" ref="A136">_xlfn.CONCAT(Instructions!C143,Instructions!A143,"_",TEXT(Instructions!B143,"YYYYMMDD"),"_1_",INDEX(Table1[], MATCH(1,(Table1[Estuary]=Instructions!C143)*(Table1[StationNumber]=Instructions!D143)*(Instructions!B143&gt;Table1[StartDate])*(Instructions!B143&lt;Table1[EndDate]),0),1),"_1_",Instructions!E143,"_",Instructions!F143)</f>
        <v>TBSRVY_20190924_1_0291_1_03_035</v>
      </c>
      <c r="B136" t="str" cm="1">
        <f t="array" ref="B136">_xlfn.CONCAT(Instructions!C143,Instructions!A143,"_",TEXT(Instructions!B143,"YYYYMMDD"),"_1_",INDEX(Table1[], MATCH(1,(Table1[Estuary]=Instructions!C143)*(Table1[StationNumber]=Instructions!D143)*(Instructions!B143&gt;Table1[StartDate])*(Instructions!B143&lt;Table1[EndDate]),0),1),"_1_",Instructions!E143)</f>
        <v>TBSRVY_20190924_1_0291_1_03</v>
      </c>
      <c r="C136">
        <f>Instructions!G143</f>
        <v>21</v>
      </c>
      <c r="D136" t="str">
        <f>IF(ISBLANK(Instructions!H143),"",Instructions!H143)</f>
        <v>Entered</v>
      </c>
      <c r="E136" s="1">
        <f>IF(ISBLANK(Instructions!I143),"",Instructions!I143)</f>
        <v>45646</v>
      </c>
      <c r="F136" t="str">
        <f>IF(ISBLANK(Instructions!J143),"",Instructions!J143)</f>
        <v>Erica Williams</v>
      </c>
      <c r="G136" s="1" t="str">
        <f>IF(ISBLANK(Instructions!K143),"",Instructions!K143)</f>
        <v/>
      </c>
      <c r="H136" t="str">
        <f>IF(ISBLANK(Instructions!L143),"",Instructions!L143)</f>
        <v/>
      </c>
      <c r="I136" t="str">
        <f t="shared" si="5"/>
        <v>NULL</v>
      </c>
      <c r="J136" t="str">
        <f t="shared" si="5"/>
        <v>NULL</v>
      </c>
      <c r="K136" t="str">
        <f>Instructions!M143</f>
        <v>Added via SMSS</v>
      </c>
      <c r="L136" t="str">
        <f t="shared" si="1"/>
        <v>NULL</v>
      </c>
    </row>
    <row r="137" spans="1:12" x14ac:dyDescent="0.25">
      <c r="A137" t="str" cm="1">
        <f t="array" ref="A137">_xlfn.CONCAT(Instructions!C144,Instructions!A144,"_",TEXT(Instructions!B144,"YYYYMMDD"),"_1_",INDEX(Table1[], MATCH(1,(Table1[Estuary]=Instructions!C144)*(Table1[StationNumber]=Instructions!D144)*(Instructions!B144&gt;Table1[StartDate])*(Instructions!B144&lt;Table1[EndDate]),0),1),"_1_",Instructions!E144,"_",Instructions!F144)</f>
        <v>TBSRVY_20190924_1_0291_1_03_036</v>
      </c>
      <c r="B137" t="str" cm="1">
        <f t="array" ref="B137">_xlfn.CONCAT(Instructions!C144,Instructions!A144,"_",TEXT(Instructions!B144,"YYYYMMDD"),"_1_",INDEX(Table1[], MATCH(1,(Table1[Estuary]=Instructions!C144)*(Table1[StationNumber]=Instructions!D144)*(Instructions!B144&gt;Table1[StartDate])*(Instructions!B144&lt;Table1[EndDate]),0),1),"_1_",Instructions!E144)</f>
        <v>TBSRVY_20190924_1_0291_1_03</v>
      </c>
      <c r="C137">
        <f>Instructions!G144</f>
        <v>8</v>
      </c>
      <c r="D137" t="str">
        <f>IF(ISBLANK(Instructions!H144),"",Instructions!H144)</f>
        <v>Entered</v>
      </c>
      <c r="E137" s="1">
        <f>IF(ISBLANK(Instructions!I144),"",Instructions!I144)</f>
        <v>45646</v>
      </c>
      <c r="F137" t="str">
        <f>IF(ISBLANK(Instructions!J144),"",Instructions!J144)</f>
        <v>Erica Williams</v>
      </c>
      <c r="G137" s="1" t="str">
        <f>IF(ISBLANK(Instructions!K144),"",Instructions!K144)</f>
        <v/>
      </c>
      <c r="H137" t="str">
        <f>IF(ISBLANK(Instructions!L144),"",Instructions!L144)</f>
        <v/>
      </c>
      <c r="I137" t="str">
        <f t="shared" si="5"/>
        <v>NULL</v>
      </c>
      <c r="J137" t="str">
        <f t="shared" si="5"/>
        <v>NULL</v>
      </c>
      <c r="K137" t="str">
        <f>Instructions!M144</f>
        <v>Added via SMSS</v>
      </c>
      <c r="L137" t="str">
        <f t="shared" si="1"/>
        <v>NULL</v>
      </c>
    </row>
    <row r="138" spans="1:12" x14ac:dyDescent="0.25">
      <c r="A138" t="str" cm="1">
        <f t="array" ref="A138">_xlfn.CONCAT(Instructions!C145,Instructions!A145,"_",TEXT(Instructions!B145,"YYYYMMDD"),"_1_",INDEX(Table1[], MATCH(1,(Table1[Estuary]=Instructions!C145)*(Table1[StationNumber]=Instructions!D145)*(Instructions!B145&gt;Table1[StartDate])*(Instructions!B145&lt;Table1[EndDate]),0),1),"_1_",Instructions!E145,"_",Instructions!F145)</f>
        <v>TBSRVY_20190924_1_0291_1_03_037</v>
      </c>
      <c r="B138" t="str" cm="1">
        <f t="array" ref="B138">_xlfn.CONCAT(Instructions!C145,Instructions!A145,"_",TEXT(Instructions!B145,"YYYYMMDD"),"_1_",INDEX(Table1[], MATCH(1,(Table1[Estuary]=Instructions!C145)*(Table1[StationNumber]=Instructions!D145)*(Instructions!B145&gt;Table1[StartDate])*(Instructions!B145&lt;Table1[EndDate]),0),1),"_1_",Instructions!E145)</f>
        <v>TBSRVY_20190924_1_0291_1_03</v>
      </c>
      <c r="C138">
        <f>Instructions!G145</f>
        <v>20</v>
      </c>
      <c r="D138" t="str">
        <f>IF(ISBLANK(Instructions!H145),"",Instructions!H145)</f>
        <v>Entered</v>
      </c>
      <c r="E138" s="1">
        <f>IF(ISBLANK(Instructions!I145),"",Instructions!I145)</f>
        <v>45646</v>
      </c>
      <c r="F138" t="str">
        <f>IF(ISBLANK(Instructions!J145),"",Instructions!J145)</f>
        <v>Erica Williams</v>
      </c>
      <c r="G138" s="1" t="str">
        <f>IF(ISBLANK(Instructions!K145),"",Instructions!K145)</f>
        <v/>
      </c>
      <c r="H138" t="str">
        <f>IF(ISBLANK(Instructions!L145),"",Instructions!L145)</f>
        <v/>
      </c>
      <c r="I138" t="str">
        <f t="shared" si="5"/>
        <v>NULL</v>
      </c>
      <c r="J138" t="str">
        <f t="shared" si="5"/>
        <v>NULL</v>
      </c>
      <c r="K138" t="str">
        <f>Instructions!M145</f>
        <v>Added via SMSS</v>
      </c>
      <c r="L138" t="str">
        <f t="shared" si="1"/>
        <v>NULL</v>
      </c>
    </row>
    <row r="139" spans="1:12" x14ac:dyDescent="0.25">
      <c r="A139" t="str" cm="1">
        <f t="array" ref="A139">_xlfn.CONCAT(Instructions!C146,Instructions!A146,"_",TEXT(Instructions!B146,"YYYYMMDD"),"_1_",INDEX(Table1[], MATCH(1,(Table1[Estuary]=Instructions!C146)*(Table1[StationNumber]=Instructions!D146)*(Instructions!B146&gt;Table1[StartDate])*(Instructions!B146&lt;Table1[EndDate]),0),1),"_1_",Instructions!E146,"_",Instructions!F146)</f>
        <v>TBSRVY_20190924_1_0291_1_03_038</v>
      </c>
      <c r="B139" t="str" cm="1">
        <f t="array" ref="B139">_xlfn.CONCAT(Instructions!C146,Instructions!A146,"_",TEXT(Instructions!B146,"YYYYMMDD"),"_1_",INDEX(Table1[], MATCH(1,(Table1[Estuary]=Instructions!C146)*(Table1[StationNumber]=Instructions!D146)*(Instructions!B146&gt;Table1[StartDate])*(Instructions!B146&lt;Table1[EndDate]),0),1),"_1_",Instructions!E146)</f>
        <v>TBSRVY_20190924_1_0291_1_03</v>
      </c>
      <c r="C139">
        <f>Instructions!G146</f>
        <v>10</v>
      </c>
      <c r="D139" t="str">
        <f>IF(ISBLANK(Instructions!H146),"",Instructions!H146)</f>
        <v>Entered</v>
      </c>
      <c r="E139" s="1">
        <f>IF(ISBLANK(Instructions!I146),"",Instructions!I146)</f>
        <v>45646</v>
      </c>
      <c r="F139" t="str">
        <f>IF(ISBLANK(Instructions!J146),"",Instructions!J146)</f>
        <v>Erica Williams</v>
      </c>
      <c r="G139" s="1" t="str">
        <f>IF(ISBLANK(Instructions!K146),"",Instructions!K146)</f>
        <v/>
      </c>
      <c r="H139" t="str">
        <f>IF(ISBLANK(Instructions!L146),"",Instructions!L146)</f>
        <v/>
      </c>
      <c r="I139" t="str">
        <f t="shared" si="5"/>
        <v>NULL</v>
      </c>
      <c r="J139" t="str">
        <f t="shared" si="5"/>
        <v>NULL</v>
      </c>
      <c r="K139" t="str">
        <f>Instructions!M146</f>
        <v>Added via SMSS</v>
      </c>
      <c r="L139" t="str">
        <f t="shared" si="1"/>
        <v>NULL</v>
      </c>
    </row>
    <row r="140" spans="1:12" x14ac:dyDescent="0.25">
      <c r="A140" t="str" cm="1">
        <f t="array" ref="A140">_xlfn.CONCAT(Instructions!C147,Instructions!A147,"_",TEXT(Instructions!B147,"YYYYMMDD"),"_1_",INDEX(Table1[], MATCH(1,(Table1[Estuary]=Instructions!C147)*(Table1[StationNumber]=Instructions!D147)*(Instructions!B147&gt;Table1[StartDate])*(Instructions!B147&lt;Table1[EndDate]),0),1),"_1_",Instructions!E147,"_",Instructions!F147)</f>
        <v>TBSRVY_20190924_1_0291_1_03_039</v>
      </c>
      <c r="B140" t="str" cm="1">
        <f t="array" ref="B140">_xlfn.CONCAT(Instructions!C147,Instructions!A147,"_",TEXT(Instructions!B147,"YYYYMMDD"),"_1_",INDEX(Table1[], MATCH(1,(Table1[Estuary]=Instructions!C147)*(Table1[StationNumber]=Instructions!D147)*(Instructions!B147&gt;Table1[StartDate])*(Instructions!B147&lt;Table1[EndDate]),0),1),"_1_",Instructions!E147)</f>
        <v>TBSRVY_20190924_1_0291_1_03</v>
      </c>
      <c r="C140">
        <f>Instructions!G147</f>
        <v>8</v>
      </c>
      <c r="D140" t="str">
        <f>IF(ISBLANK(Instructions!H147),"",Instructions!H147)</f>
        <v>Entered</v>
      </c>
      <c r="E140" s="1">
        <f>IF(ISBLANK(Instructions!I147),"",Instructions!I147)</f>
        <v>45646</v>
      </c>
      <c r="F140" t="str">
        <f>IF(ISBLANK(Instructions!J147),"",Instructions!J147)</f>
        <v>Erica Williams</v>
      </c>
      <c r="G140" s="1" t="str">
        <f>IF(ISBLANK(Instructions!K147),"",Instructions!K147)</f>
        <v/>
      </c>
      <c r="H140" t="str">
        <f>IF(ISBLANK(Instructions!L147),"",Instructions!L147)</f>
        <v/>
      </c>
      <c r="I140" t="str">
        <f t="shared" si="5"/>
        <v>NULL</v>
      </c>
      <c r="J140" t="str">
        <f t="shared" si="5"/>
        <v>NULL</v>
      </c>
      <c r="K140" t="str">
        <f>Instructions!M147</f>
        <v>Added via SMSS</v>
      </c>
      <c r="L140" t="str">
        <f t="shared" si="1"/>
        <v>NULL</v>
      </c>
    </row>
    <row r="141" spans="1:12" x14ac:dyDescent="0.25">
      <c r="A141" t="str" cm="1">
        <f t="array" ref="A141">_xlfn.CONCAT(Instructions!C148,Instructions!A148,"_",TEXT(Instructions!B148,"YYYYMMDD"),"_1_",INDEX(Table1[], MATCH(1,(Table1[Estuary]=Instructions!C148)*(Table1[StationNumber]=Instructions!D148)*(Instructions!B148&gt;Table1[StartDate])*(Instructions!B148&lt;Table1[EndDate]),0),1),"_1_",Instructions!E148,"_",Instructions!F148)</f>
        <v>TBSRVY_20190924_1_0291_1_03_040</v>
      </c>
      <c r="B141" t="str" cm="1">
        <f t="array" ref="B141">_xlfn.CONCAT(Instructions!C148,Instructions!A148,"_",TEXT(Instructions!B148,"YYYYMMDD"),"_1_",INDEX(Table1[], MATCH(1,(Table1[Estuary]=Instructions!C148)*(Table1[StationNumber]=Instructions!D148)*(Instructions!B148&gt;Table1[StartDate])*(Instructions!B148&lt;Table1[EndDate]),0),1),"_1_",Instructions!E148)</f>
        <v>TBSRVY_20190924_1_0291_1_03</v>
      </c>
      <c r="C141">
        <f>Instructions!G148</f>
        <v>13</v>
      </c>
      <c r="D141" t="str">
        <f>IF(ISBLANK(Instructions!H148),"",Instructions!H148)</f>
        <v>Entered</v>
      </c>
      <c r="E141" s="1">
        <f>IF(ISBLANK(Instructions!I148),"",Instructions!I148)</f>
        <v>45646</v>
      </c>
      <c r="F141" t="str">
        <f>IF(ISBLANK(Instructions!J148),"",Instructions!J148)</f>
        <v>Erica Williams</v>
      </c>
      <c r="G141" s="1" t="str">
        <f>IF(ISBLANK(Instructions!K148),"",Instructions!K148)</f>
        <v/>
      </c>
      <c r="H141" t="str">
        <f>IF(ISBLANK(Instructions!L148),"",Instructions!L148)</f>
        <v/>
      </c>
      <c r="I141" t="str">
        <f t="shared" si="5"/>
        <v>NULL</v>
      </c>
      <c r="J141" t="str">
        <f t="shared" si="5"/>
        <v>NULL</v>
      </c>
      <c r="K141" t="str">
        <f>Instructions!M148</f>
        <v>Added via SMSS</v>
      </c>
      <c r="L141" t="str">
        <f t="shared" si="1"/>
        <v>NULL</v>
      </c>
    </row>
    <row r="142" spans="1:12" x14ac:dyDescent="0.25">
      <c r="A142" t="str" cm="1">
        <f t="array" ref="A142">_xlfn.CONCAT(Instructions!C149,Instructions!A149,"_",TEXT(Instructions!B149,"YYYYMMDD"),"_1_",INDEX(Table1[], MATCH(1,(Table1[Estuary]=Instructions!C149)*(Table1[StationNumber]=Instructions!D149)*(Instructions!B149&gt;Table1[StartDate])*(Instructions!B149&lt;Table1[EndDate]),0),1),"_1_",Instructions!E149,"_",Instructions!F149)</f>
        <v>TBSRVY_20190924_1_0291_1_03_041</v>
      </c>
      <c r="B142" t="str" cm="1">
        <f t="array" ref="B142">_xlfn.CONCAT(Instructions!C149,Instructions!A149,"_",TEXT(Instructions!B149,"YYYYMMDD"),"_1_",INDEX(Table1[], MATCH(1,(Table1[Estuary]=Instructions!C149)*(Table1[StationNumber]=Instructions!D149)*(Instructions!B149&gt;Table1[StartDate])*(Instructions!B149&lt;Table1[EndDate]),0),1),"_1_",Instructions!E149)</f>
        <v>TBSRVY_20190924_1_0291_1_03</v>
      </c>
      <c r="C142">
        <f>Instructions!G149</f>
        <v>16</v>
      </c>
      <c r="D142" t="str">
        <f>IF(ISBLANK(Instructions!H149),"",Instructions!H149)</f>
        <v>Entered</v>
      </c>
      <c r="E142" s="1">
        <f>IF(ISBLANK(Instructions!I149),"",Instructions!I149)</f>
        <v>45646</v>
      </c>
      <c r="F142" t="str">
        <f>IF(ISBLANK(Instructions!J149),"",Instructions!J149)</f>
        <v>Erica Williams</v>
      </c>
      <c r="G142" s="1" t="str">
        <f>IF(ISBLANK(Instructions!K149),"",Instructions!K149)</f>
        <v/>
      </c>
      <c r="H142" t="str">
        <f>IF(ISBLANK(Instructions!L149),"",Instructions!L149)</f>
        <v/>
      </c>
      <c r="I142" t="str">
        <f t="shared" si="5"/>
        <v>NULL</v>
      </c>
      <c r="J142" t="str">
        <f t="shared" si="5"/>
        <v>NULL</v>
      </c>
      <c r="K142" t="str">
        <f>Instructions!M149</f>
        <v>Added via SMSS</v>
      </c>
      <c r="L142" t="str">
        <f t="shared" si="1"/>
        <v>NULL</v>
      </c>
    </row>
    <row r="143" spans="1:12" x14ac:dyDescent="0.25">
      <c r="A143" t="str" cm="1">
        <f t="array" ref="A143">_xlfn.CONCAT(Instructions!C150,Instructions!A150,"_",TEXT(Instructions!B150,"YYYYMMDD"),"_1_",INDEX(Table1[], MATCH(1,(Table1[Estuary]=Instructions!C150)*(Table1[StationNumber]=Instructions!D150)*(Instructions!B150&gt;Table1[StartDate])*(Instructions!B150&lt;Table1[EndDate]),0),1),"_1_",Instructions!E150,"_",Instructions!F150)</f>
        <v>TBSRVY_20190924_1_0291_1_03_042</v>
      </c>
      <c r="B143" t="str" cm="1">
        <f t="array" ref="B143">_xlfn.CONCAT(Instructions!C150,Instructions!A150,"_",TEXT(Instructions!B150,"YYYYMMDD"),"_1_",INDEX(Table1[], MATCH(1,(Table1[Estuary]=Instructions!C150)*(Table1[StationNumber]=Instructions!D150)*(Instructions!B150&gt;Table1[StartDate])*(Instructions!B150&lt;Table1[EndDate]),0),1),"_1_",Instructions!E150)</f>
        <v>TBSRVY_20190924_1_0291_1_03</v>
      </c>
      <c r="C143">
        <f>Instructions!G150</f>
        <v>30</v>
      </c>
      <c r="D143" t="str">
        <f>IF(ISBLANK(Instructions!H150),"",Instructions!H150)</f>
        <v>Entered</v>
      </c>
      <c r="E143" s="1">
        <f>IF(ISBLANK(Instructions!I150),"",Instructions!I150)</f>
        <v>45646</v>
      </c>
      <c r="F143" t="str">
        <f>IF(ISBLANK(Instructions!J150),"",Instructions!J150)</f>
        <v>Erica Williams</v>
      </c>
      <c r="G143" s="1" t="str">
        <f>IF(ISBLANK(Instructions!K150),"",Instructions!K150)</f>
        <v/>
      </c>
      <c r="H143" t="str">
        <f>IF(ISBLANK(Instructions!L150),"",Instructions!L150)</f>
        <v/>
      </c>
      <c r="I143" t="str">
        <f t="shared" si="5"/>
        <v>NULL</v>
      </c>
      <c r="J143" t="str">
        <f t="shared" si="5"/>
        <v>NULL</v>
      </c>
      <c r="K143" t="str">
        <f>Instructions!M150</f>
        <v>Added via SMSS</v>
      </c>
      <c r="L143" t="str">
        <f t="shared" si="1"/>
        <v>NULL</v>
      </c>
    </row>
    <row r="144" spans="1:12" x14ac:dyDescent="0.25">
      <c r="A144" t="str" cm="1">
        <f t="array" ref="A144">_xlfn.CONCAT(Instructions!C151,Instructions!A151,"_",TEXT(Instructions!B151,"YYYYMMDD"),"_1_",INDEX(Table1[], MATCH(1,(Table1[Estuary]=Instructions!C151)*(Table1[StationNumber]=Instructions!D151)*(Instructions!B151&gt;Table1[StartDate])*(Instructions!B151&lt;Table1[EndDate]),0),1),"_1_",Instructions!E151,"_",Instructions!F151)</f>
        <v>TBSRVY_20190924_1_0291_1_03_043</v>
      </c>
      <c r="B144" t="str" cm="1">
        <f t="array" ref="B144">_xlfn.CONCAT(Instructions!C151,Instructions!A151,"_",TEXT(Instructions!B151,"YYYYMMDD"),"_1_",INDEX(Table1[], MATCH(1,(Table1[Estuary]=Instructions!C151)*(Table1[StationNumber]=Instructions!D151)*(Instructions!B151&gt;Table1[StartDate])*(Instructions!B151&lt;Table1[EndDate]),0),1),"_1_",Instructions!E151)</f>
        <v>TBSRVY_20190924_1_0291_1_03</v>
      </c>
      <c r="C144">
        <f>Instructions!G151</f>
        <v>20</v>
      </c>
      <c r="D144" t="str">
        <f>IF(ISBLANK(Instructions!H151),"",Instructions!H151)</f>
        <v>Entered</v>
      </c>
      <c r="E144" s="1">
        <f>IF(ISBLANK(Instructions!I151),"",Instructions!I151)</f>
        <v>45646</v>
      </c>
      <c r="F144" t="str">
        <f>IF(ISBLANK(Instructions!J151),"",Instructions!J151)</f>
        <v>Erica Williams</v>
      </c>
      <c r="G144" s="1" t="str">
        <f>IF(ISBLANK(Instructions!K151),"",Instructions!K151)</f>
        <v/>
      </c>
      <c r="H144" t="str">
        <f>IF(ISBLANK(Instructions!L151),"",Instructions!L151)</f>
        <v/>
      </c>
      <c r="I144" t="str">
        <f t="shared" si="5"/>
        <v>NULL</v>
      </c>
      <c r="J144" t="str">
        <f t="shared" si="5"/>
        <v>NULL</v>
      </c>
      <c r="K144" t="str">
        <f>Instructions!M151</f>
        <v>Added via SMSS</v>
      </c>
      <c r="L144" t="str">
        <f t="shared" si="1"/>
        <v>NULL</v>
      </c>
    </row>
    <row r="145" spans="1:12" x14ac:dyDescent="0.25">
      <c r="A145" t="str" cm="1">
        <f t="array" ref="A145">_xlfn.CONCAT(Instructions!C152,Instructions!A152,"_",TEXT(Instructions!B152,"YYYYMMDD"),"_1_",INDEX(Table1[], MATCH(1,(Table1[Estuary]=Instructions!C152)*(Table1[StationNumber]=Instructions!D152)*(Instructions!B152&gt;Table1[StartDate])*(Instructions!B152&lt;Table1[EndDate]),0),1),"_1_",Instructions!E152,"_",Instructions!F152)</f>
        <v>TBSRVY_20190924_1_0291_1_03_044</v>
      </c>
      <c r="B145" t="str" cm="1">
        <f t="array" ref="B145">_xlfn.CONCAT(Instructions!C152,Instructions!A152,"_",TEXT(Instructions!B152,"YYYYMMDD"),"_1_",INDEX(Table1[], MATCH(1,(Table1[Estuary]=Instructions!C152)*(Table1[StationNumber]=Instructions!D152)*(Instructions!B152&gt;Table1[StartDate])*(Instructions!B152&lt;Table1[EndDate]),0),1),"_1_",Instructions!E152)</f>
        <v>TBSRVY_20190924_1_0291_1_03</v>
      </c>
      <c r="C145">
        <f>Instructions!G152</f>
        <v>15</v>
      </c>
      <c r="D145" t="str">
        <f>IF(ISBLANK(Instructions!H152),"",Instructions!H152)</f>
        <v>Entered</v>
      </c>
      <c r="E145" s="1">
        <f>IF(ISBLANK(Instructions!I152),"",Instructions!I152)</f>
        <v>45646</v>
      </c>
      <c r="F145" t="str">
        <f>IF(ISBLANK(Instructions!J152),"",Instructions!J152)</f>
        <v>Erica Williams</v>
      </c>
      <c r="G145" s="1" t="str">
        <f>IF(ISBLANK(Instructions!K152),"",Instructions!K152)</f>
        <v/>
      </c>
      <c r="H145" t="str">
        <f>IF(ISBLANK(Instructions!L152),"",Instructions!L152)</f>
        <v/>
      </c>
      <c r="I145" t="str">
        <f t="shared" si="5"/>
        <v>NULL</v>
      </c>
      <c r="J145" t="str">
        <f t="shared" si="5"/>
        <v>NULL</v>
      </c>
      <c r="K145" t="str">
        <f>Instructions!M152</f>
        <v>Added via SMSS</v>
      </c>
      <c r="L145" t="str">
        <f t="shared" si="1"/>
        <v>NULL</v>
      </c>
    </row>
    <row r="146" spans="1:12" x14ac:dyDescent="0.25">
      <c r="A146" t="str" cm="1">
        <f t="array" ref="A146">_xlfn.CONCAT(Instructions!C153,Instructions!A153,"_",TEXT(Instructions!B153,"YYYYMMDD"),"_1_",INDEX(Table1[], MATCH(1,(Table1[Estuary]=Instructions!C153)*(Table1[StationNumber]=Instructions!D153)*(Instructions!B153&gt;Table1[StartDate])*(Instructions!B153&lt;Table1[EndDate]),0),1),"_1_",Instructions!E153,"_",Instructions!F153)</f>
        <v>TBSRVY_20190924_1_0291_1_03_045</v>
      </c>
      <c r="B146" t="str" cm="1">
        <f t="array" ref="B146">_xlfn.CONCAT(Instructions!C153,Instructions!A153,"_",TEXT(Instructions!B153,"YYYYMMDD"),"_1_",INDEX(Table1[], MATCH(1,(Table1[Estuary]=Instructions!C153)*(Table1[StationNumber]=Instructions!D153)*(Instructions!B153&gt;Table1[StartDate])*(Instructions!B153&lt;Table1[EndDate]),0),1),"_1_",Instructions!E153)</f>
        <v>TBSRVY_20190924_1_0291_1_03</v>
      </c>
      <c r="C146">
        <f>Instructions!G153</f>
        <v>16</v>
      </c>
      <c r="D146" t="str">
        <f>IF(ISBLANK(Instructions!H153),"",Instructions!H153)</f>
        <v>Entered</v>
      </c>
      <c r="E146" s="1">
        <f>IF(ISBLANK(Instructions!I153),"",Instructions!I153)</f>
        <v>45646</v>
      </c>
      <c r="F146" t="str">
        <f>IF(ISBLANK(Instructions!J153),"",Instructions!J153)</f>
        <v>Erica Williams</v>
      </c>
      <c r="G146" s="1" t="str">
        <f>IF(ISBLANK(Instructions!K153),"",Instructions!K153)</f>
        <v/>
      </c>
      <c r="H146" t="str">
        <f>IF(ISBLANK(Instructions!L153),"",Instructions!L153)</f>
        <v/>
      </c>
      <c r="I146" t="str">
        <f t="shared" si="5"/>
        <v>NULL</v>
      </c>
      <c r="J146" t="str">
        <f t="shared" si="5"/>
        <v>NULL</v>
      </c>
      <c r="K146" t="str">
        <f>Instructions!M153</f>
        <v>Added via SMSS</v>
      </c>
      <c r="L146" t="str">
        <f t="shared" si="1"/>
        <v>NULL</v>
      </c>
    </row>
    <row r="147" spans="1:12" x14ac:dyDescent="0.25">
      <c r="A147" t="str" cm="1">
        <f t="array" ref="A147">_xlfn.CONCAT(Instructions!C154,Instructions!A154,"_",TEXT(Instructions!B154,"YYYYMMDD"),"_1_",INDEX(Table1[], MATCH(1,(Table1[Estuary]=Instructions!C154)*(Table1[StationNumber]=Instructions!D154)*(Instructions!B154&gt;Table1[StartDate])*(Instructions!B154&lt;Table1[EndDate]),0),1),"_1_",Instructions!E154,"_",Instructions!F154)</f>
        <v>TBSRVY_20190924_1_0291_1_03_046</v>
      </c>
      <c r="B147" t="str" cm="1">
        <f t="array" ref="B147">_xlfn.CONCAT(Instructions!C154,Instructions!A154,"_",TEXT(Instructions!B154,"YYYYMMDD"),"_1_",INDEX(Table1[], MATCH(1,(Table1[Estuary]=Instructions!C154)*(Table1[StationNumber]=Instructions!D154)*(Instructions!B154&gt;Table1[StartDate])*(Instructions!B154&lt;Table1[EndDate]),0),1),"_1_",Instructions!E154)</f>
        <v>TBSRVY_20190924_1_0291_1_03</v>
      </c>
      <c r="C147">
        <f>Instructions!G154</f>
        <v>22</v>
      </c>
      <c r="D147" t="str">
        <f>IF(ISBLANK(Instructions!H154),"",Instructions!H154)</f>
        <v>Entered</v>
      </c>
      <c r="E147" s="1">
        <f>IF(ISBLANK(Instructions!I154),"",Instructions!I154)</f>
        <v>45646</v>
      </c>
      <c r="F147" t="str">
        <f>IF(ISBLANK(Instructions!J154),"",Instructions!J154)</f>
        <v>Erica Williams</v>
      </c>
      <c r="G147" s="1" t="str">
        <f>IF(ISBLANK(Instructions!K154),"",Instructions!K154)</f>
        <v/>
      </c>
      <c r="H147" t="str">
        <f>IF(ISBLANK(Instructions!L154),"",Instructions!L154)</f>
        <v/>
      </c>
      <c r="I147" t="str">
        <f t="shared" si="5"/>
        <v>NULL</v>
      </c>
      <c r="J147" t="str">
        <f t="shared" si="5"/>
        <v>NULL</v>
      </c>
      <c r="K147" t="str">
        <f>Instructions!M154</f>
        <v>Added via SMSS</v>
      </c>
      <c r="L147" t="str">
        <f t="shared" si="1"/>
        <v>NULL</v>
      </c>
    </row>
    <row r="148" spans="1:12" x14ac:dyDescent="0.25">
      <c r="A148" t="str" cm="1">
        <f t="array" ref="A148">_xlfn.CONCAT(Instructions!C155,Instructions!A155,"_",TEXT(Instructions!B155,"YYYYMMDD"),"_1_",INDEX(Table1[], MATCH(1,(Table1[Estuary]=Instructions!C155)*(Table1[StationNumber]=Instructions!D155)*(Instructions!B155&gt;Table1[StartDate])*(Instructions!B155&lt;Table1[EndDate]),0),1),"_1_",Instructions!E155,"_",Instructions!F155)</f>
        <v>TBSRVY_20190924_1_0291_1_03_047</v>
      </c>
      <c r="B148" t="str" cm="1">
        <f t="array" ref="B148">_xlfn.CONCAT(Instructions!C155,Instructions!A155,"_",TEXT(Instructions!B155,"YYYYMMDD"),"_1_",INDEX(Table1[], MATCH(1,(Table1[Estuary]=Instructions!C155)*(Table1[StationNumber]=Instructions!D155)*(Instructions!B155&gt;Table1[StartDate])*(Instructions!B155&lt;Table1[EndDate]),0),1),"_1_",Instructions!E155)</f>
        <v>TBSRVY_20190924_1_0291_1_03</v>
      </c>
      <c r="C148">
        <f>Instructions!G155</f>
        <v>27</v>
      </c>
      <c r="D148" t="str">
        <f>IF(ISBLANK(Instructions!H155),"",Instructions!H155)</f>
        <v>Entered</v>
      </c>
      <c r="E148" s="1">
        <f>IF(ISBLANK(Instructions!I155),"",Instructions!I155)</f>
        <v>45646</v>
      </c>
      <c r="F148" t="str">
        <f>IF(ISBLANK(Instructions!J155),"",Instructions!J155)</f>
        <v>Erica Williams</v>
      </c>
      <c r="G148" s="1" t="str">
        <f>IF(ISBLANK(Instructions!K155),"",Instructions!K155)</f>
        <v/>
      </c>
      <c r="H148" t="str">
        <f>IF(ISBLANK(Instructions!L155),"",Instructions!L155)</f>
        <v/>
      </c>
      <c r="I148" t="str">
        <f t="shared" si="5"/>
        <v>NULL</v>
      </c>
      <c r="J148" t="str">
        <f t="shared" si="5"/>
        <v>NULL</v>
      </c>
      <c r="K148" t="str">
        <f>Instructions!M155</f>
        <v>Added via SMSS</v>
      </c>
      <c r="L148" t="str">
        <f t="shared" si="1"/>
        <v>NULL</v>
      </c>
    </row>
    <row r="149" spans="1:12" x14ac:dyDescent="0.25">
      <c r="A149" t="str" cm="1">
        <f t="array" ref="A149">_xlfn.CONCAT(Instructions!C156,Instructions!A156,"_",TEXT(Instructions!B156,"YYYYMMDD"),"_1_",INDEX(Table1[], MATCH(1,(Table1[Estuary]=Instructions!C156)*(Table1[StationNumber]=Instructions!D156)*(Instructions!B156&gt;Table1[StartDate])*(Instructions!B156&lt;Table1[EndDate]),0),1),"_1_",Instructions!E156,"_",Instructions!F156)</f>
        <v>TBSRVY_20190924_1_0291_1_03_048</v>
      </c>
      <c r="B149" t="str" cm="1">
        <f t="array" ref="B149">_xlfn.CONCAT(Instructions!C156,Instructions!A156,"_",TEXT(Instructions!B156,"YYYYMMDD"),"_1_",INDEX(Table1[], MATCH(1,(Table1[Estuary]=Instructions!C156)*(Table1[StationNumber]=Instructions!D156)*(Instructions!B156&gt;Table1[StartDate])*(Instructions!B156&lt;Table1[EndDate]),0),1),"_1_",Instructions!E156)</f>
        <v>TBSRVY_20190924_1_0291_1_03</v>
      </c>
      <c r="C149">
        <f>Instructions!G156</f>
        <v>11</v>
      </c>
      <c r="D149" t="str">
        <f>IF(ISBLANK(Instructions!H156),"",Instructions!H156)</f>
        <v>Entered</v>
      </c>
      <c r="E149" s="1">
        <f>IF(ISBLANK(Instructions!I156),"",Instructions!I156)</f>
        <v>45646</v>
      </c>
      <c r="F149" t="str">
        <f>IF(ISBLANK(Instructions!J156),"",Instructions!J156)</f>
        <v>Erica Williams</v>
      </c>
      <c r="G149" s="1" t="str">
        <f>IF(ISBLANK(Instructions!K156),"",Instructions!K156)</f>
        <v/>
      </c>
      <c r="H149" t="str">
        <f>IF(ISBLANK(Instructions!L156),"",Instructions!L156)</f>
        <v/>
      </c>
      <c r="I149" t="str">
        <f t="shared" si="5"/>
        <v>NULL</v>
      </c>
      <c r="J149" t="str">
        <f t="shared" si="5"/>
        <v>NULL</v>
      </c>
      <c r="K149" t="str">
        <f>Instructions!M156</f>
        <v>Added via SMSS</v>
      </c>
      <c r="L149" t="str">
        <f t="shared" si="1"/>
        <v>NULL</v>
      </c>
    </row>
    <row r="150" spans="1:12" x14ac:dyDescent="0.25">
      <c r="A150" t="str" cm="1">
        <f t="array" ref="A150">_xlfn.CONCAT(Instructions!C157,Instructions!A157,"_",TEXT(Instructions!B157,"YYYYMMDD"),"_1_",INDEX(Table1[], MATCH(1,(Table1[Estuary]=Instructions!C157)*(Table1[StationNumber]=Instructions!D157)*(Instructions!B157&gt;Table1[StartDate])*(Instructions!B157&lt;Table1[EndDate]),0),1),"_1_",Instructions!E157,"_",Instructions!F157)</f>
        <v>TBSRVY_20190924_1_0291_1_03_049</v>
      </c>
      <c r="B150" t="str" cm="1">
        <f t="array" ref="B150">_xlfn.CONCAT(Instructions!C157,Instructions!A157,"_",TEXT(Instructions!B157,"YYYYMMDD"),"_1_",INDEX(Table1[], MATCH(1,(Table1[Estuary]=Instructions!C157)*(Table1[StationNumber]=Instructions!D157)*(Instructions!B157&gt;Table1[StartDate])*(Instructions!B157&lt;Table1[EndDate]),0),1),"_1_",Instructions!E157)</f>
        <v>TBSRVY_20190924_1_0291_1_03</v>
      </c>
      <c r="C150">
        <f>Instructions!G157</f>
        <v>7</v>
      </c>
      <c r="D150" t="str">
        <f>IF(ISBLANK(Instructions!H157),"",Instructions!H157)</f>
        <v>Entered</v>
      </c>
      <c r="E150" s="1">
        <f>IF(ISBLANK(Instructions!I157),"",Instructions!I157)</f>
        <v>45646</v>
      </c>
      <c r="F150" t="str">
        <f>IF(ISBLANK(Instructions!J157),"",Instructions!J157)</f>
        <v>Erica Williams</v>
      </c>
      <c r="G150" s="1" t="str">
        <f>IF(ISBLANK(Instructions!K157),"",Instructions!K157)</f>
        <v/>
      </c>
      <c r="H150" t="str">
        <f>IF(ISBLANK(Instructions!L157),"",Instructions!L157)</f>
        <v/>
      </c>
      <c r="I150" t="str">
        <f t="shared" si="5"/>
        <v>NULL</v>
      </c>
      <c r="J150" t="str">
        <f t="shared" si="5"/>
        <v>NULL</v>
      </c>
      <c r="K150" t="str">
        <f>Instructions!M157</f>
        <v>Added via SMSS</v>
      </c>
      <c r="L150" t="str">
        <f t="shared" si="1"/>
        <v>NULL</v>
      </c>
    </row>
    <row r="151" spans="1:12" x14ac:dyDescent="0.25">
      <c r="A151" t="str" cm="1">
        <f t="array" ref="A151">_xlfn.CONCAT(Instructions!C158,Instructions!A158,"_",TEXT(Instructions!B158,"YYYYMMDD"),"_1_",INDEX(Table1[], MATCH(1,(Table1[Estuary]=Instructions!C158)*(Table1[StationNumber]=Instructions!D158)*(Instructions!B158&gt;Table1[StartDate])*(Instructions!B158&lt;Table1[EndDate]),0),1),"_1_",Instructions!E158,"_",Instructions!F158)</f>
        <v>TBSRVY_20190924_1_0291_1_03_050</v>
      </c>
      <c r="B151" t="str" cm="1">
        <f t="array" ref="B151">_xlfn.CONCAT(Instructions!C158,Instructions!A158,"_",TEXT(Instructions!B158,"YYYYMMDD"),"_1_",INDEX(Table1[], MATCH(1,(Table1[Estuary]=Instructions!C158)*(Table1[StationNumber]=Instructions!D158)*(Instructions!B158&gt;Table1[StartDate])*(Instructions!B158&lt;Table1[EndDate]),0),1),"_1_",Instructions!E158)</f>
        <v>TBSRVY_20190924_1_0291_1_03</v>
      </c>
      <c r="C151">
        <f>Instructions!G158</f>
        <v>30</v>
      </c>
      <c r="D151" t="str">
        <f>IF(ISBLANK(Instructions!H158),"",Instructions!H158)</f>
        <v>Entered</v>
      </c>
      <c r="E151" s="1">
        <f>IF(ISBLANK(Instructions!I158),"",Instructions!I158)</f>
        <v>45646</v>
      </c>
      <c r="F151" t="str">
        <f>IF(ISBLANK(Instructions!J158),"",Instructions!J158)</f>
        <v>Erica Williams</v>
      </c>
      <c r="G151" s="1" t="str">
        <f>IF(ISBLANK(Instructions!K158),"",Instructions!K158)</f>
        <v/>
      </c>
      <c r="H151" t="str">
        <f>IF(ISBLANK(Instructions!L158),"",Instructions!L158)</f>
        <v/>
      </c>
      <c r="I151" t="str">
        <f t="shared" si="5"/>
        <v>NULL</v>
      </c>
      <c r="J151" t="str">
        <f t="shared" si="5"/>
        <v>NULL</v>
      </c>
      <c r="K151" t="str">
        <f>Instructions!M158</f>
        <v>Added via SMSS</v>
      </c>
      <c r="L151" t="str">
        <f t="shared" si="1"/>
        <v>NULL</v>
      </c>
    </row>
    <row r="152" spans="1:12" x14ac:dyDescent="0.25">
      <c r="A152" t="str" cm="1">
        <f t="array" ref="A152">_xlfn.CONCAT(Instructions!C159,Instructions!A159,"_",TEXT(Instructions!B159,"YYYYMMDD"),"_1_",INDEX(Table1[], MATCH(1,(Table1[Estuary]=Instructions!C159)*(Table1[StationNumber]=Instructions!D159)*(Instructions!B159&gt;Table1[StartDate])*(Instructions!B159&lt;Table1[EndDate]),0),1),"_1_",Instructions!E159,"_",Instructions!F159)</f>
        <v>TBSRVY_20190924_1_0291_1_04_001</v>
      </c>
      <c r="B152" t="str" cm="1">
        <f t="array" ref="B152">_xlfn.CONCAT(Instructions!C159,Instructions!A159,"_",TEXT(Instructions!B159,"YYYYMMDD"),"_1_",INDEX(Table1[], MATCH(1,(Table1[Estuary]=Instructions!C159)*(Table1[StationNumber]=Instructions!D159)*(Instructions!B159&gt;Table1[StartDate])*(Instructions!B159&lt;Table1[EndDate]),0),1),"_1_",Instructions!E159)</f>
        <v>TBSRVY_20190924_1_0291_1_04</v>
      </c>
      <c r="C152">
        <f>Instructions!G159</f>
        <v>30</v>
      </c>
      <c r="D152" t="str">
        <f>IF(ISBLANK(Instructions!H159),"",Instructions!H159)</f>
        <v>Entered</v>
      </c>
      <c r="E152" s="1">
        <f>IF(ISBLANK(Instructions!I159),"",Instructions!I159)</f>
        <v>45646</v>
      </c>
      <c r="F152" t="str">
        <f>IF(ISBLANK(Instructions!J159),"",Instructions!J159)</f>
        <v>Erica Williams</v>
      </c>
      <c r="G152" s="1" t="str">
        <f>IF(ISBLANK(Instructions!K159),"",Instructions!K159)</f>
        <v/>
      </c>
      <c r="H152" t="str">
        <f>IF(ISBLANK(Instructions!L159),"",Instructions!L159)</f>
        <v/>
      </c>
      <c r="I152" t="str">
        <f t="shared" si="5"/>
        <v>NULL</v>
      </c>
      <c r="J152" t="str">
        <f t="shared" si="5"/>
        <v>NULL</v>
      </c>
      <c r="K152" t="str">
        <f>Instructions!M159</f>
        <v>Added via SMSS</v>
      </c>
      <c r="L152" t="str">
        <f t="shared" si="1"/>
        <v>NULL</v>
      </c>
    </row>
    <row r="153" spans="1:12" x14ac:dyDescent="0.25">
      <c r="A153" t="str" cm="1">
        <f t="array" ref="A153">_xlfn.CONCAT(Instructions!C160,Instructions!A160,"_",TEXT(Instructions!B160,"YYYYMMDD"),"_1_",INDEX(Table1[], MATCH(1,(Table1[Estuary]=Instructions!C160)*(Table1[StationNumber]=Instructions!D160)*(Instructions!B160&gt;Table1[StartDate])*(Instructions!B160&lt;Table1[EndDate]),0),1),"_1_",Instructions!E160,"_",Instructions!F160)</f>
        <v>TBSRVY_20190924_1_0291_1_04_002</v>
      </c>
      <c r="B153" t="str" cm="1">
        <f t="array" ref="B153">_xlfn.CONCAT(Instructions!C160,Instructions!A160,"_",TEXT(Instructions!B160,"YYYYMMDD"),"_1_",INDEX(Table1[], MATCH(1,(Table1[Estuary]=Instructions!C160)*(Table1[StationNumber]=Instructions!D160)*(Instructions!B160&gt;Table1[StartDate])*(Instructions!B160&lt;Table1[EndDate]),0),1),"_1_",Instructions!E160)</f>
        <v>TBSRVY_20190924_1_0291_1_04</v>
      </c>
      <c r="C153">
        <f>Instructions!G160</f>
        <v>28</v>
      </c>
      <c r="D153" t="str">
        <f>IF(ISBLANK(Instructions!H160),"",Instructions!H160)</f>
        <v>Entered</v>
      </c>
      <c r="E153" s="1">
        <f>IF(ISBLANK(Instructions!I160),"",Instructions!I160)</f>
        <v>45646</v>
      </c>
      <c r="F153" t="str">
        <f>IF(ISBLANK(Instructions!J160),"",Instructions!J160)</f>
        <v>Erica Williams</v>
      </c>
      <c r="G153" s="1" t="str">
        <f>IF(ISBLANK(Instructions!K160),"",Instructions!K160)</f>
        <v/>
      </c>
      <c r="H153" t="str">
        <f>IF(ISBLANK(Instructions!L160),"",Instructions!L160)</f>
        <v/>
      </c>
      <c r="I153" t="str">
        <f t="shared" si="5"/>
        <v>NULL</v>
      </c>
      <c r="J153" t="str">
        <f t="shared" si="5"/>
        <v>NULL</v>
      </c>
      <c r="K153" t="str">
        <f>Instructions!M160</f>
        <v>Added via SMSS</v>
      </c>
      <c r="L153" t="str">
        <f t="shared" si="1"/>
        <v>NULL</v>
      </c>
    </row>
    <row r="154" spans="1:12" x14ac:dyDescent="0.25">
      <c r="A154" t="str" cm="1">
        <f t="array" ref="A154">_xlfn.CONCAT(Instructions!C161,Instructions!A161,"_",TEXT(Instructions!B161,"YYYYMMDD"),"_1_",INDEX(Table1[], MATCH(1,(Table1[Estuary]=Instructions!C161)*(Table1[StationNumber]=Instructions!D161)*(Instructions!B161&gt;Table1[StartDate])*(Instructions!B161&lt;Table1[EndDate]),0),1),"_1_",Instructions!E161,"_",Instructions!F161)</f>
        <v>TBSRVY_20190924_1_0291_1_04_003</v>
      </c>
      <c r="B154" t="str" cm="1">
        <f t="array" ref="B154">_xlfn.CONCAT(Instructions!C161,Instructions!A161,"_",TEXT(Instructions!B161,"YYYYMMDD"),"_1_",INDEX(Table1[], MATCH(1,(Table1[Estuary]=Instructions!C161)*(Table1[StationNumber]=Instructions!D161)*(Instructions!B161&gt;Table1[StartDate])*(Instructions!B161&lt;Table1[EndDate]),0),1),"_1_",Instructions!E161)</f>
        <v>TBSRVY_20190924_1_0291_1_04</v>
      </c>
      <c r="C154">
        <f>Instructions!G161</f>
        <v>19</v>
      </c>
      <c r="D154" t="str">
        <f>IF(ISBLANK(Instructions!H161),"",Instructions!H161)</f>
        <v>Entered</v>
      </c>
      <c r="E154" s="1">
        <f>IF(ISBLANK(Instructions!I161),"",Instructions!I161)</f>
        <v>45646</v>
      </c>
      <c r="F154" t="str">
        <f>IF(ISBLANK(Instructions!J161),"",Instructions!J161)</f>
        <v>Erica Williams</v>
      </c>
      <c r="G154" s="1" t="str">
        <f>IF(ISBLANK(Instructions!K161),"",Instructions!K161)</f>
        <v/>
      </c>
      <c r="H154" t="str">
        <f>IF(ISBLANK(Instructions!L161),"",Instructions!L161)</f>
        <v/>
      </c>
      <c r="I154" t="str">
        <f t="shared" si="5"/>
        <v>NULL</v>
      </c>
      <c r="J154" t="str">
        <f t="shared" si="5"/>
        <v>NULL</v>
      </c>
      <c r="K154" t="str">
        <f>Instructions!M161</f>
        <v>Added via SMSS</v>
      </c>
      <c r="L154" t="str">
        <f t="shared" si="1"/>
        <v>NULL</v>
      </c>
    </row>
    <row r="155" spans="1:12" x14ac:dyDescent="0.25">
      <c r="A155" t="str" cm="1">
        <f t="array" ref="A155">_xlfn.CONCAT(Instructions!C162,Instructions!A162,"_",TEXT(Instructions!B162,"YYYYMMDD"),"_1_",INDEX(Table1[], MATCH(1,(Table1[Estuary]=Instructions!C162)*(Table1[StationNumber]=Instructions!D162)*(Instructions!B162&gt;Table1[StartDate])*(Instructions!B162&lt;Table1[EndDate]),0),1),"_1_",Instructions!E162,"_",Instructions!F162)</f>
        <v>TBSRVY_20190924_1_0291_1_04_004</v>
      </c>
      <c r="B155" t="str" cm="1">
        <f t="array" ref="B155">_xlfn.CONCAT(Instructions!C162,Instructions!A162,"_",TEXT(Instructions!B162,"YYYYMMDD"),"_1_",INDEX(Table1[], MATCH(1,(Table1[Estuary]=Instructions!C162)*(Table1[StationNumber]=Instructions!D162)*(Instructions!B162&gt;Table1[StartDate])*(Instructions!B162&lt;Table1[EndDate]),0),1),"_1_",Instructions!E162)</f>
        <v>TBSRVY_20190924_1_0291_1_04</v>
      </c>
      <c r="C155">
        <f>Instructions!G162</f>
        <v>42</v>
      </c>
      <c r="D155" t="str">
        <f>IF(ISBLANK(Instructions!H162),"",Instructions!H162)</f>
        <v>Entered</v>
      </c>
      <c r="E155" s="1">
        <f>IF(ISBLANK(Instructions!I162),"",Instructions!I162)</f>
        <v>45646</v>
      </c>
      <c r="F155" t="str">
        <f>IF(ISBLANK(Instructions!J162),"",Instructions!J162)</f>
        <v>Erica Williams</v>
      </c>
      <c r="G155" s="1" t="str">
        <f>IF(ISBLANK(Instructions!K162),"",Instructions!K162)</f>
        <v/>
      </c>
      <c r="H155" t="str">
        <f>IF(ISBLANK(Instructions!L162),"",Instructions!L162)</f>
        <v/>
      </c>
      <c r="I155" t="str">
        <f t="shared" si="5"/>
        <v>NULL</v>
      </c>
      <c r="J155" t="str">
        <f t="shared" si="5"/>
        <v>NULL</v>
      </c>
      <c r="K155" t="str">
        <f>Instructions!M162</f>
        <v>Added via SMSS</v>
      </c>
      <c r="L155" t="str">
        <f t="shared" si="1"/>
        <v>NULL</v>
      </c>
    </row>
    <row r="156" spans="1:12" x14ac:dyDescent="0.25">
      <c r="A156" t="str" cm="1">
        <f t="array" ref="A156">_xlfn.CONCAT(Instructions!C163,Instructions!A163,"_",TEXT(Instructions!B163,"YYYYMMDD"),"_1_",INDEX(Table1[], MATCH(1,(Table1[Estuary]=Instructions!C163)*(Table1[StationNumber]=Instructions!D163)*(Instructions!B163&gt;Table1[StartDate])*(Instructions!B163&lt;Table1[EndDate]),0),1),"_1_",Instructions!E163,"_",Instructions!F163)</f>
        <v>TBSRVY_20190924_1_0291_1_04_005</v>
      </c>
      <c r="B156" t="str" cm="1">
        <f t="array" ref="B156">_xlfn.CONCAT(Instructions!C163,Instructions!A163,"_",TEXT(Instructions!B163,"YYYYMMDD"),"_1_",INDEX(Table1[], MATCH(1,(Table1[Estuary]=Instructions!C163)*(Table1[StationNumber]=Instructions!D163)*(Instructions!B163&gt;Table1[StartDate])*(Instructions!B163&lt;Table1[EndDate]),0),1),"_1_",Instructions!E163)</f>
        <v>TBSRVY_20190924_1_0291_1_04</v>
      </c>
      <c r="C156">
        <f>Instructions!G163</f>
        <v>60</v>
      </c>
      <c r="D156" t="str">
        <f>IF(ISBLANK(Instructions!H163),"",Instructions!H163)</f>
        <v>Entered</v>
      </c>
      <c r="E156" s="1">
        <f>IF(ISBLANK(Instructions!I163),"",Instructions!I163)</f>
        <v>45646</v>
      </c>
      <c r="F156" t="str">
        <f>IF(ISBLANK(Instructions!J163),"",Instructions!J163)</f>
        <v>Erica Williams</v>
      </c>
      <c r="G156" s="1" t="str">
        <f>IF(ISBLANK(Instructions!K163),"",Instructions!K163)</f>
        <v/>
      </c>
      <c r="H156" t="str">
        <f>IF(ISBLANK(Instructions!L163),"",Instructions!L163)</f>
        <v/>
      </c>
      <c r="I156" t="str">
        <f t="shared" si="5"/>
        <v>NULL</v>
      </c>
      <c r="J156" t="str">
        <f t="shared" si="5"/>
        <v>NULL</v>
      </c>
      <c r="K156" t="str">
        <f>Instructions!M163</f>
        <v>Added via SMSS</v>
      </c>
      <c r="L156" t="str">
        <f t="shared" si="1"/>
        <v>NULL</v>
      </c>
    </row>
    <row r="157" spans="1:12" x14ac:dyDescent="0.25">
      <c r="A157" t="str" cm="1">
        <f t="array" ref="A157">_xlfn.CONCAT(Instructions!C164,Instructions!A164,"_",TEXT(Instructions!B164,"YYYYMMDD"),"_1_",INDEX(Table1[], MATCH(1,(Table1[Estuary]=Instructions!C164)*(Table1[StationNumber]=Instructions!D164)*(Instructions!B164&gt;Table1[StartDate])*(Instructions!B164&lt;Table1[EndDate]),0),1),"_1_",Instructions!E164,"_",Instructions!F164)</f>
        <v>TBSRVY_20190924_1_0291_1_04_006</v>
      </c>
      <c r="B157" t="str" cm="1">
        <f t="array" ref="B157">_xlfn.CONCAT(Instructions!C164,Instructions!A164,"_",TEXT(Instructions!B164,"YYYYMMDD"),"_1_",INDEX(Table1[], MATCH(1,(Table1[Estuary]=Instructions!C164)*(Table1[StationNumber]=Instructions!D164)*(Instructions!B164&gt;Table1[StartDate])*(Instructions!B164&lt;Table1[EndDate]),0),1),"_1_",Instructions!E164)</f>
        <v>TBSRVY_20190924_1_0291_1_04</v>
      </c>
      <c r="C157">
        <f>Instructions!G164</f>
        <v>52</v>
      </c>
      <c r="D157" t="str">
        <f>IF(ISBLANK(Instructions!H164),"",Instructions!H164)</f>
        <v>Entered</v>
      </c>
      <c r="E157" s="1">
        <f>IF(ISBLANK(Instructions!I164),"",Instructions!I164)</f>
        <v>45646</v>
      </c>
      <c r="F157" t="str">
        <f>IF(ISBLANK(Instructions!J164),"",Instructions!J164)</f>
        <v>Erica Williams</v>
      </c>
      <c r="G157" s="1" t="str">
        <f>IF(ISBLANK(Instructions!K164),"",Instructions!K164)</f>
        <v/>
      </c>
      <c r="H157" t="str">
        <f>IF(ISBLANK(Instructions!L164),"",Instructions!L164)</f>
        <v/>
      </c>
      <c r="I157" t="str">
        <f t="shared" si="5"/>
        <v>NULL</v>
      </c>
      <c r="J157" t="str">
        <f t="shared" si="5"/>
        <v>NULL</v>
      </c>
      <c r="K157" t="str">
        <f>Instructions!M164</f>
        <v>Added via SMSS</v>
      </c>
      <c r="L157" t="str">
        <f t="shared" si="1"/>
        <v>NULL</v>
      </c>
    </row>
    <row r="158" spans="1:12" x14ac:dyDescent="0.25">
      <c r="A158" t="str" cm="1">
        <f t="array" ref="A158">_xlfn.CONCAT(Instructions!C165,Instructions!A165,"_",TEXT(Instructions!B165,"YYYYMMDD"),"_1_",INDEX(Table1[], MATCH(1,(Table1[Estuary]=Instructions!C165)*(Table1[StationNumber]=Instructions!D165)*(Instructions!B165&gt;Table1[StartDate])*(Instructions!B165&lt;Table1[EndDate]),0),1),"_1_",Instructions!E165,"_",Instructions!F165)</f>
        <v>TBSRVY_20190924_1_0291_1_04_007</v>
      </c>
      <c r="B158" t="str" cm="1">
        <f t="array" ref="B158">_xlfn.CONCAT(Instructions!C165,Instructions!A165,"_",TEXT(Instructions!B165,"YYYYMMDD"),"_1_",INDEX(Table1[], MATCH(1,(Table1[Estuary]=Instructions!C165)*(Table1[StationNumber]=Instructions!D165)*(Instructions!B165&gt;Table1[StartDate])*(Instructions!B165&lt;Table1[EndDate]),0),1),"_1_",Instructions!E165)</f>
        <v>TBSRVY_20190924_1_0291_1_04</v>
      </c>
      <c r="C158">
        <f>Instructions!G165</f>
        <v>30</v>
      </c>
      <c r="D158" t="str">
        <f>IF(ISBLANK(Instructions!H165),"",Instructions!H165)</f>
        <v>Entered</v>
      </c>
      <c r="E158" s="1">
        <f>IF(ISBLANK(Instructions!I165),"",Instructions!I165)</f>
        <v>45646</v>
      </c>
      <c r="F158" t="str">
        <f>IF(ISBLANK(Instructions!J165),"",Instructions!J165)</f>
        <v>Erica Williams</v>
      </c>
      <c r="G158" s="1" t="str">
        <f>IF(ISBLANK(Instructions!K165),"",Instructions!K165)</f>
        <v/>
      </c>
      <c r="H158" t="str">
        <f>IF(ISBLANK(Instructions!L165),"",Instructions!L165)</f>
        <v/>
      </c>
      <c r="I158" t="str">
        <f t="shared" si="5"/>
        <v>NULL</v>
      </c>
      <c r="J158" t="str">
        <f t="shared" si="5"/>
        <v>NULL</v>
      </c>
      <c r="K158" t="str">
        <f>Instructions!M165</f>
        <v>Added via SMSS</v>
      </c>
      <c r="L158" t="str">
        <f t="shared" si="1"/>
        <v>NULL</v>
      </c>
    </row>
    <row r="159" spans="1:12" x14ac:dyDescent="0.25">
      <c r="A159" t="str" cm="1">
        <f t="array" ref="A159">_xlfn.CONCAT(Instructions!C166,Instructions!A166,"_",TEXT(Instructions!B166,"YYYYMMDD"),"_1_",INDEX(Table1[], MATCH(1,(Table1[Estuary]=Instructions!C166)*(Table1[StationNumber]=Instructions!D166)*(Instructions!B166&gt;Table1[StartDate])*(Instructions!B166&lt;Table1[EndDate]),0),1),"_1_",Instructions!E166,"_",Instructions!F166)</f>
        <v>TBSRVY_20190924_1_0291_1_04_008</v>
      </c>
      <c r="B159" t="str" cm="1">
        <f t="array" ref="B159">_xlfn.CONCAT(Instructions!C166,Instructions!A166,"_",TEXT(Instructions!B166,"YYYYMMDD"),"_1_",INDEX(Table1[], MATCH(1,(Table1[Estuary]=Instructions!C166)*(Table1[StationNumber]=Instructions!D166)*(Instructions!B166&gt;Table1[StartDate])*(Instructions!B166&lt;Table1[EndDate]),0),1),"_1_",Instructions!E166)</f>
        <v>TBSRVY_20190924_1_0291_1_04</v>
      </c>
      <c r="C159">
        <f>Instructions!G166</f>
        <v>5</v>
      </c>
      <c r="D159" t="str">
        <f>IF(ISBLANK(Instructions!H166),"",Instructions!H166)</f>
        <v>Entered</v>
      </c>
      <c r="E159" s="1">
        <f>IF(ISBLANK(Instructions!I166),"",Instructions!I166)</f>
        <v>45646</v>
      </c>
      <c r="F159" t="str">
        <f>IF(ISBLANK(Instructions!J166),"",Instructions!J166)</f>
        <v>Erica Williams</v>
      </c>
      <c r="G159" s="1" t="str">
        <f>IF(ISBLANK(Instructions!K166),"",Instructions!K166)</f>
        <v/>
      </c>
      <c r="H159" t="str">
        <f>IF(ISBLANK(Instructions!L166),"",Instructions!L166)</f>
        <v/>
      </c>
      <c r="I159" t="str">
        <f t="shared" si="5"/>
        <v>NULL</v>
      </c>
      <c r="J159" t="str">
        <f t="shared" si="5"/>
        <v>NULL</v>
      </c>
      <c r="K159" t="str">
        <f>Instructions!M166</f>
        <v>Added via SMSS</v>
      </c>
      <c r="L159" t="str">
        <f t="shared" si="1"/>
        <v>NULL</v>
      </c>
    </row>
    <row r="160" spans="1:12" x14ac:dyDescent="0.25">
      <c r="A160" t="str" cm="1">
        <f t="array" ref="A160">_xlfn.CONCAT(Instructions!C167,Instructions!A167,"_",TEXT(Instructions!B167,"YYYYMMDD"),"_1_",INDEX(Table1[], MATCH(1,(Table1[Estuary]=Instructions!C167)*(Table1[StationNumber]=Instructions!D167)*(Instructions!B167&gt;Table1[StartDate])*(Instructions!B167&lt;Table1[EndDate]),0),1),"_1_",Instructions!E167,"_",Instructions!F167)</f>
        <v>TBSRVY_20190924_1_0291_1_04_009</v>
      </c>
      <c r="B160" t="str" cm="1">
        <f t="array" ref="B160">_xlfn.CONCAT(Instructions!C167,Instructions!A167,"_",TEXT(Instructions!B167,"YYYYMMDD"),"_1_",INDEX(Table1[], MATCH(1,(Table1[Estuary]=Instructions!C167)*(Table1[StationNumber]=Instructions!D167)*(Instructions!B167&gt;Table1[StartDate])*(Instructions!B167&lt;Table1[EndDate]),0),1),"_1_",Instructions!E167)</f>
        <v>TBSRVY_20190924_1_0291_1_04</v>
      </c>
      <c r="C160">
        <f>Instructions!G167</f>
        <v>20</v>
      </c>
      <c r="D160" t="str">
        <f>IF(ISBLANK(Instructions!H167),"",Instructions!H167)</f>
        <v>Entered</v>
      </c>
      <c r="E160" s="1">
        <f>IF(ISBLANK(Instructions!I167),"",Instructions!I167)</f>
        <v>45646</v>
      </c>
      <c r="F160" t="str">
        <f>IF(ISBLANK(Instructions!J167),"",Instructions!J167)</f>
        <v>Erica Williams</v>
      </c>
      <c r="G160" s="1" t="str">
        <f>IF(ISBLANK(Instructions!K167),"",Instructions!K167)</f>
        <v/>
      </c>
      <c r="H160" t="str">
        <f>IF(ISBLANK(Instructions!L167),"",Instructions!L167)</f>
        <v/>
      </c>
      <c r="I160" t="str">
        <f t="shared" si="5"/>
        <v>NULL</v>
      </c>
      <c r="J160" t="str">
        <f t="shared" si="5"/>
        <v>NULL</v>
      </c>
      <c r="K160" t="str">
        <f>Instructions!M167</f>
        <v>Added via SMSS</v>
      </c>
      <c r="L160" t="str">
        <f t="shared" si="1"/>
        <v>NULL</v>
      </c>
    </row>
    <row r="161" spans="1:12" x14ac:dyDescent="0.25">
      <c r="A161" t="str" cm="1">
        <f t="array" ref="A161">_xlfn.CONCAT(Instructions!C168,Instructions!A168,"_",TEXT(Instructions!B168,"YYYYMMDD"),"_1_",INDEX(Table1[], MATCH(1,(Table1[Estuary]=Instructions!C168)*(Table1[StationNumber]=Instructions!D168)*(Instructions!B168&gt;Table1[StartDate])*(Instructions!B168&lt;Table1[EndDate]),0),1),"_1_",Instructions!E168,"_",Instructions!F168)</f>
        <v>TBSRVY_20190924_1_0291_1_04_010</v>
      </c>
      <c r="B161" t="str" cm="1">
        <f t="array" ref="B161">_xlfn.CONCAT(Instructions!C168,Instructions!A168,"_",TEXT(Instructions!B168,"YYYYMMDD"),"_1_",INDEX(Table1[], MATCH(1,(Table1[Estuary]=Instructions!C168)*(Table1[StationNumber]=Instructions!D168)*(Instructions!B168&gt;Table1[StartDate])*(Instructions!B168&lt;Table1[EndDate]),0),1),"_1_",Instructions!E168)</f>
        <v>TBSRVY_20190924_1_0291_1_04</v>
      </c>
      <c r="C161">
        <f>Instructions!G168</f>
        <v>20</v>
      </c>
      <c r="D161" t="str">
        <f>IF(ISBLANK(Instructions!H168),"",Instructions!H168)</f>
        <v>Entered</v>
      </c>
      <c r="E161" s="1">
        <f>IF(ISBLANK(Instructions!I168),"",Instructions!I168)</f>
        <v>45646</v>
      </c>
      <c r="F161" t="str">
        <f>IF(ISBLANK(Instructions!J168),"",Instructions!J168)</f>
        <v>Erica Williams</v>
      </c>
      <c r="G161" s="1" t="str">
        <f>IF(ISBLANK(Instructions!K168),"",Instructions!K168)</f>
        <v/>
      </c>
      <c r="H161" t="str">
        <f>IF(ISBLANK(Instructions!L168),"",Instructions!L168)</f>
        <v/>
      </c>
      <c r="I161" t="str">
        <f t="shared" si="5"/>
        <v>NULL</v>
      </c>
      <c r="J161" t="str">
        <f t="shared" si="5"/>
        <v>NULL</v>
      </c>
      <c r="K161" t="str">
        <f>Instructions!M168</f>
        <v>Added via SMSS</v>
      </c>
      <c r="L161" t="str">
        <f t="shared" si="1"/>
        <v>NULL</v>
      </c>
    </row>
    <row r="162" spans="1:12" x14ac:dyDescent="0.25">
      <c r="A162" t="str" cm="1">
        <f t="array" ref="A162">_xlfn.CONCAT(Instructions!C169,Instructions!A169,"_",TEXT(Instructions!B169,"YYYYMMDD"),"_1_",INDEX(Table1[], MATCH(1,(Table1[Estuary]=Instructions!C169)*(Table1[StationNumber]=Instructions!D169)*(Instructions!B169&gt;Table1[StartDate])*(Instructions!B169&lt;Table1[EndDate]),0),1),"_1_",Instructions!E169,"_",Instructions!F169)</f>
        <v>TBSRVY_20190924_1_0291_1_04_011</v>
      </c>
      <c r="B162" t="str" cm="1">
        <f t="array" ref="B162">_xlfn.CONCAT(Instructions!C169,Instructions!A169,"_",TEXT(Instructions!B169,"YYYYMMDD"),"_1_",INDEX(Table1[], MATCH(1,(Table1[Estuary]=Instructions!C169)*(Table1[StationNumber]=Instructions!D169)*(Instructions!B169&gt;Table1[StartDate])*(Instructions!B169&lt;Table1[EndDate]),0),1),"_1_",Instructions!E169)</f>
        <v>TBSRVY_20190924_1_0291_1_04</v>
      </c>
      <c r="C162">
        <f>Instructions!G169</f>
        <v>12</v>
      </c>
      <c r="D162" t="str">
        <f>IF(ISBLANK(Instructions!H169),"",Instructions!H169)</f>
        <v>Entered</v>
      </c>
      <c r="E162" s="1">
        <f>IF(ISBLANK(Instructions!I169),"",Instructions!I169)</f>
        <v>45646</v>
      </c>
      <c r="F162" t="str">
        <f>IF(ISBLANK(Instructions!J169),"",Instructions!J169)</f>
        <v>Erica Williams</v>
      </c>
      <c r="G162" s="1" t="str">
        <f>IF(ISBLANK(Instructions!K169),"",Instructions!K169)</f>
        <v/>
      </c>
      <c r="H162" t="str">
        <f>IF(ISBLANK(Instructions!L169),"",Instructions!L169)</f>
        <v/>
      </c>
      <c r="I162" t="str">
        <f t="shared" si="5"/>
        <v>NULL</v>
      </c>
      <c r="J162" t="str">
        <f t="shared" si="5"/>
        <v>NULL</v>
      </c>
      <c r="K162" t="str">
        <f>Instructions!M169</f>
        <v>Added via SMSS</v>
      </c>
      <c r="L162" t="str">
        <f t="shared" si="1"/>
        <v>NULL</v>
      </c>
    </row>
    <row r="163" spans="1:12" x14ac:dyDescent="0.25">
      <c r="A163" t="str" cm="1">
        <f t="array" ref="A163">_xlfn.CONCAT(Instructions!C170,Instructions!A170,"_",TEXT(Instructions!B170,"YYYYMMDD"),"_1_",INDEX(Table1[], MATCH(1,(Table1[Estuary]=Instructions!C170)*(Table1[StationNumber]=Instructions!D170)*(Instructions!B170&gt;Table1[StartDate])*(Instructions!B170&lt;Table1[EndDate]),0),1),"_1_",Instructions!E170,"_",Instructions!F170)</f>
        <v>TBSRVY_20190924_1_0291_1_04_012</v>
      </c>
      <c r="B163" t="str" cm="1">
        <f t="array" ref="B163">_xlfn.CONCAT(Instructions!C170,Instructions!A170,"_",TEXT(Instructions!B170,"YYYYMMDD"),"_1_",INDEX(Table1[], MATCH(1,(Table1[Estuary]=Instructions!C170)*(Table1[StationNumber]=Instructions!D170)*(Instructions!B170&gt;Table1[StartDate])*(Instructions!B170&lt;Table1[EndDate]),0),1),"_1_",Instructions!E170)</f>
        <v>TBSRVY_20190924_1_0291_1_04</v>
      </c>
      <c r="C163">
        <f>Instructions!G170</f>
        <v>51</v>
      </c>
      <c r="D163" t="str">
        <f>IF(ISBLANK(Instructions!H170),"",Instructions!H170)</f>
        <v>Entered</v>
      </c>
      <c r="E163" s="1">
        <f>IF(ISBLANK(Instructions!I170),"",Instructions!I170)</f>
        <v>45646</v>
      </c>
      <c r="F163" t="str">
        <f>IF(ISBLANK(Instructions!J170),"",Instructions!J170)</f>
        <v>Erica Williams</v>
      </c>
      <c r="G163" s="1" t="str">
        <f>IF(ISBLANK(Instructions!K170),"",Instructions!K170)</f>
        <v/>
      </c>
      <c r="H163" t="str">
        <f>IF(ISBLANK(Instructions!L170),"",Instructions!L170)</f>
        <v/>
      </c>
      <c r="I163" t="str">
        <f t="shared" si="5"/>
        <v>NULL</v>
      </c>
      <c r="J163" t="str">
        <f t="shared" si="5"/>
        <v>NULL</v>
      </c>
      <c r="K163" t="str">
        <f>Instructions!M170</f>
        <v>Added via SMSS</v>
      </c>
      <c r="L163" t="str">
        <f t="shared" si="1"/>
        <v>NULL</v>
      </c>
    </row>
    <row r="164" spans="1:12" x14ac:dyDescent="0.25">
      <c r="A164" t="str" cm="1">
        <f t="array" ref="A164">_xlfn.CONCAT(Instructions!C171,Instructions!A171,"_",TEXT(Instructions!B171,"YYYYMMDD"),"_1_",INDEX(Table1[], MATCH(1,(Table1[Estuary]=Instructions!C171)*(Table1[StationNumber]=Instructions!D171)*(Instructions!B171&gt;Table1[StartDate])*(Instructions!B171&lt;Table1[EndDate]),0),1),"_1_",Instructions!E171,"_",Instructions!F171)</f>
        <v>TBSRVY_20190924_1_0291_1_04_013</v>
      </c>
      <c r="B164" t="str" cm="1">
        <f t="array" ref="B164">_xlfn.CONCAT(Instructions!C171,Instructions!A171,"_",TEXT(Instructions!B171,"YYYYMMDD"),"_1_",INDEX(Table1[], MATCH(1,(Table1[Estuary]=Instructions!C171)*(Table1[StationNumber]=Instructions!D171)*(Instructions!B171&gt;Table1[StartDate])*(Instructions!B171&lt;Table1[EndDate]),0),1),"_1_",Instructions!E171)</f>
        <v>TBSRVY_20190924_1_0291_1_04</v>
      </c>
      <c r="C164">
        <f>Instructions!G171</f>
        <v>33</v>
      </c>
      <c r="D164" t="str">
        <f>IF(ISBLANK(Instructions!H171),"",Instructions!H171)</f>
        <v>Entered</v>
      </c>
      <c r="E164" s="1">
        <f>IF(ISBLANK(Instructions!I171),"",Instructions!I171)</f>
        <v>45646</v>
      </c>
      <c r="F164" t="str">
        <f>IF(ISBLANK(Instructions!J171),"",Instructions!J171)</f>
        <v>Erica Williams</v>
      </c>
      <c r="G164" s="1" t="str">
        <f>IF(ISBLANK(Instructions!K171),"",Instructions!K171)</f>
        <v/>
      </c>
      <c r="H164" t="str">
        <f>IF(ISBLANK(Instructions!L171),"",Instructions!L171)</f>
        <v/>
      </c>
      <c r="I164" t="str">
        <f t="shared" si="5"/>
        <v>NULL</v>
      </c>
      <c r="J164" t="str">
        <f t="shared" si="5"/>
        <v>NULL</v>
      </c>
      <c r="K164" t="str">
        <f>Instructions!M171</f>
        <v>Added via SMSS</v>
      </c>
      <c r="L164" t="str">
        <f t="shared" si="1"/>
        <v>NULL</v>
      </c>
    </row>
    <row r="165" spans="1:12" x14ac:dyDescent="0.25">
      <c r="A165" t="str" cm="1">
        <f t="array" ref="A165">_xlfn.CONCAT(Instructions!C172,Instructions!A172,"_",TEXT(Instructions!B172,"YYYYMMDD"),"_1_",INDEX(Table1[], MATCH(1,(Table1[Estuary]=Instructions!C172)*(Table1[StationNumber]=Instructions!D172)*(Instructions!B172&gt;Table1[StartDate])*(Instructions!B172&lt;Table1[EndDate]),0),1),"_1_",Instructions!E172,"_",Instructions!F172)</f>
        <v>TBSRVY_20190924_1_0291_1_04_014</v>
      </c>
      <c r="B165" t="str" cm="1">
        <f t="array" ref="B165">_xlfn.CONCAT(Instructions!C172,Instructions!A172,"_",TEXT(Instructions!B172,"YYYYMMDD"),"_1_",INDEX(Table1[], MATCH(1,(Table1[Estuary]=Instructions!C172)*(Table1[StationNumber]=Instructions!D172)*(Instructions!B172&gt;Table1[StartDate])*(Instructions!B172&lt;Table1[EndDate]),0),1),"_1_",Instructions!E172)</f>
        <v>TBSRVY_20190924_1_0291_1_04</v>
      </c>
      <c r="C165">
        <f>Instructions!G172</f>
        <v>12</v>
      </c>
      <c r="D165" t="str">
        <f>IF(ISBLANK(Instructions!H172),"",Instructions!H172)</f>
        <v>Entered</v>
      </c>
      <c r="E165" s="1">
        <f>IF(ISBLANK(Instructions!I172),"",Instructions!I172)</f>
        <v>45646</v>
      </c>
      <c r="F165" t="str">
        <f>IF(ISBLANK(Instructions!J172),"",Instructions!J172)</f>
        <v>Erica Williams</v>
      </c>
      <c r="G165" s="1" t="str">
        <f>IF(ISBLANK(Instructions!K172),"",Instructions!K172)</f>
        <v/>
      </c>
      <c r="H165" t="str">
        <f>IF(ISBLANK(Instructions!L172),"",Instructions!L172)</f>
        <v/>
      </c>
      <c r="I165" t="str">
        <f t="shared" si="5"/>
        <v>NULL</v>
      </c>
      <c r="J165" t="str">
        <f t="shared" si="5"/>
        <v>NULL</v>
      </c>
      <c r="K165" t="str">
        <f>Instructions!M172</f>
        <v>Added via SMSS</v>
      </c>
      <c r="L165" t="str">
        <f t="shared" si="1"/>
        <v>NULL</v>
      </c>
    </row>
    <row r="166" spans="1:12" x14ac:dyDescent="0.25">
      <c r="A166" t="str" cm="1">
        <f t="array" ref="A166">_xlfn.CONCAT(Instructions!C173,Instructions!A173,"_",TEXT(Instructions!B173,"YYYYMMDD"),"_1_",INDEX(Table1[], MATCH(1,(Table1[Estuary]=Instructions!C173)*(Table1[StationNumber]=Instructions!D173)*(Instructions!B173&gt;Table1[StartDate])*(Instructions!B173&lt;Table1[EndDate]),0),1),"_1_",Instructions!E173,"_",Instructions!F173)</f>
        <v>TBSRVY_20190924_1_0291_1_04_015</v>
      </c>
      <c r="B166" t="str" cm="1">
        <f t="array" ref="B166">_xlfn.CONCAT(Instructions!C173,Instructions!A173,"_",TEXT(Instructions!B173,"YYYYMMDD"),"_1_",INDEX(Table1[], MATCH(1,(Table1[Estuary]=Instructions!C173)*(Table1[StationNumber]=Instructions!D173)*(Instructions!B173&gt;Table1[StartDate])*(Instructions!B173&lt;Table1[EndDate]),0),1),"_1_",Instructions!E173)</f>
        <v>TBSRVY_20190924_1_0291_1_04</v>
      </c>
      <c r="C166">
        <f>Instructions!G173</f>
        <v>9</v>
      </c>
      <c r="D166" t="str">
        <f>IF(ISBLANK(Instructions!H173),"",Instructions!H173)</f>
        <v>Entered</v>
      </c>
      <c r="E166" s="1">
        <f>IF(ISBLANK(Instructions!I173),"",Instructions!I173)</f>
        <v>45646</v>
      </c>
      <c r="F166" t="str">
        <f>IF(ISBLANK(Instructions!J173),"",Instructions!J173)</f>
        <v>Erica Williams</v>
      </c>
      <c r="G166" s="1" t="str">
        <f>IF(ISBLANK(Instructions!K173),"",Instructions!K173)</f>
        <v/>
      </c>
      <c r="H166" t="str">
        <f>IF(ISBLANK(Instructions!L173),"",Instructions!L173)</f>
        <v/>
      </c>
      <c r="I166" t="str">
        <f t="shared" si="5"/>
        <v>NULL</v>
      </c>
      <c r="J166" t="str">
        <f t="shared" si="5"/>
        <v>NULL</v>
      </c>
      <c r="K166" t="str">
        <f>Instructions!M173</f>
        <v>Added via SMSS</v>
      </c>
      <c r="L166" t="str">
        <f t="shared" si="1"/>
        <v>NULL</v>
      </c>
    </row>
    <row r="167" spans="1:12" x14ac:dyDescent="0.25">
      <c r="A167" t="str" cm="1">
        <f t="array" ref="A167">_xlfn.CONCAT(Instructions!C174,Instructions!A174,"_",TEXT(Instructions!B174,"YYYYMMDD"),"_1_",INDEX(Table1[], MATCH(1,(Table1[Estuary]=Instructions!C174)*(Table1[StationNumber]=Instructions!D174)*(Instructions!B174&gt;Table1[StartDate])*(Instructions!B174&lt;Table1[EndDate]),0),1),"_1_",Instructions!E174,"_",Instructions!F174)</f>
        <v>TBSRVY_20190924_1_0291_1_04_016</v>
      </c>
      <c r="B167" t="str" cm="1">
        <f t="array" ref="B167">_xlfn.CONCAT(Instructions!C174,Instructions!A174,"_",TEXT(Instructions!B174,"YYYYMMDD"),"_1_",INDEX(Table1[], MATCH(1,(Table1[Estuary]=Instructions!C174)*(Table1[StationNumber]=Instructions!D174)*(Instructions!B174&gt;Table1[StartDate])*(Instructions!B174&lt;Table1[EndDate]),0),1),"_1_",Instructions!E174)</f>
        <v>TBSRVY_20190924_1_0291_1_04</v>
      </c>
      <c r="C167">
        <f>Instructions!G174</f>
        <v>68</v>
      </c>
      <c r="D167" t="str">
        <f>IF(ISBLANK(Instructions!H174),"",Instructions!H174)</f>
        <v>Entered</v>
      </c>
      <c r="E167" s="1">
        <f>IF(ISBLANK(Instructions!I174),"",Instructions!I174)</f>
        <v>45646</v>
      </c>
      <c r="F167" t="str">
        <f>IF(ISBLANK(Instructions!J174),"",Instructions!J174)</f>
        <v>Erica Williams</v>
      </c>
      <c r="G167" s="1" t="str">
        <f>IF(ISBLANK(Instructions!K174),"",Instructions!K174)</f>
        <v/>
      </c>
      <c r="H167" t="str">
        <f>IF(ISBLANK(Instructions!L174),"",Instructions!L174)</f>
        <v/>
      </c>
      <c r="I167" t="str">
        <f t="shared" si="5"/>
        <v>NULL</v>
      </c>
      <c r="J167" t="str">
        <f t="shared" si="5"/>
        <v>NULL</v>
      </c>
      <c r="K167" t="str">
        <f>Instructions!M174</f>
        <v>Added via SMSS</v>
      </c>
      <c r="L167" t="str">
        <f t="shared" si="1"/>
        <v>NULL</v>
      </c>
    </row>
    <row r="168" spans="1:12" x14ac:dyDescent="0.25">
      <c r="A168" t="str" cm="1">
        <f t="array" ref="A168">_xlfn.CONCAT(Instructions!C175,Instructions!A175,"_",TEXT(Instructions!B175,"YYYYMMDD"),"_1_",INDEX(Table1[], MATCH(1,(Table1[Estuary]=Instructions!C175)*(Table1[StationNumber]=Instructions!D175)*(Instructions!B175&gt;Table1[StartDate])*(Instructions!B175&lt;Table1[EndDate]),0),1),"_1_",Instructions!E175,"_",Instructions!F175)</f>
        <v>TBSRVY_20190924_1_0291_1_04_017</v>
      </c>
      <c r="B168" t="str" cm="1">
        <f t="array" ref="B168">_xlfn.CONCAT(Instructions!C175,Instructions!A175,"_",TEXT(Instructions!B175,"YYYYMMDD"),"_1_",INDEX(Table1[], MATCH(1,(Table1[Estuary]=Instructions!C175)*(Table1[StationNumber]=Instructions!D175)*(Instructions!B175&gt;Table1[StartDate])*(Instructions!B175&lt;Table1[EndDate]),0),1),"_1_",Instructions!E175)</f>
        <v>TBSRVY_20190924_1_0291_1_04</v>
      </c>
      <c r="C168">
        <f>Instructions!G175</f>
        <v>76</v>
      </c>
      <c r="D168" t="str">
        <f>IF(ISBLANK(Instructions!H175),"",Instructions!H175)</f>
        <v>Entered</v>
      </c>
      <c r="E168" s="1">
        <f>IF(ISBLANK(Instructions!I175),"",Instructions!I175)</f>
        <v>45646</v>
      </c>
      <c r="F168" t="str">
        <f>IF(ISBLANK(Instructions!J175),"",Instructions!J175)</f>
        <v>Erica Williams</v>
      </c>
      <c r="G168" s="1" t="str">
        <f>IF(ISBLANK(Instructions!K175),"",Instructions!K175)</f>
        <v/>
      </c>
      <c r="H168" t="str">
        <f>IF(ISBLANK(Instructions!L175),"",Instructions!L175)</f>
        <v/>
      </c>
      <c r="I168" t="str">
        <f t="shared" si="5"/>
        <v>NULL</v>
      </c>
      <c r="J168" t="str">
        <f t="shared" si="5"/>
        <v>NULL</v>
      </c>
      <c r="K168" t="str">
        <f>Instructions!M175</f>
        <v>Added via SMSS</v>
      </c>
      <c r="L168" t="str">
        <f t="shared" si="1"/>
        <v>NULL</v>
      </c>
    </row>
    <row r="169" spans="1:12" x14ac:dyDescent="0.25">
      <c r="A169" t="str" cm="1">
        <f t="array" ref="A169">_xlfn.CONCAT(Instructions!C176,Instructions!A176,"_",TEXT(Instructions!B176,"YYYYMMDD"),"_1_",INDEX(Table1[], MATCH(1,(Table1[Estuary]=Instructions!C176)*(Table1[StationNumber]=Instructions!D176)*(Instructions!B176&gt;Table1[StartDate])*(Instructions!B176&lt;Table1[EndDate]),0),1),"_1_",Instructions!E176,"_",Instructions!F176)</f>
        <v>TBSRVY_20190924_1_0291_1_04_018</v>
      </c>
      <c r="B169" t="str" cm="1">
        <f t="array" ref="B169">_xlfn.CONCAT(Instructions!C176,Instructions!A176,"_",TEXT(Instructions!B176,"YYYYMMDD"),"_1_",INDEX(Table1[], MATCH(1,(Table1[Estuary]=Instructions!C176)*(Table1[StationNumber]=Instructions!D176)*(Instructions!B176&gt;Table1[StartDate])*(Instructions!B176&lt;Table1[EndDate]),0),1),"_1_",Instructions!E176)</f>
        <v>TBSRVY_20190924_1_0291_1_04</v>
      </c>
      <c r="C169">
        <f>Instructions!G176</f>
        <v>24</v>
      </c>
      <c r="D169" t="str">
        <f>IF(ISBLANK(Instructions!H176),"",Instructions!H176)</f>
        <v>Entered</v>
      </c>
      <c r="E169" s="1">
        <f>IF(ISBLANK(Instructions!I176),"",Instructions!I176)</f>
        <v>45646</v>
      </c>
      <c r="F169" t="str">
        <f>IF(ISBLANK(Instructions!J176),"",Instructions!J176)</f>
        <v>Erica Williams</v>
      </c>
      <c r="G169" s="1" t="str">
        <f>IF(ISBLANK(Instructions!K176),"",Instructions!K176)</f>
        <v/>
      </c>
      <c r="H169" t="str">
        <f>IF(ISBLANK(Instructions!L176),"",Instructions!L176)</f>
        <v/>
      </c>
      <c r="I169" t="str">
        <f t="shared" si="5"/>
        <v>NULL</v>
      </c>
      <c r="J169" t="str">
        <f t="shared" si="5"/>
        <v>NULL</v>
      </c>
      <c r="K169" t="str">
        <f>Instructions!M176</f>
        <v>Added via SMSS</v>
      </c>
      <c r="L169" t="str">
        <f t="shared" si="1"/>
        <v>NULL</v>
      </c>
    </row>
    <row r="170" spans="1:12" x14ac:dyDescent="0.25">
      <c r="A170" t="str" cm="1">
        <f t="array" ref="A170">_xlfn.CONCAT(Instructions!C177,Instructions!A177,"_",TEXT(Instructions!B177,"YYYYMMDD"),"_1_",INDEX(Table1[], MATCH(1,(Table1[Estuary]=Instructions!C177)*(Table1[StationNumber]=Instructions!D177)*(Instructions!B177&gt;Table1[StartDate])*(Instructions!B177&lt;Table1[EndDate]),0),1),"_1_",Instructions!E177,"_",Instructions!F177)</f>
        <v>TBSRVY_20190924_1_0291_1_04_019</v>
      </c>
      <c r="B170" t="str" cm="1">
        <f t="array" ref="B170">_xlfn.CONCAT(Instructions!C177,Instructions!A177,"_",TEXT(Instructions!B177,"YYYYMMDD"),"_1_",INDEX(Table1[], MATCH(1,(Table1[Estuary]=Instructions!C177)*(Table1[StationNumber]=Instructions!D177)*(Instructions!B177&gt;Table1[StartDate])*(Instructions!B177&lt;Table1[EndDate]),0),1),"_1_",Instructions!E177)</f>
        <v>TBSRVY_20190924_1_0291_1_04</v>
      </c>
      <c r="C170">
        <f>Instructions!G177</f>
        <v>13</v>
      </c>
      <c r="D170" t="str">
        <f>IF(ISBLANK(Instructions!H177),"",Instructions!H177)</f>
        <v>Entered</v>
      </c>
      <c r="E170" s="1">
        <f>IF(ISBLANK(Instructions!I177),"",Instructions!I177)</f>
        <v>45646</v>
      </c>
      <c r="F170" t="str">
        <f>IF(ISBLANK(Instructions!J177),"",Instructions!J177)</f>
        <v>Erica Williams</v>
      </c>
      <c r="G170" s="1" t="str">
        <f>IF(ISBLANK(Instructions!K177),"",Instructions!K177)</f>
        <v/>
      </c>
      <c r="H170" t="str">
        <f>IF(ISBLANK(Instructions!L177),"",Instructions!L177)</f>
        <v/>
      </c>
      <c r="I170" t="str">
        <f t="shared" si="5"/>
        <v>NULL</v>
      </c>
      <c r="J170" t="str">
        <f t="shared" si="5"/>
        <v>NULL</v>
      </c>
      <c r="K170" t="str">
        <f>Instructions!M177</f>
        <v>Added via SMSS</v>
      </c>
      <c r="L170" t="str">
        <f t="shared" si="1"/>
        <v>NULL</v>
      </c>
    </row>
    <row r="171" spans="1:12" x14ac:dyDescent="0.25">
      <c r="A171" t="str" cm="1">
        <f t="array" ref="A171">_xlfn.CONCAT(Instructions!C178,Instructions!A178,"_",TEXT(Instructions!B178,"YYYYMMDD"),"_1_",INDEX(Table1[], MATCH(1,(Table1[Estuary]=Instructions!C178)*(Table1[StationNumber]=Instructions!D178)*(Instructions!B178&gt;Table1[StartDate])*(Instructions!B178&lt;Table1[EndDate]),0),1),"_1_",Instructions!E178,"_",Instructions!F178)</f>
        <v>TBSRVY_20190924_1_0291_1_04_020</v>
      </c>
      <c r="B171" t="str" cm="1">
        <f t="array" ref="B171">_xlfn.CONCAT(Instructions!C178,Instructions!A178,"_",TEXT(Instructions!B178,"YYYYMMDD"),"_1_",INDEX(Table1[], MATCH(1,(Table1[Estuary]=Instructions!C178)*(Table1[StationNumber]=Instructions!D178)*(Instructions!B178&gt;Table1[StartDate])*(Instructions!B178&lt;Table1[EndDate]),0),1),"_1_",Instructions!E178)</f>
        <v>TBSRVY_20190924_1_0291_1_04</v>
      </c>
      <c r="C171">
        <f>Instructions!G178</f>
        <v>14</v>
      </c>
      <c r="D171" t="str">
        <f>IF(ISBLANK(Instructions!H178),"",Instructions!H178)</f>
        <v>Entered</v>
      </c>
      <c r="E171" s="1">
        <f>IF(ISBLANK(Instructions!I178),"",Instructions!I178)</f>
        <v>45646</v>
      </c>
      <c r="F171" t="str">
        <f>IF(ISBLANK(Instructions!J178),"",Instructions!J178)</f>
        <v>Erica Williams</v>
      </c>
      <c r="G171" s="1" t="str">
        <f>IF(ISBLANK(Instructions!K178),"",Instructions!K178)</f>
        <v/>
      </c>
      <c r="H171" t="str">
        <f>IF(ISBLANK(Instructions!L178),"",Instructions!L178)</f>
        <v/>
      </c>
      <c r="I171" t="str">
        <f t="shared" si="5"/>
        <v>NULL</v>
      </c>
      <c r="J171" t="str">
        <f t="shared" si="5"/>
        <v>NULL</v>
      </c>
      <c r="K171" t="str">
        <f>Instructions!M178</f>
        <v>Added via SMSS</v>
      </c>
      <c r="L171" t="str">
        <f t="shared" si="1"/>
        <v>NULL</v>
      </c>
    </row>
    <row r="172" spans="1:12" x14ac:dyDescent="0.25">
      <c r="A172" t="str" cm="1">
        <f t="array" ref="A172">_xlfn.CONCAT(Instructions!C179,Instructions!A179,"_",TEXT(Instructions!B179,"YYYYMMDD"),"_1_",INDEX(Table1[], MATCH(1,(Table1[Estuary]=Instructions!C179)*(Table1[StationNumber]=Instructions!D179)*(Instructions!B179&gt;Table1[StartDate])*(Instructions!B179&lt;Table1[EndDate]),0),1),"_1_",Instructions!E179,"_",Instructions!F179)</f>
        <v>TBSRVY_20190924_1_0291_1_04_021</v>
      </c>
      <c r="B172" t="str" cm="1">
        <f t="array" ref="B172">_xlfn.CONCAT(Instructions!C179,Instructions!A179,"_",TEXT(Instructions!B179,"YYYYMMDD"),"_1_",INDEX(Table1[], MATCH(1,(Table1[Estuary]=Instructions!C179)*(Table1[StationNumber]=Instructions!D179)*(Instructions!B179&gt;Table1[StartDate])*(Instructions!B179&lt;Table1[EndDate]),0),1),"_1_",Instructions!E179)</f>
        <v>TBSRVY_20190924_1_0291_1_04</v>
      </c>
      <c r="C172">
        <f>Instructions!G179</f>
        <v>7</v>
      </c>
      <c r="D172" t="str">
        <f>IF(ISBLANK(Instructions!H179),"",Instructions!H179)</f>
        <v>Entered</v>
      </c>
      <c r="E172" s="1">
        <f>IF(ISBLANK(Instructions!I179),"",Instructions!I179)</f>
        <v>45646</v>
      </c>
      <c r="F172" t="str">
        <f>IF(ISBLANK(Instructions!J179),"",Instructions!J179)</f>
        <v>Erica Williams</v>
      </c>
      <c r="G172" s="1" t="str">
        <f>IF(ISBLANK(Instructions!K179),"",Instructions!K179)</f>
        <v/>
      </c>
      <c r="H172" t="str">
        <f>IF(ISBLANK(Instructions!L179),"",Instructions!L179)</f>
        <v/>
      </c>
      <c r="I172" t="str">
        <f t="shared" si="5"/>
        <v>NULL</v>
      </c>
      <c r="J172" t="str">
        <f t="shared" si="5"/>
        <v>NULL</v>
      </c>
      <c r="K172" t="str">
        <f>Instructions!M179</f>
        <v>Added via SMSS</v>
      </c>
      <c r="L172" t="str">
        <f t="shared" si="1"/>
        <v>NULL</v>
      </c>
    </row>
    <row r="173" spans="1:12" x14ac:dyDescent="0.25">
      <c r="A173" t="str" cm="1">
        <f t="array" ref="A173">_xlfn.CONCAT(Instructions!C180,Instructions!A180,"_",TEXT(Instructions!B180,"YYYYMMDD"),"_1_",INDEX(Table1[], MATCH(1,(Table1[Estuary]=Instructions!C180)*(Table1[StationNumber]=Instructions!D180)*(Instructions!B180&gt;Table1[StartDate])*(Instructions!B180&lt;Table1[EndDate]),0),1),"_1_",Instructions!E180,"_",Instructions!F180)</f>
        <v>TBSRVY_20190924_1_0291_1_04_022</v>
      </c>
      <c r="B173" t="str" cm="1">
        <f t="array" ref="B173">_xlfn.CONCAT(Instructions!C180,Instructions!A180,"_",TEXT(Instructions!B180,"YYYYMMDD"),"_1_",INDEX(Table1[], MATCH(1,(Table1[Estuary]=Instructions!C180)*(Table1[StationNumber]=Instructions!D180)*(Instructions!B180&gt;Table1[StartDate])*(Instructions!B180&lt;Table1[EndDate]),0),1),"_1_",Instructions!E180)</f>
        <v>TBSRVY_20190924_1_0291_1_04</v>
      </c>
      <c r="C173">
        <f>Instructions!G180</f>
        <v>8</v>
      </c>
      <c r="D173" t="str">
        <f>IF(ISBLANK(Instructions!H180),"",Instructions!H180)</f>
        <v>Entered</v>
      </c>
      <c r="E173" s="1">
        <f>IF(ISBLANK(Instructions!I180),"",Instructions!I180)</f>
        <v>45646</v>
      </c>
      <c r="F173" t="str">
        <f>IF(ISBLANK(Instructions!J180),"",Instructions!J180)</f>
        <v>Erica Williams</v>
      </c>
      <c r="G173" s="1" t="str">
        <f>IF(ISBLANK(Instructions!K180),"",Instructions!K180)</f>
        <v/>
      </c>
      <c r="H173" t="str">
        <f>IF(ISBLANK(Instructions!L180),"",Instructions!L180)</f>
        <v/>
      </c>
      <c r="I173" t="str">
        <f t="shared" si="5"/>
        <v>NULL</v>
      </c>
      <c r="J173" t="str">
        <f t="shared" si="5"/>
        <v>NULL</v>
      </c>
      <c r="K173" t="str">
        <f>Instructions!M180</f>
        <v>Added via SMSS</v>
      </c>
      <c r="L173" t="str">
        <f t="shared" si="1"/>
        <v>NULL</v>
      </c>
    </row>
    <row r="174" spans="1:12" x14ac:dyDescent="0.25">
      <c r="A174" t="str" cm="1">
        <f t="array" ref="A174">_xlfn.CONCAT(Instructions!C181,Instructions!A181,"_",TEXT(Instructions!B181,"YYYYMMDD"),"_1_",INDEX(Table1[], MATCH(1,(Table1[Estuary]=Instructions!C181)*(Table1[StationNumber]=Instructions!D181)*(Instructions!B181&gt;Table1[StartDate])*(Instructions!B181&lt;Table1[EndDate]),0),1),"_1_",Instructions!E181,"_",Instructions!F181)</f>
        <v>TBSRVY_20190924_1_0291_1_04_023</v>
      </c>
      <c r="B174" t="str" cm="1">
        <f t="array" ref="B174">_xlfn.CONCAT(Instructions!C181,Instructions!A181,"_",TEXT(Instructions!B181,"YYYYMMDD"),"_1_",INDEX(Table1[], MATCH(1,(Table1[Estuary]=Instructions!C181)*(Table1[StationNumber]=Instructions!D181)*(Instructions!B181&gt;Table1[StartDate])*(Instructions!B181&lt;Table1[EndDate]),0),1),"_1_",Instructions!E181)</f>
        <v>TBSRVY_20190924_1_0291_1_04</v>
      </c>
      <c r="C174">
        <f>Instructions!G181</f>
        <v>7</v>
      </c>
      <c r="D174" t="str">
        <f>IF(ISBLANK(Instructions!H181),"",Instructions!H181)</f>
        <v>Entered</v>
      </c>
      <c r="E174" s="1">
        <f>IF(ISBLANK(Instructions!I181),"",Instructions!I181)</f>
        <v>45646</v>
      </c>
      <c r="F174" t="str">
        <f>IF(ISBLANK(Instructions!J181),"",Instructions!J181)</f>
        <v>Erica Williams</v>
      </c>
      <c r="G174" s="1" t="str">
        <f>IF(ISBLANK(Instructions!K181),"",Instructions!K181)</f>
        <v/>
      </c>
      <c r="H174" t="str">
        <f>IF(ISBLANK(Instructions!L181),"",Instructions!L181)</f>
        <v/>
      </c>
      <c r="I174" t="str">
        <f t="shared" si="5"/>
        <v>NULL</v>
      </c>
      <c r="J174" t="str">
        <f t="shared" si="5"/>
        <v>NULL</v>
      </c>
      <c r="K174" t="str">
        <f>Instructions!M181</f>
        <v>Added via SMSS</v>
      </c>
      <c r="L174" t="str">
        <f t="shared" si="1"/>
        <v>NULL</v>
      </c>
    </row>
    <row r="175" spans="1:12" x14ac:dyDescent="0.25">
      <c r="A175" t="str" cm="1">
        <f t="array" ref="A175">_xlfn.CONCAT(Instructions!C182,Instructions!A182,"_",TEXT(Instructions!B182,"YYYYMMDD"),"_1_",INDEX(Table1[], MATCH(1,(Table1[Estuary]=Instructions!C182)*(Table1[StationNumber]=Instructions!D182)*(Instructions!B182&gt;Table1[StartDate])*(Instructions!B182&lt;Table1[EndDate]),0),1),"_1_",Instructions!E182,"_",Instructions!F182)</f>
        <v>TBSRVY_20190924_1_0291_1_04_024</v>
      </c>
      <c r="B175" t="str" cm="1">
        <f t="array" ref="B175">_xlfn.CONCAT(Instructions!C182,Instructions!A182,"_",TEXT(Instructions!B182,"YYYYMMDD"),"_1_",INDEX(Table1[], MATCH(1,(Table1[Estuary]=Instructions!C182)*(Table1[StationNumber]=Instructions!D182)*(Instructions!B182&gt;Table1[StartDate])*(Instructions!B182&lt;Table1[EndDate]),0),1),"_1_",Instructions!E182)</f>
        <v>TBSRVY_20190924_1_0291_1_04</v>
      </c>
      <c r="C175">
        <f>Instructions!G182</f>
        <v>15</v>
      </c>
      <c r="D175" t="str">
        <f>IF(ISBLANK(Instructions!H182),"",Instructions!H182)</f>
        <v>Entered</v>
      </c>
      <c r="E175" s="1">
        <f>IF(ISBLANK(Instructions!I182),"",Instructions!I182)</f>
        <v>45646</v>
      </c>
      <c r="F175" t="str">
        <f>IF(ISBLANK(Instructions!J182),"",Instructions!J182)</f>
        <v>Erica Williams</v>
      </c>
      <c r="G175" s="1" t="str">
        <f>IF(ISBLANK(Instructions!K182),"",Instructions!K182)</f>
        <v/>
      </c>
      <c r="H175" t="str">
        <f>IF(ISBLANK(Instructions!L182),"",Instructions!L182)</f>
        <v/>
      </c>
      <c r="I175" t="str">
        <f t="shared" si="5"/>
        <v>NULL</v>
      </c>
      <c r="J175" t="str">
        <f t="shared" si="5"/>
        <v>NULL</v>
      </c>
      <c r="K175" t="str">
        <f>Instructions!M182</f>
        <v>Added via SMSS</v>
      </c>
      <c r="L175" t="str">
        <f t="shared" si="1"/>
        <v>NULL</v>
      </c>
    </row>
    <row r="176" spans="1:12" x14ac:dyDescent="0.25">
      <c r="A176" t="str" cm="1">
        <f t="array" ref="A176">_xlfn.CONCAT(Instructions!C183,Instructions!A183,"_",TEXT(Instructions!B183,"YYYYMMDD"),"_1_",INDEX(Table1[], MATCH(1,(Table1[Estuary]=Instructions!C183)*(Table1[StationNumber]=Instructions!D183)*(Instructions!B183&gt;Table1[StartDate])*(Instructions!B183&lt;Table1[EndDate]),0),1),"_1_",Instructions!E183,"_",Instructions!F183)</f>
        <v>TBSRVY_20190924_1_0291_1_04_025</v>
      </c>
      <c r="B176" t="str" cm="1">
        <f t="array" ref="B176">_xlfn.CONCAT(Instructions!C183,Instructions!A183,"_",TEXT(Instructions!B183,"YYYYMMDD"),"_1_",INDEX(Table1[], MATCH(1,(Table1[Estuary]=Instructions!C183)*(Table1[StationNumber]=Instructions!D183)*(Instructions!B183&gt;Table1[StartDate])*(Instructions!B183&lt;Table1[EndDate]),0),1),"_1_",Instructions!E183)</f>
        <v>TBSRVY_20190924_1_0291_1_04</v>
      </c>
      <c r="C176">
        <f>Instructions!G183</f>
        <v>7</v>
      </c>
      <c r="D176" t="str">
        <f>IF(ISBLANK(Instructions!H183),"",Instructions!H183)</f>
        <v>Entered</v>
      </c>
      <c r="E176" s="1">
        <f>IF(ISBLANK(Instructions!I183),"",Instructions!I183)</f>
        <v>45646</v>
      </c>
      <c r="F176" t="str">
        <f>IF(ISBLANK(Instructions!J183),"",Instructions!J183)</f>
        <v>Erica Williams</v>
      </c>
      <c r="G176" s="1" t="str">
        <f>IF(ISBLANK(Instructions!K183),"",Instructions!K183)</f>
        <v/>
      </c>
      <c r="H176" t="str">
        <f>IF(ISBLANK(Instructions!L183),"",Instructions!L183)</f>
        <v/>
      </c>
      <c r="I176" t="str">
        <f t="shared" si="5"/>
        <v>NULL</v>
      </c>
      <c r="J176" t="str">
        <f t="shared" si="5"/>
        <v>NULL</v>
      </c>
      <c r="K176" t="str">
        <f>Instructions!M183</f>
        <v>Added via SMSS</v>
      </c>
      <c r="L176" t="str">
        <f t="shared" si="1"/>
        <v>NULL</v>
      </c>
    </row>
    <row r="177" spans="1:12" x14ac:dyDescent="0.25">
      <c r="A177" t="str" cm="1">
        <f t="array" ref="A177">_xlfn.CONCAT(Instructions!C184,Instructions!A184,"_",TEXT(Instructions!B184,"YYYYMMDD"),"_1_",INDEX(Table1[], MATCH(1,(Table1[Estuary]=Instructions!C184)*(Table1[StationNumber]=Instructions!D184)*(Instructions!B184&gt;Table1[StartDate])*(Instructions!B184&lt;Table1[EndDate]),0),1),"_1_",Instructions!E184,"_",Instructions!F184)</f>
        <v>TBSRVY_20190924_1_0291_1_04_026</v>
      </c>
      <c r="B177" t="str" cm="1">
        <f t="array" ref="B177">_xlfn.CONCAT(Instructions!C184,Instructions!A184,"_",TEXT(Instructions!B184,"YYYYMMDD"),"_1_",INDEX(Table1[], MATCH(1,(Table1[Estuary]=Instructions!C184)*(Table1[StationNumber]=Instructions!D184)*(Instructions!B184&gt;Table1[StartDate])*(Instructions!B184&lt;Table1[EndDate]),0),1),"_1_",Instructions!E184)</f>
        <v>TBSRVY_20190924_1_0291_1_04</v>
      </c>
      <c r="C177">
        <f>Instructions!G184</f>
        <v>6</v>
      </c>
      <c r="D177" t="str">
        <f>IF(ISBLANK(Instructions!H184),"",Instructions!H184)</f>
        <v>Entered</v>
      </c>
      <c r="E177" s="1">
        <f>IF(ISBLANK(Instructions!I184),"",Instructions!I184)</f>
        <v>45646</v>
      </c>
      <c r="F177" t="str">
        <f>IF(ISBLANK(Instructions!J184),"",Instructions!J184)</f>
        <v>Erica Williams</v>
      </c>
      <c r="G177" s="1" t="str">
        <f>IF(ISBLANK(Instructions!K184),"",Instructions!K184)</f>
        <v/>
      </c>
      <c r="H177" t="str">
        <f>IF(ISBLANK(Instructions!L184),"",Instructions!L184)</f>
        <v/>
      </c>
      <c r="I177" t="str">
        <f t="shared" si="5"/>
        <v>NULL</v>
      </c>
      <c r="J177" t="str">
        <f t="shared" si="5"/>
        <v>NULL</v>
      </c>
      <c r="K177" t="str">
        <f>Instructions!M184</f>
        <v>Added via SMSS</v>
      </c>
      <c r="L177" t="str">
        <f t="shared" si="1"/>
        <v>NULL</v>
      </c>
    </row>
    <row r="178" spans="1:12" x14ac:dyDescent="0.25">
      <c r="A178" t="str" cm="1">
        <f t="array" ref="A178">_xlfn.CONCAT(Instructions!C185,Instructions!A185,"_",TEXT(Instructions!B185,"YYYYMMDD"),"_1_",INDEX(Table1[], MATCH(1,(Table1[Estuary]=Instructions!C185)*(Table1[StationNumber]=Instructions!D185)*(Instructions!B185&gt;Table1[StartDate])*(Instructions!B185&lt;Table1[EndDate]),0),1),"_1_",Instructions!E185,"_",Instructions!F185)</f>
        <v>TBSRVY_20190924_1_0291_1_04_027</v>
      </c>
      <c r="B178" t="str" cm="1">
        <f t="array" ref="B178">_xlfn.CONCAT(Instructions!C185,Instructions!A185,"_",TEXT(Instructions!B185,"YYYYMMDD"),"_1_",INDEX(Table1[], MATCH(1,(Table1[Estuary]=Instructions!C185)*(Table1[StationNumber]=Instructions!D185)*(Instructions!B185&gt;Table1[StartDate])*(Instructions!B185&lt;Table1[EndDate]),0),1),"_1_",Instructions!E185)</f>
        <v>TBSRVY_20190924_1_0291_1_04</v>
      </c>
      <c r="C178">
        <f>Instructions!G185</f>
        <v>22</v>
      </c>
      <c r="D178" t="str">
        <f>IF(ISBLANK(Instructions!H185),"",Instructions!H185)</f>
        <v>Entered</v>
      </c>
      <c r="E178" s="1">
        <f>IF(ISBLANK(Instructions!I185),"",Instructions!I185)</f>
        <v>45646</v>
      </c>
      <c r="F178" t="str">
        <f>IF(ISBLANK(Instructions!J185),"",Instructions!J185)</f>
        <v>Erica Williams</v>
      </c>
      <c r="G178" s="1" t="str">
        <f>IF(ISBLANK(Instructions!K185),"",Instructions!K185)</f>
        <v/>
      </c>
      <c r="H178" t="str">
        <f>IF(ISBLANK(Instructions!L185),"",Instructions!L185)</f>
        <v/>
      </c>
      <c r="I178" t="str">
        <f t="shared" si="5"/>
        <v>NULL</v>
      </c>
      <c r="J178" t="str">
        <f t="shared" si="5"/>
        <v>NULL</v>
      </c>
      <c r="K178" t="str">
        <f>Instructions!M185</f>
        <v>Added via SMSS</v>
      </c>
      <c r="L178" t="str">
        <f t="shared" si="1"/>
        <v>NULL</v>
      </c>
    </row>
    <row r="179" spans="1:12" x14ac:dyDescent="0.25">
      <c r="A179" t="str" cm="1">
        <f t="array" ref="A179">_xlfn.CONCAT(Instructions!C186,Instructions!A186,"_",TEXT(Instructions!B186,"YYYYMMDD"),"_1_",INDEX(Table1[], MATCH(1,(Table1[Estuary]=Instructions!C186)*(Table1[StationNumber]=Instructions!D186)*(Instructions!B186&gt;Table1[StartDate])*(Instructions!B186&lt;Table1[EndDate]),0),1),"_1_",Instructions!E186,"_",Instructions!F186)</f>
        <v>TBSRVY_20190924_1_0291_1_04_028</v>
      </c>
      <c r="B179" t="str" cm="1">
        <f t="array" ref="B179">_xlfn.CONCAT(Instructions!C186,Instructions!A186,"_",TEXT(Instructions!B186,"YYYYMMDD"),"_1_",INDEX(Table1[], MATCH(1,(Table1[Estuary]=Instructions!C186)*(Table1[StationNumber]=Instructions!D186)*(Instructions!B186&gt;Table1[StartDate])*(Instructions!B186&lt;Table1[EndDate]),0),1),"_1_",Instructions!E186)</f>
        <v>TBSRVY_20190924_1_0291_1_04</v>
      </c>
      <c r="C179">
        <f>Instructions!G186</f>
        <v>12</v>
      </c>
      <c r="D179" t="str">
        <f>IF(ISBLANK(Instructions!H186),"",Instructions!H186)</f>
        <v>Entered</v>
      </c>
      <c r="E179" s="1">
        <f>IF(ISBLANK(Instructions!I186),"",Instructions!I186)</f>
        <v>45646</v>
      </c>
      <c r="F179" t="str">
        <f>IF(ISBLANK(Instructions!J186),"",Instructions!J186)</f>
        <v>Erica Williams</v>
      </c>
      <c r="G179" s="1" t="str">
        <f>IF(ISBLANK(Instructions!K186),"",Instructions!K186)</f>
        <v/>
      </c>
      <c r="H179" t="str">
        <f>IF(ISBLANK(Instructions!L186),"",Instructions!L186)</f>
        <v/>
      </c>
      <c r="I179" t="str">
        <f t="shared" si="5"/>
        <v>NULL</v>
      </c>
      <c r="J179" t="str">
        <f t="shared" si="5"/>
        <v>NULL</v>
      </c>
      <c r="K179" t="str">
        <f>Instructions!M186</f>
        <v>Added via SMSS</v>
      </c>
      <c r="L179" t="str">
        <f t="shared" si="1"/>
        <v>NULL</v>
      </c>
    </row>
    <row r="180" spans="1:12" x14ac:dyDescent="0.25">
      <c r="A180" t="str" cm="1">
        <f t="array" ref="A180">_xlfn.CONCAT(Instructions!C187,Instructions!A187,"_",TEXT(Instructions!B187,"YYYYMMDD"),"_1_",INDEX(Table1[], MATCH(1,(Table1[Estuary]=Instructions!C187)*(Table1[StationNumber]=Instructions!D187)*(Instructions!B187&gt;Table1[StartDate])*(Instructions!B187&lt;Table1[EndDate]),0),1),"_1_",Instructions!E187,"_",Instructions!F187)</f>
        <v>TBSRVY_20190924_1_0291_1_04_029</v>
      </c>
      <c r="B180" t="str" cm="1">
        <f t="array" ref="B180">_xlfn.CONCAT(Instructions!C187,Instructions!A187,"_",TEXT(Instructions!B187,"YYYYMMDD"),"_1_",INDEX(Table1[], MATCH(1,(Table1[Estuary]=Instructions!C187)*(Table1[StationNumber]=Instructions!D187)*(Instructions!B187&gt;Table1[StartDate])*(Instructions!B187&lt;Table1[EndDate]),0),1),"_1_",Instructions!E187)</f>
        <v>TBSRVY_20190924_1_0291_1_04</v>
      </c>
      <c r="C180">
        <f>Instructions!G187</f>
        <v>17</v>
      </c>
      <c r="D180" t="str">
        <f>IF(ISBLANK(Instructions!H187),"",Instructions!H187)</f>
        <v>Entered</v>
      </c>
      <c r="E180" s="1">
        <f>IF(ISBLANK(Instructions!I187),"",Instructions!I187)</f>
        <v>45646</v>
      </c>
      <c r="F180" t="str">
        <f>IF(ISBLANK(Instructions!J187),"",Instructions!J187)</f>
        <v>Erica Williams</v>
      </c>
      <c r="G180" s="1" t="str">
        <f>IF(ISBLANK(Instructions!K187),"",Instructions!K187)</f>
        <v/>
      </c>
      <c r="H180" t="str">
        <f>IF(ISBLANK(Instructions!L187),"",Instructions!L187)</f>
        <v/>
      </c>
      <c r="I180" t="str">
        <f t="shared" si="5"/>
        <v>NULL</v>
      </c>
      <c r="J180" t="str">
        <f t="shared" si="5"/>
        <v>NULL</v>
      </c>
      <c r="K180" t="str">
        <f>Instructions!M187</f>
        <v>Added via SMSS</v>
      </c>
      <c r="L180" t="str">
        <f t="shared" si="1"/>
        <v>NULL</v>
      </c>
    </row>
    <row r="181" spans="1:12" x14ac:dyDescent="0.25">
      <c r="A181" t="str" cm="1">
        <f t="array" ref="A181">_xlfn.CONCAT(Instructions!C188,Instructions!A188,"_",TEXT(Instructions!B188,"YYYYMMDD"),"_1_",INDEX(Table1[], MATCH(1,(Table1[Estuary]=Instructions!C188)*(Table1[StationNumber]=Instructions!D188)*(Instructions!B188&gt;Table1[StartDate])*(Instructions!B188&lt;Table1[EndDate]),0),1),"_1_",Instructions!E188,"_",Instructions!F188)</f>
        <v>TBSRVY_20190924_1_0291_1_04_030</v>
      </c>
      <c r="B181" t="str" cm="1">
        <f t="array" ref="B181">_xlfn.CONCAT(Instructions!C188,Instructions!A188,"_",TEXT(Instructions!B188,"YYYYMMDD"),"_1_",INDEX(Table1[], MATCH(1,(Table1[Estuary]=Instructions!C188)*(Table1[StationNumber]=Instructions!D188)*(Instructions!B188&gt;Table1[StartDate])*(Instructions!B188&lt;Table1[EndDate]),0),1),"_1_",Instructions!E188)</f>
        <v>TBSRVY_20190924_1_0291_1_04</v>
      </c>
      <c r="C181">
        <f>Instructions!G188</f>
        <v>6</v>
      </c>
      <c r="D181" t="str">
        <f>IF(ISBLANK(Instructions!H188),"",Instructions!H188)</f>
        <v>Entered</v>
      </c>
      <c r="E181" s="1">
        <f>IF(ISBLANK(Instructions!I188),"",Instructions!I188)</f>
        <v>45646</v>
      </c>
      <c r="F181" t="str">
        <f>IF(ISBLANK(Instructions!J188),"",Instructions!J188)</f>
        <v>Erica Williams</v>
      </c>
      <c r="G181" s="1" t="str">
        <f>IF(ISBLANK(Instructions!K188),"",Instructions!K188)</f>
        <v/>
      </c>
      <c r="H181" t="str">
        <f>IF(ISBLANK(Instructions!L188),"",Instructions!L188)</f>
        <v/>
      </c>
      <c r="I181" t="str">
        <f t="shared" si="5"/>
        <v>NULL</v>
      </c>
      <c r="J181" t="str">
        <f t="shared" si="5"/>
        <v>NULL</v>
      </c>
      <c r="K181" t="str">
        <f>Instructions!M188</f>
        <v>Added via SMSS</v>
      </c>
      <c r="L181" t="str">
        <f t="shared" si="1"/>
        <v>NULL</v>
      </c>
    </row>
    <row r="182" spans="1:12" x14ac:dyDescent="0.25">
      <c r="A182" t="str" cm="1">
        <f t="array" ref="A182">_xlfn.CONCAT(Instructions!C189,Instructions!A189,"_",TEXT(Instructions!B189,"YYYYMMDD"),"_1_",INDEX(Table1[], MATCH(1,(Table1[Estuary]=Instructions!C189)*(Table1[StationNumber]=Instructions!D189)*(Instructions!B189&gt;Table1[StartDate])*(Instructions!B189&lt;Table1[EndDate]),0),1),"_1_",Instructions!E189,"_",Instructions!F189)</f>
        <v>TBSRVY_20190924_1_0291_1_04_031</v>
      </c>
      <c r="B182" t="str" cm="1">
        <f t="array" ref="B182">_xlfn.CONCAT(Instructions!C189,Instructions!A189,"_",TEXT(Instructions!B189,"YYYYMMDD"),"_1_",INDEX(Table1[], MATCH(1,(Table1[Estuary]=Instructions!C189)*(Table1[StationNumber]=Instructions!D189)*(Instructions!B189&gt;Table1[StartDate])*(Instructions!B189&lt;Table1[EndDate]),0),1),"_1_",Instructions!E189)</f>
        <v>TBSRVY_20190924_1_0291_1_04</v>
      </c>
      <c r="C182">
        <f>Instructions!G189</f>
        <v>12</v>
      </c>
      <c r="D182" t="str">
        <f>IF(ISBLANK(Instructions!H189),"",Instructions!H189)</f>
        <v>Entered</v>
      </c>
      <c r="E182" s="1">
        <f>IF(ISBLANK(Instructions!I189),"",Instructions!I189)</f>
        <v>45646</v>
      </c>
      <c r="F182" t="str">
        <f>IF(ISBLANK(Instructions!J189),"",Instructions!J189)</f>
        <v>Erica Williams</v>
      </c>
      <c r="G182" s="1" t="str">
        <f>IF(ISBLANK(Instructions!K189),"",Instructions!K189)</f>
        <v/>
      </c>
      <c r="H182" t="str">
        <f>IF(ISBLANK(Instructions!L189),"",Instructions!L189)</f>
        <v/>
      </c>
      <c r="I182" t="str">
        <f t="shared" si="5"/>
        <v>NULL</v>
      </c>
      <c r="J182" t="str">
        <f t="shared" si="5"/>
        <v>NULL</v>
      </c>
      <c r="K182" t="str">
        <f>Instructions!M189</f>
        <v>Added via SMSS</v>
      </c>
      <c r="L182" t="str">
        <f t="shared" si="1"/>
        <v>NULL</v>
      </c>
    </row>
    <row r="183" spans="1:12" x14ac:dyDescent="0.25">
      <c r="A183" t="str" cm="1">
        <f t="array" ref="A183">_xlfn.CONCAT(Instructions!C190,Instructions!A190,"_",TEXT(Instructions!B190,"YYYYMMDD"),"_1_",INDEX(Table1[], MATCH(1,(Table1[Estuary]=Instructions!C190)*(Table1[StationNumber]=Instructions!D190)*(Instructions!B190&gt;Table1[StartDate])*(Instructions!B190&lt;Table1[EndDate]),0),1),"_1_",Instructions!E190,"_",Instructions!F190)</f>
        <v>TBSRVY_20190924_1_0291_1_04_032</v>
      </c>
      <c r="B183" t="str" cm="1">
        <f t="array" ref="B183">_xlfn.CONCAT(Instructions!C190,Instructions!A190,"_",TEXT(Instructions!B190,"YYYYMMDD"),"_1_",INDEX(Table1[], MATCH(1,(Table1[Estuary]=Instructions!C190)*(Table1[StationNumber]=Instructions!D190)*(Instructions!B190&gt;Table1[StartDate])*(Instructions!B190&lt;Table1[EndDate]),0),1),"_1_",Instructions!E190)</f>
        <v>TBSRVY_20190924_1_0291_1_04</v>
      </c>
      <c r="C183">
        <f>Instructions!G190</f>
        <v>18</v>
      </c>
      <c r="D183" t="str">
        <f>IF(ISBLANK(Instructions!H190),"",Instructions!H190)</f>
        <v>Entered</v>
      </c>
      <c r="E183" s="1">
        <f>IF(ISBLANK(Instructions!I190),"",Instructions!I190)</f>
        <v>45646</v>
      </c>
      <c r="F183" t="str">
        <f>IF(ISBLANK(Instructions!J190),"",Instructions!J190)</f>
        <v>Erica Williams</v>
      </c>
      <c r="G183" s="1" t="str">
        <f>IF(ISBLANK(Instructions!K190),"",Instructions!K190)</f>
        <v/>
      </c>
      <c r="H183" t="str">
        <f>IF(ISBLANK(Instructions!L190),"",Instructions!L190)</f>
        <v/>
      </c>
      <c r="I183" t="str">
        <f t="shared" si="5"/>
        <v>NULL</v>
      </c>
      <c r="J183" t="str">
        <f t="shared" si="5"/>
        <v>NULL</v>
      </c>
      <c r="K183" t="str">
        <f>Instructions!M190</f>
        <v>Added via SMSS</v>
      </c>
      <c r="L183" t="str">
        <f t="shared" si="1"/>
        <v>NULL</v>
      </c>
    </row>
    <row r="184" spans="1:12" x14ac:dyDescent="0.25">
      <c r="A184" t="str" cm="1">
        <f t="array" ref="A184">_xlfn.CONCAT(Instructions!C191,Instructions!A191,"_",TEXT(Instructions!B191,"YYYYMMDD"),"_1_",INDEX(Table1[], MATCH(1,(Table1[Estuary]=Instructions!C191)*(Table1[StationNumber]=Instructions!D191)*(Instructions!B191&gt;Table1[StartDate])*(Instructions!B191&lt;Table1[EndDate]),0),1),"_1_",Instructions!E191,"_",Instructions!F191)</f>
        <v>TBSRVY_20190924_1_0291_1_04_033</v>
      </c>
      <c r="B184" t="str" cm="1">
        <f t="array" ref="B184">_xlfn.CONCAT(Instructions!C191,Instructions!A191,"_",TEXT(Instructions!B191,"YYYYMMDD"),"_1_",INDEX(Table1[], MATCH(1,(Table1[Estuary]=Instructions!C191)*(Table1[StationNumber]=Instructions!D191)*(Instructions!B191&gt;Table1[StartDate])*(Instructions!B191&lt;Table1[EndDate]),0),1),"_1_",Instructions!E191)</f>
        <v>TBSRVY_20190924_1_0291_1_04</v>
      </c>
      <c r="C184">
        <f>Instructions!G191</f>
        <v>10</v>
      </c>
      <c r="D184" t="str">
        <f>IF(ISBLANK(Instructions!H191),"",Instructions!H191)</f>
        <v>Entered</v>
      </c>
      <c r="E184" s="1">
        <f>IF(ISBLANK(Instructions!I191),"",Instructions!I191)</f>
        <v>45646</v>
      </c>
      <c r="F184" t="str">
        <f>IF(ISBLANK(Instructions!J191),"",Instructions!J191)</f>
        <v>Erica Williams</v>
      </c>
      <c r="G184" s="1" t="str">
        <f>IF(ISBLANK(Instructions!K191),"",Instructions!K191)</f>
        <v/>
      </c>
      <c r="H184" t="str">
        <f>IF(ISBLANK(Instructions!L191),"",Instructions!L191)</f>
        <v/>
      </c>
      <c r="I184" t="str">
        <f t="shared" si="5"/>
        <v>NULL</v>
      </c>
      <c r="J184" t="str">
        <f t="shared" si="5"/>
        <v>NULL</v>
      </c>
      <c r="K184" t="str">
        <f>Instructions!M191</f>
        <v>Added via SMSS</v>
      </c>
      <c r="L184" t="str">
        <f t="shared" si="1"/>
        <v>NULL</v>
      </c>
    </row>
    <row r="185" spans="1:12" x14ac:dyDescent="0.25">
      <c r="A185" t="str" cm="1">
        <f t="array" ref="A185">_xlfn.CONCAT(Instructions!C192,Instructions!A192,"_",TEXT(Instructions!B192,"YYYYMMDD"),"_1_",INDEX(Table1[], MATCH(1,(Table1[Estuary]=Instructions!C192)*(Table1[StationNumber]=Instructions!D192)*(Instructions!B192&gt;Table1[StartDate])*(Instructions!B192&lt;Table1[EndDate]),0),1),"_1_",Instructions!E192,"_",Instructions!F192)</f>
        <v>TBSRVY_20190924_1_0291_1_04_034</v>
      </c>
      <c r="B185" t="str" cm="1">
        <f t="array" ref="B185">_xlfn.CONCAT(Instructions!C192,Instructions!A192,"_",TEXT(Instructions!B192,"YYYYMMDD"),"_1_",INDEX(Table1[], MATCH(1,(Table1[Estuary]=Instructions!C192)*(Table1[StationNumber]=Instructions!D192)*(Instructions!B192&gt;Table1[StartDate])*(Instructions!B192&lt;Table1[EndDate]),0),1),"_1_",Instructions!E192)</f>
        <v>TBSRVY_20190924_1_0291_1_04</v>
      </c>
      <c r="C185">
        <f>Instructions!G192</f>
        <v>26</v>
      </c>
      <c r="D185" t="str">
        <f>IF(ISBLANK(Instructions!H192),"",Instructions!H192)</f>
        <v>Entered</v>
      </c>
      <c r="E185" s="1">
        <f>IF(ISBLANK(Instructions!I192),"",Instructions!I192)</f>
        <v>45646</v>
      </c>
      <c r="F185" t="str">
        <f>IF(ISBLANK(Instructions!J192),"",Instructions!J192)</f>
        <v>Erica Williams</v>
      </c>
      <c r="G185" s="1" t="str">
        <f>IF(ISBLANK(Instructions!K192),"",Instructions!K192)</f>
        <v/>
      </c>
      <c r="H185" t="str">
        <f>IF(ISBLANK(Instructions!L192),"",Instructions!L192)</f>
        <v/>
      </c>
      <c r="I185" t="str">
        <f t="shared" si="5"/>
        <v>NULL</v>
      </c>
      <c r="J185" t="str">
        <f t="shared" si="5"/>
        <v>NULL</v>
      </c>
      <c r="K185" t="str">
        <f>Instructions!M192</f>
        <v>Added via SMSS</v>
      </c>
      <c r="L185" t="str">
        <f t="shared" si="1"/>
        <v>NULL</v>
      </c>
    </row>
    <row r="186" spans="1:12" x14ac:dyDescent="0.25">
      <c r="A186" t="str" cm="1">
        <f t="array" ref="A186">_xlfn.CONCAT(Instructions!C193,Instructions!A193,"_",TEXT(Instructions!B193,"YYYYMMDD"),"_1_",INDEX(Table1[], MATCH(1,(Table1[Estuary]=Instructions!C193)*(Table1[StationNumber]=Instructions!D193)*(Instructions!B193&gt;Table1[StartDate])*(Instructions!B193&lt;Table1[EndDate]),0),1),"_1_",Instructions!E193,"_",Instructions!F193)</f>
        <v>TBSRVY_20190924_1_0291_1_04_035</v>
      </c>
      <c r="B186" t="str" cm="1">
        <f t="array" ref="B186">_xlfn.CONCAT(Instructions!C193,Instructions!A193,"_",TEXT(Instructions!B193,"YYYYMMDD"),"_1_",INDEX(Table1[], MATCH(1,(Table1[Estuary]=Instructions!C193)*(Table1[StationNumber]=Instructions!D193)*(Instructions!B193&gt;Table1[StartDate])*(Instructions!B193&lt;Table1[EndDate]),0),1),"_1_",Instructions!E193)</f>
        <v>TBSRVY_20190924_1_0291_1_04</v>
      </c>
      <c r="C186">
        <f>Instructions!G193</f>
        <v>5</v>
      </c>
      <c r="D186" t="str">
        <f>IF(ISBLANK(Instructions!H193),"",Instructions!H193)</f>
        <v>Entered</v>
      </c>
      <c r="E186" s="1">
        <f>IF(ISBLANK(Instructions!I193),"",Instructions!I193)</f>
        <v>45646</v>
      </c>
      <c r="F186" t="str">
        <f>IF(ISBLANK(Instructions!J193),"",Instructions!J193)</f>
        <v>Erica Williams</v>
      </c>
      <c r="G186" s="1" t="str">
        <f>IF(ISBLANK(Instructions!K193),"",Instructions!K193)</f>
        <v/>
      </c>
      <c r="H186" t="str">
        <f>IF(ISBLANK(Instructions!L193),"",Instructions!L193)</f>
        <v/>
      </c>
      <c r="I186" t="str">
        <f t="shared" si="5"/>
        <v>NULL</v>
      </c>
      <c r="J186" t="str">
        <f t="shared" si="5"/>
        <v>NULL</v>
      </c>
      <c r="K186" t="str">
        <f>Instructions!M193</f>
        <v>Added via SMSS</v>
      </c>
      <c r="L186" t="str">
        <f t="shared" si="1"/>
        <v>NULL</v>
      </c>
    </row>
    <row r="187" spans="1:12" x14ac:dyDescent="0.25">
      <c r="A187" t="str" cm="1">
        <f t="array" ref="A187">_xlfn.CONCAT(Instructions!C194,Instructions!A194,"_",TEXT(Instructions!B194,"YYYYMMDD"),"_1_",INDEX(Table1[], MATCH(1,(Table1[Estuary]=Instructions!C194)*(Table1[StationNumber]=Instructions!D194)*(Instructions!B194&gt;Table1[StartDate])*(Instructions!B194&lt;Table1[EndDate]),0),1),"_1_",Instructions!E194,"_",Instructions!F194)</f>
        <v>TBSRVY_20190924_1_0291_1_04_036</v>
      </c>
      <c r="B187" t="str" cm="1">
        <f t="array" ref="B187">_xlfn.CONCAT(Instructions!C194,Instructions!A194,"_",TEXT(Instructions!B194,"YYYYMMDD"),"_1_",INDEX(Table1[], MATCH(1,(Table1[Estuary]=Instructions!C194)*(Table1[StationNumber]=Instructions!D194)*(Instructions!B194&gt;Table1[StartDate])*(Instructions!B194&lt;Table1[EndDate]),0),1),"_1_",Instructions!E194)</f>
        <v>TBSRVY_20190924_1_0291_1_04</v>
      </c>
      <c r="C187">
        <f>Instructions!G194</f>
        <v>56</v>
      </c>
      <c r="D187" t="str">
        <f>IF(ISBLANK(Instructions!H194),"",Instructions!H194)</f>
        <v>Entered</v>
      </c>
      <c r="E187" s="1">
        <f>IF(ISBLANK(Instructions!I194),"",Instructions!I194)</f>
        <v>45646</v>
      </c>
      <c r="F187" t="str">
        <f>IF(ISBLANK(Instructions!J194),"",Instructions!J194)</f>
        <v>Erica Williams</v>
      </c>
      <c r="G187" s="1" t="str">
        <f>IF(ISBLANK(Instructions!K194),"",Instructions!K194)</f>
        <v/>
      </c>
      <c r="H187" t="str">
        <f>IF(ISBLANK(Instructions!L194),"",Instructions!L194)</f>
        <v/>
      </c>
      <c r="I187" t="str">
        <f t="shared" si="5"/>
        <v>NULL</v>
      </c>
      <c r="J187" t="str">
        <f t="shared" si="5"/>
        <v>NULL</v>
      </c>
      <c r="K187" t="str">
        <f>Instructions!M194</f>
        <v>Added via SMSS</v>
      </c>
      <c r="L187" t="str">
        <f t="shared" si="1"/>
        <v>NULL</v>
      </c>
    </row>
    <row r="188" spans="1:12" x14ac:dyDescent="0.25">
      <c r="A188" t="str" cm="1">
        <f t="array" ref="A188">_xlfn.CONCAT(Instructions!C195,Instructions!A195,"_",TEXT(Instructions!B195,"YYYYMMDD"),"_1_",INDEX(Table1[], MATCH(1,(Table1[Estuary]=Instructions!C195)*(Table1[StationNumber]=Instructions!D195)*(Instructions!B195&gt;Table1[StartDate])*(Instructions!B195&lt;Table1[EndDate]),0),1),"_1_",Instructions!E195,"_",Instructions!F195)</f>
        <v>TBSRVY_20190924_1_0291_1_04_037</v>
      </c>
      <c r="B188" t="str" cm="1">
        <f t="array" ref="B188">_xlfn.CONCAT(Instructions!C195,Instructions!A195,"_",TEXT(Instructions!B195,"YYYYMMDD"),"_1_",INDEX(Table1[], MATCH(1,(Table1[Estuary]=Instructions!C195)*(Table1[StationNumber]=Instructions!D195)*(Instructions!B195&gt;Table1[StartDate])*(Instructions!B195&lt;Table1[EndDate]),0),1),"_1_",Instructions!E195)</f>
        <v>TBSRVY_20190924_1_0291_1_04</v>
      </c>
      <c r="C188">
        <f>Instructions!G195</f>
        <v>35</v>
      </c>
      <c r="D188" t="str">
        <f>IF(ISBLANK(Instructions!H195),"",Instructions!H195)</f>
        <v>Entered</v>
      </c>
      <c r="E188" s="1">
        <f>IF(ISBLANK(Instructions!I195),"",Instructions!I195)</f>
        <v>45646</v>
      </c>
      <c r="F188" t="str">
        <f>IF(ISBLANK(Instructions!J195),"",Instructions!J195)</f>
        <v>Erica Williams</v>
      </c>
      <c r="G188" s="1" t="str">
        <f>IF(ISBLANK(Instructions!K195),"",Instructions!K195)</f>
        <v/>
      </c>
      <c r="H188" t="str">
        <f>IF(ISBLANK(Instructions!L195),"",Instructions!L195)</f>
        <v/>
      </c>
      <c r="I188" t="str">
        <f t="shared" si="5"/>
        <v>NULL</v>
      </c>
      <c r="J188" t="str">
        <f t="shared" si="5"/>
        <v>NULL</v>
      </c>
      <c r="K188" t="str">
        <f>Instructions!M195</f>
        <v>Added via SMSS</v>
      </c>
      <c r="L188" t="str">
        <f t="shared" si="1"/>
        <v>NULL</v>
      </c>
    </row>
    <row r="189" spans="1:12" x14ac:dyDescent="0.25">
      <c r="A189" t="str" cm="1">
        <f t="array" ref="A189">_xlfn.CONCAT(Instructions!C196,Instructions!A196,"_",TEXT(Instructions!B196,"YYYYMMDD"),"_1_",INDEX(Table1[], MATCH(1,(Table1[Estuary]=Instructions!C196)*(Table1[StationNumber]=Instructions!D196)*(Instructions!B196&gt;Table1[StartDate])*(Instructions!B196&lt;Table1[EndDate]),0),1),"_1_",Instructions!E196,"_",Instructions!F196)</f>
        <v>TBSRVY_20190924_1_0291_1_04_038</v>
      </c>
      <c r="B189" t="str" cm="1">
        <f t="array" ref="B189">_xlfn.CONCAT(Instructions!C196,Instructions!A196,"_",TEXT(Instructions!B196,"YYYYMMDD"),"_1_",INDEX(Table1[], MATCH(1,(Table1[Estuary]=Instructions!C196)*(Table1[StationNumber]=Instructions!D196)*(Instructions!B196&gt;Table1[StartDate])*(Instructions!B196&lt;Table1[EndDate]),0),1),"_1_",Instructions!E196)</f>
        <v>TBSRVY_20190924_1_0291_1_04</v>
      </c>
      <c r="C189">
        <f>Instructions!G196</f>
        <v>20</v>
      </c>
      <c r="D189" t="str">
        <f>IF(ISBLANK(Instructions!H196),"",Instructions!H196)</f>
        <v>Entered</v>
      </c>
      <c r="E189" s="1">
        <f>IF(ISBLANK(Instructions!I196),"",Instructions!I196)</f>
        <v>45646</v>
      </c>
      <c r="F189" t="str">
        <f>IF(ISBLANK(Instructions!J196),"",Instructions!J196)</f>
        <v>Erica Williams</v>
      </c>
      <c r="G189" s="1" t="str">
        <f>IF(ISBLANK(Instructions!K196),"",Instructions!K196)</f>
        <v/>
      </c>
      <c r="H189" t="str">
        <f>IF(ISBLANK(Instructions!L196),"",Instructions!L196)</f>
        <v/>
      </c>
      <c r="I189" t="str">
        <f t="shared" si="5"/>
        <v>NULL</v>
      </c>
      <c r="J189" t="str">
        <f t="shared" si="5"/>
        <v>NULL</v>
      </c>
      <c r="K189" t="str">
        <f>Instructions!M196</f>
        <v>Added via SMSS</v>
      </c>
      <c r="L189" t="str">
        <f t="shared" si="1"/>
        <v>NULL</v>
      </c>
    </row>
    <row r="190" spans="1:12" x14ac:dyDescent="0.25">
      <c r="A190" t="str" cm="1">
        <f t="array" ref="A190">_xlfn.CONCAT(Instructions!C197,Instructions!A197,"_",TEXT(Instructions!B197,"YYYYMMDD"),"_1_",INDEX(Table1[], MATCH(1,(Table1[Estuary]=Instructions!C197)*(Table1[StationNumber]=Instructions!D197)*(Instructions!B197&gt;Table1[StartDate])*(Instructions!B197&lt;Table1[EndDate]),0),1),"_1_",Instructions!E197,"_",Instructions!F197)</f>
        <v>TBSRVY_20190924_1_0291_1_04_039</v>
      </c>
      <c r="B190" t="str" cm="1">
        <f t="array" ref="B190">_xlfn.CONCAT(Instructions!C197,Instructions!A197,"_",TEXT(Instructions!B197,"YYYYMMDD"),"_1_",INDEX(Table1[], MATCH(1,(Table1[Estuary]=Instructions!C197)*(Table1[StationNumber]=Instructions!D197)*(Instructions!B197&gt;Table1[StartDate])*(Instructions!B197&lt;Table1[EndDate]),0),1),"_1_",Instructions!E197)</f>
        <v>TBSRVY_20190924_1_0291_1_04</v>
      </c>
      <c r="C190">
        <f>Instructions!G197</f>
        <v>25</v>
      </c>
      <c r="D190" t="str">
        <f>IF(ISBLANK(Instructions!H197),"",Instructions!H197)</f>
        <v>Entered</v>
      </c>
      <c r="E190" s="1">
        <f>IF(ISBLANK(Instructions!I197),"",Instructions!I197)</f>
        <v>45646</v>
      </c>
      <c r="F190" t="str">
        <f>IF(ISBLANK(Instructions!J197),"",Instructions!J197)</f>
        <v>Erica Williams</v>
      </c>
      <c r="G190" s="1" t="str">
        <f>IF(ISBLANK(Instructions!K197),"",Instructions!K197)</f>
        <v/>
      </c>
      <c r="H190" t="str">
        <f>IF(ISBLANK(Instructions!L197),"",Instructions!L197)</f>
        <v/>
      </c>
      <c r="I190" t="str">
        <f t="shared" si="5"/>
        <v>NULL</v>
      </c>
      <c r="J190" t="str">
        <f t="shared" si="5"/>
        <v>NULL</v>
      </c>
      <c r="K190" t="str">
        <f>Instructions!M197</f>
        <v>Added via SMSS</v>
      </c>
      <c r="L190" t="str">
        <f t="shared" si="1"/>
        <v>NULL</v>
      </c>
    </row>
    <row r="191" spans="1:12" x14ac:dyDescent="0.25">
      <c r="A191" t="str" cm="1">
        <f t="array" ref="A191">_xlfn.CONCAT(Instructions!C198,Instructions!A198,"_",TEXT(Instructions!B198,"YYYYMMDD"),"_1_",INDEX(Table1[], MATCH(1,(Table1[Estuary]=Instructions!C198)*(Table1[StationNumber]=Instructions!D198)*(Instructions!B198&gt;Table1[StartDate])*(Instructions!B198&lt;Table1[EndDate]),0),1),"_1_",Instructions!E198,"_",Instructions!F198)</f>
        <v>TBSRVY_20190924_1_0291_1_04_040</v>
      </c>
      <c r="B191" t="str" cm="1">
        <f t="array" ref="B191">_xlfn.CONCAT(Instructions!C198,Instructions!A198,"_",TEXT(Instructions!B198,"YYYYMMDD"),"_1_",INDEX(Table1[], MATCH(1,(Table1[Estuary]=Instructions!C198)*(Table1[StationNumber]=Instructions!D198)*(Instructions!B198&gt;Table1[StartDate])*(Instructions!B198&lt;Table1[EndDate]),0),1),"_1_",Instructions!E198)</f>
        <v>TBSRVY_20190924_1_0291_1_04</v>
      </c>
      <c r="C191">
        <f>Instructions!G198</f>
        <v>28</v>
      </c>
      <c r="D191" t="str">
        <f>IF(ISBLANK(Instructions!H198),"",Instructions!H198)</f>
        <v>Entered</v>
      </c>
      <c r="E191" s="1">
        <f>IF(ISBLANK(Instructions!I198),"",Instructions!I198)</f>
        <v>45646</v>
      </c>
      <c r="F191" t="str">
        <f>IF(ISBLANK(Instructions!J198),"",Instructions!J198)</f>
        <v>Erica Williams</v>
      </c>
      <c r="G191" s="1" t="str">
        <f>IF(ISBLANK(Instructions!K198),"",Instructions!K198)</f>
        <v/>
      </c>
      <c r="H191" t="str">
        <f>IF(ISBLANK(Instructions!L198),"",Instructions!L198)</f>
        <v/>
      </c>
      <c r="I191" t="str">
        <f t="shared" si="5"/>
        <v>NULL</v>
      </c>
      <c r="J191" t="str">
        <f t="shared" si="5"/>
        <v>NULL</v>
      </c>
      <c r="K191" t="str">
        <f>Instructions!M198</f>
        <v>Added via SMSS</v>
      </c>
      <c r="L191" t="str">
        <f t="shared" si="1"/>
        <v>NULL</v>
      </c>
    </row>
    <row r="192" spans="1:12" x14ac:dyDescent="0.25">
      <c r="A192" t="str" cm="1">
        <f t="array" ref="A192">_xlfn.CONCAT(Instructions!C199,Instructions!A199,"_",TEXT(Instructions!B199,"YYYYMMDD"),"_1_",INDEX(Table1[], MATCH(1,(Table1[Estuary]=Instructions!C199)*(Table1[StationNumber]=Instructions!D199)*(Instructions!B199&gt;Table1[StartDate])*(Instructions!B199&lt;Table1[EndDate]),0),1),"_1_",Instructions!E199,"_",Instructions!F199)</f>
        <v>TBSRVY_20190924_1_0291_1_04_041</v>
      </c>
      <c r="B192" t="str" cm="1">
        <f t="array" ref="B192">_xlfn.CONCAT(Instructions!C199,Instructions!A199,"_",TEXT(Instructions!B199,"YYYYMMDD"),"_1_",INDEX(Table1[], MATCH(1,(Table1[Estuary]=Instructions!C199)*(Table1[StationNumber]=Instructions!D199)*(Instructions!B199&gt;Table1[StartDate])*(Instructions!B199&lt;Table1[EndDate]),0),1),"_1_",Instructions!E199)</f>
        <v>TBSRVY_20190924_1_0291_1_04</v>
      </c>
      <c r="C192">
        <f>Instructions!G199</f>
        <v>11</v>
      </c>
      <c r="D192" t="str">
        <f>IF(ISBLANK(Instructions!H199),"",Instructions!H199)</f>
        <v>Entered</v>
      </c>
      <c r="E192" s="1">
        <f>IF(ISBLANK(Instructions!I199),"",Instructions!I199)</f>
        <v>45646</v>
      </c>
      <c r="F192" t="str">
        <f>IF(ISBLANK(Instructions!J199),"",Instructions!J199)</f>
        <v>Erica Williams</v>
      </c>
      <c r="G192" s="1" t="str">
        <f>IF(ISBLANK(Instructions!K199),"",Instructions!K199)</f>
        <v/>
      </c>
      <c r="H192" t="str">
        <f>IF(ISBLANK(Instructions!L199),"",Instructions!L199)</f>
        <v/>
      </c>
      <c r="I192" t="str">
        <f t="shared" si="5"/>
        <v>NULL</v>
      </c>
      <c r="J192" t="str">
        <f t="shared" si="5"/>
        <v>NULL</v>
      </c>
      <c r="K192" t="str">
        <f>Instructions!M199</f>
        <v>Added via SMSS</v>
      </c>
      <c r="L192" t="str">
        <f t="shared" si="1"/>
        <v>NULL</v>
      </c>
    </row>
    <row r="193" spans="1:12" x14ac:dyDescent="0.25">
      <c r="A193" t="str" cm="1">
        <f t="array" ref="A193">_xlfn.CONCAT(Instructions!C200,Instructions!A200,"_",TEXT(Instructions!B200,"YYYYMMDD"),"_1_",INDEX(Table1[], MATCH(1,(Table1[Estuary]=Instructions!C200)*(Table1[StationNumber]=Instructions!D200)*(Instructions!B200&gt;Table1[StartDate])*(Instructions!B200&lt;Table1[EndDate]),0),1),"_1_",Instructions!E200,"_",Instructions!F200)</f>
        <v>TBSRVY_20190924_1_0291_1_04_042</v>
      </c>
      <c r="B193" t="str" cm="1">
        <f t="array" ref="B193">_xlfn.CONCAT(Instructions!C200,Instructions!A200,"_",TEXT(Instructions!B200,"YYYYMMDD"),"_1_",INDEX(Table1[], MATCH(1,(Table1[Estuary]=Instructions!C200)*(Table1[StationNumber]=Instructions!D200)*(Instructions!B200&gt;Table1[StartDate])*(Instructions!B200&lt;Table1[EndDate]),0),1),"_1_",Instructions!E200)</f>
        <v>TBSRVY_20190924_1_0291_1_04</v>
      </c>
      <c r="C193">
        <f>Instructions!G200</f>
        <v>13</v>
      </c>
      <c r="D193" t="str">
        <f>IF(ISBLANK(Instructions!H200),"",Instructions!H200)</f>
        <v>Entered</v>
      </c>
      <c r="E193" s="1">
        <f>IF(ISBLANK(Instructions!I200),"",Instructions!I200)</f>
        <v>45646</v>
      </c>
      <c r="F193" t="str">
        <f>IF(ISBLANK(Instructions!J200),"",Instructions!J200)</f>
        <v>Erica Williams</v>
      </c>
      <c r="G193" s="1" t="str">
        <f>IF(ISBLANK(Instructions!K200),"",Instructions!K200)</f>
        <v/>
      </c>
      <c r="H193" t="str">
        <f>IF(ISBLANK(Instructions!L200),"",Instructions!L200)</f>
        <v/>
      </c>
      <c r="I193" t="str">
        <f t="shared" si="5"/>
        <v>NULL</v>
      </c>
      <c r="J193" t="str">
        <f t="shared" si="5"/>
        <v>NULL</v>
      </c>
      <c r="K193" t="str">
        <f>Instructions!M200</f>
        <v>Added via SMSS</v>
      </c>
      <c r="L193" t="str">
        <f t="shared" si="1"/>
        <v>NULL</v>
      </c>
    </row>
    <row r="194" spans="1:12" x14ac:dyDescent="0.25">
      <c r="A194" t="str" cm="1">
        <f t="array" ref="A194">_xlfn.CONCAT(Instructions!C201,Instructions!A201,"_",TEXT(Instructions!B201,"YYYYMMDD"),"_1_",INDEX(Table1[], MATCH(1,(Table1[Estuary]=Instructions!C201)*(Table1[StationNumber]=Instructions!D201)*(Instructions!B201&gt;Table1[StartDate])*(Instructions!B201&lt;Table1[EndDate]),0),1),"_1_",Instructions!E201,"_",Instructions!F201)</f>
        <v>TBSRVY_20190924_1_0291_1_04_043</v>
      </c>
      <c r="B194" t="str" cm="1">
        <f t="array" ref="B194">_xlfn.CONCAT(Instructions!C201,Instructions!A201,"_",TEXT(Instructions!B201,"YYYYMMDD"),"_1_",INDEX(Table1[], MATCH(1,(Table1[Estuary]=Instructions!C201)*(Table1[StationNumber]=Instructions!D201)*(Instructions!B201&gt;Table1[StartDate])*(Instructions!B201&lt;Table1[EndDate]),0),1),"_1_",Instructions!E201)</f>
        <v>TBSRVY_20190924_1_0291_1_04</v>
      </c>
      <c r="C194">
        <f>Instructions!G201</f>
        <v>11</v>
      </c>
      <c r="D194" t="str">
        <f>IF(ISBLANK(Instructions!H201),"",Instructions!H201)</f>
        <v>Entered</v>
      </c>
      <c r="E194" s="1">
        <f>IF(ISBLANK(Instructions!I201),"",Instructions!I201)</f>
        <v>45646</v>
      </c>
      <c r="F194" t="str">
        <f>IF(ISBLANK(Instructions!J201),"",Instructions!J201)</f>
        <v>Erica Williams</v>
      </c>
      <c r="G194" s="1" t="str">
        <f>IF(ISBLANK(Instructions!K201),"",Instructions!K201)</f>
        <v/>
      </c>
      <c r="H194" t="str">
        <f>IF(ISBLANK(Instructions!L201),"",Instructions!L201)</f>
        <v/>
      </c>
      <c r="I194" t="str">
        <f t="shared" si="5"/>
        <v>NULL</v>
      </c>
      <c r="J194" t="str">
        <f t="shared" ref="J194" si="6">"NULL"</f>
        <v>NULL</v>
      </c>
      <c r="K194" t="str">
        <f>Instructions!M201</f>
        <v>Added via SMSS</v>
      </c>
      <c r="L194" t="str">
        <f t="shared" si="1"/>
        <v>NULL</v>
      </c>
    </row>
    <row r="195" spans="1:12" x14ac:dyDescent="0.25">
      <c r="A195" t="str" cm="1">
        <f t="array" ref="A195">_xlfn.CONCAT(Instructions!C202,Instructions!A202,"_",TEXT(Instructions!B202,"YYYYMMDD"),"_1_",INDEX(Table1[], MATCH(1,(Table1[Estuary]=Instructions!C202)*(Table1[StationNumber]=Instructions!D202)*(Instructions!B202&gt;Table1[StartDate])*(Instructions!B202&lt;Table1[EndDate]),0),1),"_1_",Instructions!E202,"_",Instructions!F202)</f>
        <v>TBSRVY_20190924_1_0291_1_04_044</v>
      </c>
      <c r="B195" t="str" cm="1">
        <f t="array" ref="B195">_xlfn.CONCAT(Instructions!C202,Instructions!A202,"_",TEXT(Instructions!B202,"YYYYMMDD"),"_1_",INDEX(Table1[], MATCH(1,(Table1[Estuary]=Instructions!C202)*(Table1[StationNumber]=Instructions!D202)*(Instructions!B202&gt;Table1[StartDate])*(Instructions!B202&lt;Table1[EndDate]),0),1),"_1_",Instructions!E202)</f>
        <v>TBSRVY_20190924_1_0291_1_04</v>
      </c>
      <c r="C195">
        <f>Instructions!G202</f>
        <v>24</v>
      </c>
      <c r="D195" t="str">
        <f>IF(ISBLANK(Instructions!H202),"",Instructions!H202)</f>
        <v>Entered</v>
      </c>
      <c r="E195" s="1">
        <f>IF(ISBLANK(Instructions!I202),"",Instructions!I202)</f>
        <v>45646</v>
      </c>
      <c r="F195" t="str">
        <f>IF(ISBLANK(Instructions!J202),"",Instructions!J202)</f>
        <v>Erica Williams</v>
      </c>
      <c r="G195" s="1" t="str">
        <f>IF(ISBLANK(Instructions!K202),"",Instructions!K202)</f>
        <v/>
      </c>
      <c r="H195" t="str">
        <f>IF(ISBLANK(Instructions!L202),"",Instructions!L202)</f>
        <v/>
      </c>
      <c r="I195" t="str">
        <f t="shared" ref="I195:J258" si="7">"NULL"</f>
        <v>NULL</v>
      </c>
      <c r="J195" t="str">
        <f t="shared" si="7"/>
        <v>NULL</v>
      </c>
      <c r="K195" t="str">
        <f>Instructions!M202</f>
        <v>Added via SMSS</v>
      </c>
      <c r="L195" t="str">
        <f t="shared" si="1"/>
        <v>NULL</v>
      </c>
    </row>
    <row r="196" spans="1:12" x14ac:dyDescent="0.25">
      <c r="A196" t="str" cm="1">
        <f t="array" ref="A196">_xlfn.CONCAT(Instructions!C203,Instructions!A203,"_",TEXT(Instructions!B203,"YYYYMMDD"),"_1_",INDEX(Table1[], MATCH(1,(Table1[Estuary]=Instructions!C203)*(Table1[StationNumber]=Instructions!D203)*(Instructions!B203&gt;Table1[StartDate])*(Instructions!B203&lt;Table1[EndDate]),0),1),"_1_",Instructions!E203,"_",Instructions!F203)</f>
        <v>TBSRVY_20190924_1_0291_1_04_045</v>
      </c>
      <c r="B196" t="str" cm="1">
        <f t="array" ref="B196">_xlfn.CONCAT(Instructions!C203,Instructions!A203,"_",TEXT(Instructions!B203,"YYYYMMDD"),"_1_",INDEX(Table1[], MATCH(1,(Table1[Estuary]=Instructions!C203)*(Table1[StationNumber]=Instructions!D203)*(Instructions!B203&gt;Table1[StartDate])*(Instructions!B203&lt;Table1[EndDate]),0),1),"_1_",Instructions!E203)</f>
        <v>TBSRVY_20190924_1_0291_1_04</v>
      </c>
      <c r="C196">
        <f>Instructions!G203</f>
        <v>21</v>
      </c>
      <c r="D196" t="str">
        <f>IF(ISBLANK(Instructions!H203),"",Instructions!H203)</f>
        <v>Entered</v>
      </c>
      <c r="E196" s="1">
        <f>IF(ISBLANK(Instructions!I203),"",Instructions!I203)</f>
        <v>45646</v>
      </c>
      <c r="F196" t="str">
        <f>IF(ISBLANK(Instructions!J203),"",Instructions!J203)</f>
        <v>Erica Williams</v>
      </c>
      <c r="G196" s="1" t="str">
        <f>IF(ISBLANK(Instructions!K203),"",Instructions!K203)</f>
        <v/>
      </c>
      <c r="H196" t="str">
        <f>IF(ISBLANK(Instructions!L203),"",Instructions!L203)</f>
        <v/>
      </c>
      <c r="I196" t="str">
        <f t="shared" si="7"/>
        <v>NULL</v>
      </c>
      <c r="J196" t="str">
        <f t="shared" si="7"/>
        <v>NULL</v>
      </c>
      <c r="K196" t="str">
        <f>Instructions!M203</f>
        <v>Added via SMSS</v>
      </c>
      <c r="L196" t="str">
        <f t="shared" si="1"/>
        <v>NULL</v>
      </c>
    </row>
    <row r="197" spans="1:12" x14ac:dyDescent="0.25">
      <c r="A197" t="str" cm="1">
        <f t="array" ref="A197">_xlfn.CONCAT(Instructions!C204,Instructions!A204,"_",TEXT(Instructions!B204,"YYYYMMDD"),"_1_",INDEX(Table1[], MATCH(1,(Table1[Estuary]=Instructions!C204)*(Table1[StationNumber]=Instructions!D204)*(Instructions!B204&gt;Table1[StartDate])*(Instructions!B204&lt;Table1[EndDate]),0),1),"_1_",Instructions!E204,"_",Instructions!F204)</f>
        <v>TBSRVY_20190924_1_0291_1_04_046</v>
      </c>
      <c r="B197" t="str" cm="1">
        <f t="array" ref="B197">_xlfn.CONCAT(Instructions!C204,Instructions!A204,"_",TEXT(Instructions!B204,"YYYYMMDD"),"_1_",INDEX(Table1[], MATCH(1,(Table1[Estuary]=Instructions!C204)*(Table1[StationNumber]=Instructions!D204)*(Instructions!B204&gt;Table1[StartDate])*(Instructions!B204&lt;Table1[EndDate]),0),1),"_1_",Instructions!E204)</f>
        <v>TBSRVY_20190924_1_0291_1_04</v>
      </c>
      <c r="C197">
        <f>Instructions!G204</f>
        <v>18</v>
      </c>
      <c r="D197" t="str">
        <f>IF(ISBLANK(Instructions!H204),"",Instructions!H204)</f>
        <v>Entered</v>
      </c>
      <c r="E197" s="1">
        <f>IF(ISBLANK(Instructions!I204),"",Instructions!I204)</f>
        <v>45646</v>
      </c>
      <c r="F197" t="str">
        <f>IF(ISBLANK(Instructions!J204),"",Instructions!J204)</f>
        <v>Erica Williams</v>
      </c>
      <c r="G197" s="1" t="str">
        <f>IF(ISBLANK(Instructions!K204),"",Instructions!K204)</f>
        <v/>
      </c>
      <c r="H197" t="str">
        <f>IF(ISBLANK(Instructions!L204),"",Instructions!L204)</f>
        <v/>
      </c>
      <c r="I197" t="str">
        <f t="shared" si="7"/>
        <v>NULL</v>
      </c>
      <c r="J197" t="str">
        <f t="shared" si="7"/>
        <v>NULL</v>
      </c>
      <c r="K197" t="str">
        <f>Instructions!M204</f>
        <v>Added via SMSS</v>
      </c>
      <c r="L197" t="str">
        <f t="shared" si="1"/>
        <v>NULL</v>
      </c>
    </row>
    <row r="198" spans="1:12" x14ac:dyDescent="0.25">
      <c r="A198" t="str" cm="1">
        <f t="array" ref="A198">_xlfn.CONCAT(Instructions!C205,Instructions!A205,"_",TEXT(Instructions!B205,"YYYYMMDD"),"_1_",INDEX(Table1[], MATCH(1,(Table1[Estuary]=Instructions!C205)*(Table1[StationNumber]=Instructions!D205)*(Instructions!B205&gt;Table1[StartDate])*(Instructions!B205&lt;Table1[EndDate]),0),1),"_1_",Instructions!E205,"_",Instructions!F205)</f>
        <v>TBSRVY_20190924_1_0291_1_04_047</v>
      </c>
      <c r="B198" t="str" cm="1">
        <f t="array" ref="B198">_xlfn.CONCAT(Instructions!C205,Instructions!A205,"_",TEXT(Instructions!B205,"YYYYMMDD"),"_1_",INDEX(Table1[], MATCH(1,(Table1[Estuary]=Instructions!C205)*(Table1[StationNumber]=Instructions!D205)*(Instructions!B205&gt;Table1[StartDate])*(Instructions!B205&lt;Table1[EndDate]),0),1),"_1_",Instructions!E205)</f>
        <v>TBSRVY_20190924_1_0291_1_04</v>
      </c>
      <c r="C198">
        <f>Instructions!G205</f>
        <v>15</v>
      </c>
      <c r="D198" t="str">
        <f>IF(ISBLANK(Instructions!H205),"",Instructions!H205)</f>
        <v>Entered</v>
      </c>
      <c r="E198" s="1">
        <f>IF(ISBLANK(Instructions!I205),"",Instructions!I205)</f>
        <v>45646</v>
      </c>
      <c r="F198" t="str">
        <f>IF(ISBLANK(Instructions!J205),"",Instructions!J205)</f>
        <v>Erica Williams</v>
      </c>
      <c r="G198" s="1" t="str">
        <f>IF(ISBLANK(Instructions!K205),"",Instructions!K205)</f>
        <v/>
      </c>
      <c r="H198" t="str">
        <f>IF(ISBLANK(Instructions!L205),"",Instructions!L205)</f>
        <v/>
      </c>
      <c r="I198" t="str">
        <f t="shared" si="7"/>
        <v>NULL</v>
      </c>
      <c r="J198" t="str">
        <f t="shared" si="7"/>
        <v>NULL</v>
      </c>
      <c r="K198" t="str">
        <f>Instructions!M205</f>
        <v>Added via SMSS</v>
      </c>
      <c r="L198" t="str">
        <f t="shared" si="1"/>
        <v>NULL</v>
      </c>
    </row>
    <row r="199" spans="1:12" x14ac:dyDescent="0.25">
      <c r="A199" t="str" cm="1">
        <f t="array" ref="A199">_xlfn.CONCAT(Instructions!C206,Instructions!A206,"_",TEXT(Instructions!B206,"YYYYMMDD"),"_1_",INDEX(Table1[], MATCH(1,(Table1[Estuary]=Instructions!C206)*(Table1[StationNumber]=Instructions!D206)*(Instructions!B206&gt;Table1[StartDate])*(Instructions!B206&lt;Table1[EndDate]),0),1),"_1_",Instructions!E206,"_",Instructions!F206)</f>
        <v>TBSRVY_20190924_1_0291_1_04_048</v>
      </c>
      <c r="B199" t="str" cm="1">
        <f t="array" ref="B199">_xlfn.CONCAT(Instructions!C206,Instructions!A206,"_",TEXT(Instructions!B206,"YYYYMMDD"),"_1_",INDEX(Table1[], MATCH(1,(Table1[Estuary]=Instructions!C206)*(Table1[StationNumber]=Instructions!D206)*(Instructions!B206&gt;Table1[StartDate])*(Instructions!B206&lt;Table1[EndDate]),0),1),"_1_",Instructions!E206)</f>
        <v>TBSRVY_20190924_1_0291_1_04</v>
      </c>
      <c r="C199">
        <f>Instructions!G206</f>
        <v>20</v>
      </c>
      <c r="D199" t="str">
        <f>IF(ISBLANK(Instructions!H206),"",Instructions!H206)</f>
        <v>Entered</v>
      </c>
      <c r="E199" s="1">
        <f>IF(ISBLANK(Instructions!I206),"",Instructions!I206)</f>
        <v>45646</v>
      </c>
      <c r="F199" t="str">
        <f>IF(ISBLANK(Instructions!J206),"",Instructions!J206)</f>
        <v>Erica Williams</v>
      </c>
      <c r="G199" s="1" t="str">
        <f>IF(ISBLANK(Instructions!K206),"",Instructions!K206)</f>
        <v/>
      </c>
      <c r="H199" t="str">
        <f>IF(ISBLANK(Instructions!L206),"",Instructions!L206)</f>
        <v/>
      </c>
      <c r="I199" t="str">
        <f t="shared" si="7"/>
        <v>NULL</v>
      </c>
      <c r="J199" t="str">
        <f t="shared" si="7"/>
        <v>NULL</v>
      </c>
      <c r="K199" t="str">
        <f>Instructions!M206</f>
        <v>Added via SMSS</v>
      </c>
      <c r="L199" t="str">
        <f t="shared" si="1"/>
        <v>NULL</v>
      </c>
    </row>
    <row r="200" spans="1:12" x14ac:dyDescent="0.25">
      <c r="A200" t="str" cm="1">
        <f t="array" ref="A200">_xlfn.CONCAT(Instructions!C207,Instructions!A207,"_",TEXT(Instructions!B207,"YYYYMMDD"),"_1_",INDEX(Table1[], MATCH(1,(Table1[Estuary]=Instructions!C207)*(Table1[StationNumber]=Instructions!D207)*(Instructions!B207&gt;Table1[StartDate])*(Instructions!B207&lt;Table1[EndDate]),0),1),"_1_",Instructions!E207,"_",Instructions!F207)</f>
        <v>TBSRVY_20190924_1_0291_1_04_049</v>
      </c>
      <c r="B200" t="str" cm="1">
        <f t="array" ref="B200">_xlfn.CONCAT(Instructions!C207,Instructions!A207,"_",TEXT(Instructions!B207,"YYYYMMDD"),"_1_",INDEX(Table1[], MATCH(1,(Table1[Estuary]=Instructions!C207)*(Table1[StationNumber]=Instructions!D207)*(Instructions!B207&gt;Table1[StartDate])*(Instructions!B207&lt;Table1[EndDate]),0),1),"_1_",Instructions!E207)</f>
        <v>TBSRVY_20190924_1_0291_1_04</v>
      </c>
      <c r="C200">
        <f>Instructions!G207</f>
        <v>12</v>
      </c>
      <c r="D200" t="str">
        <f>IF(ISBLANK(Instructions!H207),"",Instructions!H207)</f>
        <v>Entered</v>
      </c>
      <c r="E200" s="1">
        <f>IF(ISBLANK(Instructions!I207),"",Instructions!I207)</f>
        <v>45646</v>
      </c>
      <c r="F200" t="str">
        <f>IF(ISBLANK(Instructions!J207),"",Instructions!J207)</f>
        <v>Erica Williams</v>
      </c>
      <c r="G200" s="1" t="str">
        <f>IF(ISBLANK(Instructions!K207),"",Instructions!K207)</f>
        <v/>
      </c>
      <c r="H200" t="str">
        <f>IF(ISBLANK(Instructions!L207),"",Instructions!L207)</f>
        <v/>
      </c>
      <c r="I200" t="str">
        <f t="shared" si="7"/>
        <v>NULL</v>
      </c>
      <c r="J200" t="str">
        <f t="shared" si="7"/>
        <v>NULL</v>
      </c>
      <c r="K200" t="str">
        <f>Instructions!M207</f>
        <v>Added via SMSS</v>
      </c>
      <c r="L200" t="str">
        <f t="shared" si="1"/>
        <v>NULL</v>
      </c>
    </row>
    <row r="201" spans="1:12" x14ac:dyDescent="0.25">
      <c r="A201" t="str" cm="1">
        <f t="array" ref="A201">_xlfn.CONCAT(Instructions!C208,Instructions!A208,"_",TEXT(Instructions!B208,"YYYYMMDD"),"_1_",INDEX(Table1[], MATCH(1,(Table1[Estuary]=Instructions!C208)*(Table1[StationNumber]=Instructions!D208)*(Instructions!B208&gt;Table1[StartDate])*(Instructions!B208&lt;Table1[EndDate]),0),1),"_1_",Instructions!E208,"_",Instructions!F208)</f>
        <v>TBSRVY_20190924_1_0291_1_04_050</v>
      </c>
      <c r="B201" t="str" cm="1">
        <f t="array" ref="B201">_xlfn.CONCAT(Instructions!C208,Instructions!A208,"_",TEXT(Instructions!B208,"YYYYMMDD"),"_1_",INDEX(Table1[], MATCH(1,(Table1[Estuary]=Instructions!C208)*(Table1[StationNumber]=Instructions!D208)*(Instructions!B208&gt;Table1[StartDate])*(Instructions!B208&lt;Table1[EndDate]),0),1),"_1_",Instructions!E208)</f>
        <v>TBSRVY_20190924_1_0291_1_04</v>
      </c>
      <c r="C201">
        <f>Instructions!G208</f>
        <v>11</v>
      </c>
      <c r="D201" t="str">
        <f>IF(ISBLANK(Instructions!H208),"",Instructions!H208)</f>
        <v>Entered</v>
      </c>
      <c r="E201" s="1">
        <f>IF(ISBLANK(Instructions!I208),"",Instructions!I208)</f>
        <v>45646</v>
      </c>
      <c r="F201" t="str">
        <f>IF(ISBLANK(Instructions!J208),"",Instructions!J208)</f>
        <v>Erica Williams</v>
      </c>
      <c r="G201" s="1" t="str">
        <f>IF(ISBLANK(Instructions!K208),"",Instructions!K208)</f>
        <v/>
      </c>
      <c r="H201" t="str">
        <f>IF(ISBLANK(Instructions!L208),"",Instructions!L208)</f>
        <v/>
      </c>
      <c r="I201" t="str">
        <f t="shared" si="7"/>
        <v>NULL</v>
      </c>
      <c r="J201" t="str">
        <f t="shared" si="7"/>
        <v>NULL</v>
      </c>
      <c r="K201" t="str">
        <f>Instructions!M208</f>
        <v>Added via SMSS</v>
      </c>
      <c r="L201" t="str">
        <f t="shared" si="1"/>
        <v>NULL</v>
      </c>
    </row>
    <row r="202" spans="1:12" x14ac:dyDescent="0.25">
      <c r="A202" t="str" cm="1">
        <f t="array" ref="A202">_xlfn.CONCAT(Instructions!C209,Instructions!A209,"_",TEXT(Instructions!B209,"YYYYMMDD"),"_1_",INDEX(Table1[], MATCH(1,(Table1[Estuary]=Instructions!C209)*(Table1[StationNumber]=Instructions!D209)*(Instructions!B209&gt;Table1[StartDate])*(Instructions!B209&lt;Table1[EndDate]),0),1),"_1_",Instructions!E209,"_",Instructions!F209)</f>
        <v>TBSRVY_20190924_1_0291_1_05_001</v>
      </c>
      <c r="B202" t="str" cm="1">
        <f t="array" ref="B202">_xlfn.CONCAT(Instructions!C209,Instructions!A209,"_",TEXT(Instructions!B209,"YYYYMMDD"),"_1_",INDEX(Table1[], MATCH(1,(Table1[Estuary]=Instructions!C209)*(Table1[StationNumber]=Instructions!D209)*(Instructions!B209&gt;Table1[StartDate])*(Instructions!B209&lt;Table1[EndDate]),0),1),"_1_",Instructions!E209)</f>
        <v>TBSRVY_20190924_1_0291_1_05</v>
      </c>
      <c r="C202">
        <f>Instructions!G209</f>
        <v>53</v>
      </c>
      <c r="D202" t="str">
        <f>IF(ISBLANK(Instructions!H209),"",Instructions!H209)</f>
        <v>Entered</v>
      </c>
      <c r="E202" s="1">
        <f>IF(ISBLANK(Instructions!I209),"",Instructions!I209)</f>
        <v>45646</v>
      </c>
      <c r="F202" t="str">
        <f>IF(ISBLANK(Instructions!J209),"",Instructions!J209)</f>
        <v>Erica Williams</v>
      </c>
      <c r="G202" s="1" t="str">
        <f>IF(ISBLANK(Instructions!K209),"",Instructions!K209)</f>
        <v/>
      </c>
      <c r="H202" t="str">
        <f>IF(ISBLANK(Instructions!L209),"",Instructions!L209)</f>
        <v/>
      </c>
      <c r="I202" t="str">
        <f t="shared" si="7"/>
        <v>NULL</v>
      </c>
      <c r="J202" t="str">
        <f t="shared" si="7"/>
        <v>NULL</v>
      </c>
      <c r="K202" t="str">
        <f>Instructions!M209</f>
        <v>Added via SMSS</v>
      </c>
      <c r="L202" t="str">
        <f t="shared" si="1"/>
        <v>NULL</v>
      </c>
    </row>
    <row r="203" spans="1:12" x14ac:dyDescent="0.25">
      <c r="A203" t="str" cm="1">
        <f t="array" ref="A203">_xlfn.CONCAT(Instructions!C210,Instructions!A210,"_",TEXT(Instructions!B210,"YYYYMMDD"),"_1_",INDEX(Table1[], MATCH(1,(Table1[Estuary]=Instructions!C210)*(Table1[StationNumber]=Instructions!D210)*(Instructions!B210&gt;Table1[StartDate])*(Instructions!B210&lt;Table1[EndDate]),0),1),"_1_",Instructions!E210,"_",Instructions!F210)</f>
        <v>TBSRVY_20190924_1_0291_1_05_002</v>
      </c>
      <c r="B203" t="str" cm="1">
        <f t="array" ref="B203">_xlfn.CONCAT(Instructions!C210,Instructions!A210,"_",TEXT(Instructions!B210,"YYYYMMDD"),"_1_",INDEX(Table1[], MATCH(1,(Table1[Estuary]=Instructions!C210)*(Table1[StationNumber]=Instructions!D210)*(Instructions!B210&gt;Table1[StartDate])*(Instructions!B210&lt;Table1[EndDate]),0),1),"_1_",Instructions!E210)</f>
        <v>TBSRVY_20190924_1_0291_1_05</v>
      </c>
      <c r="C203">
        <f>Instructions!G210</f>
        <v>26</v>
      </c>
      <c r="D203" t="str">
        <f>IF(ISBLANK(Instructions!H210),"",Instructions!H210)</f>
        <v>Entered</v>
      </c>
      <c r="E203" s="1">
        <f>IF(ISBLANK(Instructions!I210),"",Instructions!I210)</f>
        <v>45646</v>
      </c>
      <c r="F203" t="str">
        <f>IF(ISBLANK(Instructions!J210),"",Instructions!J210)</f>
        <v>Erica Williams</v>
      </c>
      <c r="G203" s="1" t="str">
        <f>IF(ISBLANK(Instructions!K210),"",Instructions!K210)</f>
        <v/>
      </c>
      <c r="H203" t="str">
        <f>IF(ISBLANK(Instructions!L210),"",Instructions!L210)</f>
        <v/>
      </c>
      <c r="I203" t="str">
        <f t="shared" si="7"/>
        <v>NULL</v>
      </c>
      <c r="J203" t="str">
        <f t="shared" si="7"/>
        <v>NULL</v>
      </c>
      <c r="K203" t="str">
        <f>Instructions!M210</f>
        <v>Added via SMSS</v>
      </c>
      <c r="L203" t="str">
        <f t="shared" si="1"/>
        <v>NULL</v>
      </c>
    </row>
    <row r="204" spans="1:12" x14ac:dyDescent="0.25">
      <c r="A204" t="str" cm="1">
        <f t="array" ref="A204">_xlfn.CONCAT(Instructions!C211,Instructions!A211,"_",TEXT(Instructions!B211,"YYYYMMDD"),"_1_",INDEX(Table1[], MATCH(1,(Table1[Estuary]=Instructions!C211)*(Table1[StationNumber]=Instructions!D211)*(Instructions!B211&gt;Table1[StartDate])*(Instructions!B211&lt;Table1[EndDate]),0),1),"_1_",Instructions!E211,"_",Instructions!F211)</f>
        <v>TBSRVY_20190924_1_0291_1_05_003</v>
      </c>
      <c r="B204" t="str" cm="1">
        <f t="array" ref="B204">_xlfn.CONCAT(Instructions!C211,Instructions!A211,"_",TEXT(Instructions!B211,"YYYYMMDD"),"_1_",INDEX(Table1[], MATCH(1,(Table1[Estuary]=Instructions!C211)*(Table1[StationNumber]=Instructions!D211)*(Instructions!B211&gt;Table1[StartDate])*(Instructions!B211&lt;Table1[EndDate]),0),1),"_1_",Instructions!E211)</f>
        <v>TBSRVY_20190924_1_0291_1_05</v>
      </c>
      <c r="C204">
        <f>Instructions!G211</f>
        <v>67</v>
      </c>
      <c r="D204" t="str">
        <f>IF(ISBLANK(Instructions!H211),"",Instructions!H211)</f>
        <v>Entered</v>
      </c>
      <c r="E204" s="1">
        <f>IF(ISBLANK(Instructions!I211),"",Instructions!I211)</f>
        <v>45646</v>
      </c>
      <c r="F204" t="str">
        <f>IF(ISBLANK(Instructions!J211),"",Instructions!J211)</f>
        <v>Erica Williams</v>
      </c>
      <c r="G204" s="1" t="str">
        <f>IF(ISBLANK(Instructions!K211),"",Instructions!K211)</f>
        <v/>
      </c>
      <c r="H204" t="str">
        <f>IF(ISBLANK(Instructions!L211),"",Instructions!L211)</f>
        <v/>
      </c>
      <c r="I204" t="str">
        <f t="shared" si="7"/>
        <v>NULL</v>
      </c>
      <c r="J204" t="str">
        <f t="shared" si="7"/>
        <v>NULL</v>
      </c>
      <c r="K204" t="str">
        <f>Instructions!M211</f>
        <v>Added via SMSS</v>
      </c>
      <c r="L204" t="str">
        <f t="shared" si="1"/>
        <v>NULL</v>
      </c>
    </row>
    <row r="205" spans="1:12" x14ac:dyDescent="0.25">
      <c r="A205" t="str" cm="1">
        <f t="array" ref="A205">_xlfn.CONCAT(Instructions!C212,Instructions!A212,"_",TEXT(Instructions!B212,"YYYYMMDD"),"_1_",INDEX(Table1[], MATCH(1,(Table1[Estuary]=Instructions!C212)*(Table1[StationNumber]=Instructions!D212)*(Instructions!B212&gt;Table1[StartDate])*(Instructions!B212&lt;Table1[EndDate]),0),1),"_1_",Instructions!E212,"_",Instructions!F212)</f>
        <v>TBSRVY_20190924_1_0291_1_05_004</v>
      </c>
      <c r="B205" t="str" cm="1">
        <f t="array" ref="B205">_xlfn.CONCAT(Instructions!C212,Instructions!A212,"_",TEXT(Instructions!B212,"YYYYMMDD"),"_1_",INDEX(Table1[], MATCH(1,(Table1[Estuary]=Instructions!C212)*(Table1[StationNumber]=Instructions!D212)*(Instructions!B212&gt;Table1[StartDate])*(Instructions!B212&lt;Table1[EndDate]),0),1),"_1_",Instructions!E212)</f>
        <v>TBSRVY_20190924_1_0291_1_05</v>
      </c>
      <c r="C205">
        <f>Instructions!G212</f>
        <v>22</v>
      </c>
      <c r="D205" t="str">
        <f>IF(ISBLANK(Instructions!H212),"",Instructions!H212)</f>
        <v>Entered</v>
      </c>
      <c r="E205" s="1">
        <f>IF(ISBLANK(Instructions!I212),"",Instructions!I212)</f>
        <v>45646</v>
      </c>
      <c r="F205" t="str">
        <f>IF(ISBLANK(Instructions!J212),"",Instructions!J212)</f>
        <v>Erica Williams</v>
      </c>
      <c r="G205" s="1" t="str">
        <f>IF(ISBLANK(Instructions!K212),"",Instructions!K212)</f>
        <v/>
      </c>
      <c r="H205" t="str">
        <f>IF(ISBLANK(Instructions!L212),"",Instructions!L212)</f>
        <v/>
      </c>
      <c r="I205" t="str">
        <f t="shared" si="7"/>
        <v>NULL</v>
      </c>
      <c r="J205" t="str">
        <f t="shared" si="7"/>
        <v>NULL</v>
      </c>
      <c r="K205" t="str">
        <f>Instructions!M212</f>
        <v>Added via SMSS</v>
      </c>
      <c r="L205" t="str">
        <f t="shared" si="1"/>
        <v>NULL</v>
      </c>
    </row>
    <row r="206" spans="1:12" x14ac:dyDescent="0.25">
      <c r="A206" t="str" cm="1">
        <f t="array" ref="A206">_xlfn.CONCAT(Instructions!C213,Instructions!A213,"_",TEXT(Instructions!B213,"YYYYMMDD"),"_1_",INDEX(Table1[], MATCH(1,(Table1[Estuary]=Instructions!C213)*(Table1[StationNumber]=Instructions!D213)*(Instructions!B213&gt;Table1[StartDate])*(Instructions!B213&lt;Table1[EndDate]),0),1),"_1_",Instructions!E213,"_",Instructions!F213)</f>
        <v>TBSRVY_20190924_1_0291_1_05_005</v>
      </c>
      <c r="B206" t="str" cm="1">
        <f t="array" ref="B206">_xlfn.CONCAT(Instructions!C213,Instructions!A213,"_",TEXT(Instructions!B213,"YYYYMMDD"),"_1_",INDEX(Table1[], MATCH(1,(Table1[Estuary]=Instructions!C213)*(Table1[StationNumber]=Instructions!D213)*(Instructions!B213&gt;Table1[StartDate])*(Instructions!B213&lt;Table1[EndDate]),0),1),"_1_",Instructions!E213)</f>
        <v>TBSRVY_20190924_1_0291_1_05</v>
      </c>
      <c r="C206">
        <f>Instructions!G213</f>
        <v>33</v>
      </c>
      <c r="D206" t="str">
        <f>IF(ISBLANK(Instructions!H213),"",Instructions!H213)</f>
        <v>Entered</v>
      </c>
      <c r="E206" s="1">
        <f>IF(ISBLANK(Instructions!I213),"",Instructions!I213)</f>
        <v>45646</v>
      </c>
      <c r="F206" t="str">
        <f>IF(ISBLANK(Instructions!J213),"",Instructions!J213)</f>
        <v>Erica Williams</v>
      </c>
      <c r="G206" s="1" t="str">
        <f>IF(ISBLANK(Instructions!K213),"",Instructions!K213)</f>
        <v/>
      </c>
      <c r="H206" t="str">
        <f>IF(ISBLANK(Instructions!L213),"",Instructions!L213)</f>
        <v/>
      </c>
      <c r="I206" t="str">
        <f t="shared" si="7"/>
        <v>NULL</v>
      </c>
      <c r="J206" t="str">
        <f t="shared" si="7"/>
        <v>NULL</v>
      </c>
      <c r="K206" t="str">
        <f>Instructions!M213</f>
        <v>Added via SMSS</v>
      </c>
      <c r="L206" t="str">
        <f t="shared" si="1"/>
        <v>NULL</v>
      </c>
    </row>
    <row r="207" spans="1:12" x14ac:dyDescent="0.25">
      <c r="A207" t="str" cm="1">
        <f t="array" ref="A207">_xlfn.CONCAT(Instructions!C214,Instructions!A214,"_",TEXT(Instructions!B214,"YYYYMMDD"),"_1_",INDEX(Table1[], MATCH(1,(Table1[Estuary]=Instructions!C214)*(Table1[StationNumber]=Instructions!D214)*(Instructions!B214&gt;Table1[StartDate])*(Instructions!B214&lt;Table1[EndDate]),0),1),"_1_",Instructions!E214,"_",Instructions!F214)</f>
        <v>TBSRVY_20190924_1_0291_1_05_006</v>
      </c>
      <c r="B207" t="str" cm="1">
        <f t="array" ref="B207">_xlfn.CONCAT(Instructions!C214,Instructions!A214,"_",TEXT(Instructions!B214,"YYYYMMDD"),"_1_",INDEX(Table1[], MATCH(1,(Table1[Estuary]=Instructions!C214)*(Table1[StationNumber]=Instructions!D214)*(Instructions!B214&gt;Table1[StartDate])*(Instructions!B214&lt;Table1[EndDate]),0),1),"_1_",Instructions!E214)</f>
        <v>TBSRVY_20190924_1_0291_1_05</v>
      </c>
      <c r="C207">
        <f>Instructions!G214</f>
        <v>23</v>
      </c>
      <c r="D207" t="str">
        <f>IF(ISBLANK(Instructions!H214),"",Instructions!H214)</f>
        <v>Entered</v>
      </c>
      <c r="E207" s="1">
        <f>IF(ISBLANK(Instructions!I214),"",Instructions!I214)</f>
        <v>45646</v>
      </c>
      <c r="F207" t="str">
        <f>IF(ISBLANK(Instructions!J214),"",Instructions!J214)</f>
        <v>Erica Williams</v>
      </c>
      <c r="G207" s="1" t="str">
        <f>IF(ISBLANK(Instructions!K214),"",Instructions!K214)</f>
        <v/>
      </c>
      <c r="H207" t="str">
        <f>IF(ISBLANK(Instructions!L214),"",Instructions!L214)</f>
        <v/>
      </c>
      <c r="I207" t="str">
        <f t="shared" si="7"/>
        <v>NULL</v>
      </c>
      <c r="J207" t="str">
        <f t="shared" si="7"/>
        <v>NULL</v>
      </c>
      <c r="K207" t="str">
        <f>Instructions!M214</f>
        <v>Added via SMSS</v>
      </c>
      <c r="L207" t="str">
        <f t="shared" si="1"/>
        <v>NULL</v>
      </c>
    </row>
    <row r="208" spans="1:12" x14ac:dyDescent="0.25">
      <c r="A208" t="str" cm="1">
        <f t="array" ref="A208">_xlfn.CONCAT(Instructions!C215,Instructions!A215,"_",TEXT(Instructions!B215,"YYYYMMDD"),"_1_",INDEX(Table1[], MATCH(1,(Table1[Estuary]=Instructions!C215)*(Table1[StationNumber]=Instructions!D215)*(Instructions!B215&gt;Table1[StartDate])*(Instructions!B215&lt;Table1[EndDate]),0),1),"_1_",Instructions!E215,"_",Instructions!F215)</f>
        <v>TBSRVY_20190924_1_0291_1_05_007</v>
      </c>
      <c r="B208" t="str" cm="1">
        <f t="array" ref="B208">_xlfn.CONCAT(Instructions!C215,Instructions!A215,"_",TEXT(Instructions!B215,"YYYYMMDD"),"_1_",INDEX(Table1[], MATCH(1,(Table1[Estuary]=Instructions!C215)*(Table1[StationNumber]=Instructions!D215)*(Instructions!B215&gt;Table1[StartDate])*(Instructions!B215&lt;Table1[EndDate]),0),1),"_1_",Instructions!E215)</f>
        <v>TBSRVY_20190924_1_0291_1_05</v>
      </c>
      <c r="C208">
        <f>Instructions!G215</f>
        <v>36</v>
      </c>
      <c r="D208" t="str">
        <f>IF(ISBLANK(Instructions!H215),"",Instructions!H215)</f>
        <v>Entered</v>
      </c>
      <c r="E208" s="1">
        <f>IF(ISBLANK(Instructions!I215),"",Instructions!I215)</f>
        <v>45646</v>
      </c>
      <c r="F208" t="str">
        <f>IF(ISBLANK(Instructions!J215),"",Instructions!J215)</f>
        <v>Erica Williams</v>
      </c>
      <c r="G208" s="1" t="str">
        <f>IF(ISBLANK(Instructions!K215),"",Instructions!K215)</f>
        <v/>
      </c>
      <c r="H208" t="str">
        <f>IF(ISBLANK(Instructions!L215),"",Instructions!L215)</f>
        <v/>
      </c>
      <c r="I208" t="str">
        <f t="shared" si="7"/>
        <v>NULL</v>
      </c>
      <c r="J208" t="str">
        <f t="shared" si="7"/>
        <v>NULL</v>
      </c>
      <c r="K208" t="str">
        <f>Instructions!M215</f>
        <v>Added via SMSS</v>
      </c>
      <c r="L208" t="str">
        <f t="shared" si="1"/>
        <v>NULL</v>
      </c>
    </row>
    <row r="209" spans="1:12" x14ac:dyDescent="0.25">
      <c r="A209" t="str" cm="1">
        <f t="array" ref="A209">_xlfn.CONCAT(Instructions!C216,Instructions!A216,"_",TEXT(Instructions!B216,"YYYYMMDD"),"_1_",INDEX(Table1[], MATCH(1,(Table1[Estuary]=Instructions!C216)*(Table1[StationNumber]=Instructions!D216)*(Instructions!B216&gt;Table1[StartDate])*(Instructions!B216&lt;Table1[EndDate]),0),1),"_1_",Instructions!E216,"_",Instructions!F216)</f>
        <v>TBSRVY_20190924_1_0291_1_05_008</v>
      </c>
      <c r="B209" t="str" cm="1">
        <f t="array" ref="B209">_xlfn.CONCAT(Instructions!C216,Instructions!A216,"_",TEXT(Instructions!B216,"YYYYMMDD"),"_1_",INDEX(Table1[], MATCH(1,(Table1[Estuary]=Instructions!C216)*(Table1[StationNumber]=Instructions!D216)*(Instructions!B216&gt;Table1[StartDate])*(Instructions!B216&lt;Table1[EndDate]),0),1),"_1_",Instructions!E216)</f>
        <v>TBSRVY_20190924_1_0291_1_05</v>
      </c>
      <c r="C209">
        <f>Instructions!G216</f>
        <v>18</v>
      </c>
      <c r="D209" t="str">
        <f>IF(ISBLANK(Instructions!H216),"",Instructions!H216)</f>
        <v>Entered</v>
      </c>
      <c r="E209" s="1">
        <f>IF(ISBLANK(Instructions!I216),"",Instructions!I216)</f>
        <v>45646</v>
      </c>
      <c r="F209" t="str">
        <f>IF(ISBLANK(Instructions!J216),"",Instructions!J216)</f>
        <v>Erica Williams</v>
      </c>
      <c r="G209" s="1" t="str">
        <f>IF(ISBLANK(Instructions!K216),"",Instructions!K216)</f>
        <v/>
      </c>
      <c r="H209" t="str">
        <f>IF(ISBLANK(Instructions!L216),"",Instructions!L216)</f>
        <v/>
      </c>
      <c r="I209" t="str">
        <f t="shared" si="7"/>
        <v>NULL</v>
      </c>
      <c r="J209" t="str">
        <f t="shared" si="7"/>
        <v>NULL</v>
      </c>
      <c r="K209" t="str">
        <f>Instructions!M216</f>
        <v>Added via SMSS</v>
      </c>
      <c r="L209" t="str">
        <f t="shared" si="1"/>
        <v>NULL</v>
      </c>
    </row>
    <row r="210" spans="1:12" x14ac:dyDescent="0.25">
      <c r="A210" t="str" cm="1">
        <f t="array" ref="A210">_xlfn.CONCAT(Instructions!C217,Instructions!A217,"_",TEXT(Instructions!B217,"YYYYMMDD"),"_1_",INDEX(Table1[], MATCH(1,(Table1[Estuary]=Instructions!C217)*(Table1[StationNumber]=Instructions!D217)*(Instructions!B217&gt;Table1[StartDate])*(Instructions!B217&lt;Table1[EndDate]),0),1),"_1_",Instructions!E217,"_",Instructions!F217)</f>
        <v>TBSRVY_20190924_1_0291_1_05_009</v>
      </c>
      <c r="B210" t="str" cm="1">
        <f t="array" ref="B210">_xlfn.CONCAT(Instructions!C217,Instructions!A217,"_",TEXT(Instructions!B217,"YYYYMMDD"),"_1_",INDEX(Table1[], MATCH(1,(Table1[Estuary]=Instructions!C217)*(Table1[StationNumber]=Instructions!D217)*(Instructions!B217&gt;Table1[StartDate])*(Instructions!B217&lt;Table1[EndDate]),0),1),"_1_",Instructions!E217)</f>
        <v>TBSRVY_20190924_1_0291_1_05</v>
      </c>
      <c r="C210">
        <f>Instructions!G217</f>
        <v>28</v>
      </c>
      <c r="D210" t="str">
        <f>IF(ISBLANK(Instructions!H217),"",Instructions!H217)</f>
        <v>Entered</v>
      </c>
      <c r="E210" s="1">
        <f>IF(ISBLANK(Instructions!I217),"",Instructions!I217)</f>
        <v>45646</v>
      </c>
      <c r="F210" t="str">
        <f>IF(ISBLANK(Instructions!J217),"",Instructions!J217)</f>
        <v>Erica Williams</v>
      </c>
      <c r="G210" s="1" t="str">
        <f>IF(ISBLANK(Instructions!K217),"",Instructions!K217)</f>
        <v/>
      </c>
      <c r="H210" t="str">
        <f>IF(ISBLANK(Instructions!L217),"",Instructions!L217)</f>
        <v/>
      </c>
      <c r="I210" t="str">
        <f t="shared" si="7"/>
        <v>NULL</v>
      </c>
      <c r="J210" t="str">
        <f t="shared" si="7"/>
        <v>NULL</v>
      </c>
      <c r="K210" t="str">
        <f>Instructions!M217</f>
        <v>Added via SMSS</v>
      </c>
      <c r="L210" t="str">
        <f t="shared" si="1"/>
        <v>NULL</v>
      </c>
    </row>
    <row r="211" spans="1:12" x14ac:dyDescent="0.25">
      <c r="A211" t="str" cm="1">
        <f t="array" ref="A211">_xlfn.CONCAT(Instructions!C218,Instructions!A218,"_",TEXT(Instructions!B218,"YYYYMMDD"),"_1_",INDEX(Table1[], MATCH(1,(Table1[Estuary]=Instructions!C218)*(Table1[StationNumber]=Instructions!D218)*(Instructions!B218&gt;Table1[StartDate])*(Instructions!B218&lt;Table1[EndDate]),0),1),"_1_",Instructions!E218,"_",Instructions!F218)</f>
        <v>TBSRVY_20190924_1_0291_1_05_010</v>
      </c>
      <c r="B211" t="str" cm="1">
        <f t="array" ref="B211">_xlfn.CONCAT(Instructions!C218,Instructions!A218,"_",TEXT(Instructions!B218,"YYYYMMDD"),"_1_",INDEX(Table1[], MATCH(1,(Table1[Estuary]=Instructions!C218)*(Table1[StationNumber]=Instructions!D218)*(Instructions!B218&gt;Table1[StartDate])*(Instructions!B218&lt;Table1[EndDate]),0),1),"_1_",Instructions!E218)</f>
        <v>TBSRVY_20190924_1_0291_1_05</v>
      </c>
      <c r="C211">
        <f>Instructions!G218</f>
        <v>14</v>
      </c>
      <c r="D211" t="str">
        <f>IF(ISBLANK(Instructions!H218),"",Instructions!H218)</f>
        <v>Entered</v>
      </c>
      <c r="E211" s="1">
        <f>IF(ISBLANK(Instructions!I218),"",Instructions!I218)</f>
        <v>45646</v>
      </c>
      <c r="F211" t="str">
        <f>IF(ISBLANK(Instructions!J218),"",Instructions!J218)</f>
        <v>Erica Williams</v>
      </c>
      <c r="G211" s="1" t="str">
        <f>IF(ISBLANK(Instructions!K218),"",Instructions!K218)</f>
        <v/>
      </c>
      <c r="H211" t="str">
        <f>IF(ISBLANK(Instructions!L218),"",Instructions!L218)</f>
        <v/>
      </c>
      <c r="I211" t="str">
        <f t="shared" si="7"/>
        <v>NULL</v>
      </c>
      <c r="J211" t="str">
        <f t="shared" si="7"/>
        <v>NULL</v>
      </c>
      <c r="K211" t="str">
        <f>Instructions!M218</f>
        <v>Added via SMSS</v>
      </c>
      <c r="L211" t="str">
        <f t="shared" si="1"/>
        <v>NULL</v>
      </c>
    </row>
    <row r="212" spans="1:12" x14ac:dyDescent="0.25">
      <c r="A212" t="str" cm="1">
        <f t="array" ref="A212">_xlfn.CONCAT(Instructions!C219,Instructions!A219,"_",TEXT(Instructions!B219,"YYYYMMDD"),"_1_",INDEX(Table1[], MATCH(1,(Table1[Estuary]=Instructions!C219)*(Table1[StationNumber]=Instructions!D219)*(Instructions!B219&gt;Table1[StartDate])*(Instructions!B219&lt;Table1[EndDate]),0),1),"_1_",Instructions!E219,"_",Instructions!F219)</f>
        <v>TBSRVY_20190924_1_0291_1_05_011</v>
      </c>
      <c r="B212" t="str" cm="1">
        <f t="array" ref="B212">_xlfn.CONCAT(Instructions!C219,Instructions!A219,"_",TEXT(Instructions!B219,"YYYYMMDD"),"_1_",INDEX(Table1[], MATCH(1,(Table1[Estuary]=Instructions!C219)*(Table1[StationNumber]=Instructions!D219)*(Instructions!B219&gt;Table1[StartDate])*(Instructions!B219&lt;Table1[EndDate]),0),1),"_1_",Instructions!E219)</f>
        <v>TBSRVY_20190924_1_0291_1_05</v>
      </c>
      <c r="C212">
        <f>Instructions!G219</f>
        <v>65</v>
      </c>
      <c r="D212" t="str">
        <f>IF(ISBLANK(Instructions!H219),"",Instructions!H219)</f>
        <v>Entered</v>
      </c>
      <c r="E212" s="1">
        <f>IF(ISBLANK(Instructions!I219),"",Instructions!I219)</f>
        <v>45646</v>
      </c>
      <c r="F212" t="str">
        <f>IF(ISBLANK(Instructions!J219),"",Instructions!J219)</f>
        <v>Erica Williams</v>
      </c>
      <c r="G212" s="1" t="str">
        <f>IF(ISBLANK(Instructions!K219),"",Instructions!K219)</f>
        <v/>
      </c>
      <c r="H212" t="str">
        <f>IF(ISBLANK(Instructions!L219),"",Instructions!L219)</f>
        <v/>
      </c>
      <c r="I212" t="str">
        <f t="shared" si="7"/>
        <v>NULL</v>
      </c>
      <c r="J212" t="str">
        <f t="shared" si="7"/>
        <v>NULL</v>
      </c>
      <c r="K212" t="str">
        <f>Instructions!M219</f>
        <v>Added via SMSS</v>
      </c>
      <c r="L212" t="str">
        <f t="shared" si="1"/>
        <v>NULL</v>
      </c>
    </row>
    <row r="213" spans="1:12" x14ac:dyDescent="0.25">
      <c r="A213" t="str" cm="1">
        <f t="array" ref="A213">_xlfn.CONCAT(Instructions!C220,Instructions!A220,"_",TEXT(Instructions!B220,"YYYYMMDD"),"_1_",INDEX(Table1[], MATCH(1,(Table1[Estuary]=Instructions!C220)*(Table1[StationNumber]=Instructions!D220)*(Instructions!B220&gt;Table1[StartDate])*(Instructions!B220&lt;Table1[EndDate]),0),1),"_1_",Instructions!E220,"_",Instructions!F220)</f>
        <v>TBSRVY_20190924_1_0291_1_05_012</v>
      </c>
      <c r="B213" t="str" cm="1">
        <f t="array" ref="B213">_xlfn.CONCAT(Instructions!C220,Instructions!A220,"_",TEXT(Instructions!B220,"YYYYMMDD"),"_1_",INDEX(Table1[], MATCH(1,(Table1[Estuary]=Instructions!C220)*(Table1[StationNumber]=Instructions!D220)*(Instructions!B220&gt;Table1[StartDate])*(Instructions!B220&lt;Table1[EndDate]),0),1),"_1_",Instructions!E220)</f>
        <v>TBSRVY_20190924_1_0291_1_05</v>
      </c>
      <c r="C213">
        <f>Instructions!G220</f>
        <v>36</v>
      </c>
      <c r="D213" t="str">
        <f>IF(ISBLANK(Instructions!H220),"",Instructions!H220)</f>
        <v>Entered</v>
      </c>
      <c r="E213" s="1">
        <f>IF(ISBLANK(Instructions!I220),"",Instructions!I220)</f>
        <v>45646</v>
      </c>
      <c r="F213" t="str">
        <f>IF(ISBLANK(Instructions!J220),"",Instructions!J220)</f>
        <v>Erica Williams</v>
      </c>
      <c r="G213" s="1" t="str">
        <f>IF(ISBLANK(Instructions!K220),"",Instructions!K220)</f>
        <v/>
      </c>
      <c r="H213" t="str">
        <f>IF(ISBLANK(Instructions!L220),"",Instructions!L220)</f>
        <v/>
      </c>
      <c r="I213" t="str">
        <f t="shared" si="7"/>
        <v>NULL</v>
      </c>
      <c r="J213" t="str">
        <f t="shared" si="7"/>
        <v>NULL</v>
      </c>
      <c r="K213" t="str">
        <f>Instructions!M220</f>
        <v>Added via SMSS</v>
      </c>
      <c r="L213" t="str">
        <f t="shared" si="1"/>
        <v>NULL</v>
      </c>
    </row>
    <row r="214" spans="1:12" x14ac:dyDescent="0.25">
      <c r="A214" t="str" cm="1">
        <f t="array" ref="A214">_xlfn.CONCAT(Instructions!C221,Instructions!A221,"_",TEXT(Instructions!B221,"YYYYMMDD"),"_1_",INDEX(Table1[], MATCH(1,(Table1[Estuary]=Instructions!C221)*(Table1[StationNumber]=Instructions!D221)*(Instructions!B221&gt;Table1[StartDate])*(Instructions!B221&lt;Table1[EndDate]),0),1),"_1_",Instructions!E221,"_",Instructions!F221)</f>
        <v>TBSRVY_20190924_1_0291_1_05_013</v>
      </c>
      <c r="B214" t="str" cm="1">
        <f t="array" ref="B214">_xlfn.CONCAT(Instructions!C221,Instructions!A221,"_",TEXT(Instructions!B221,"YYYYMMDD"),"_1_",INDEX(Table1[], MATCH(1,(Table1[Estuary]=Instructions!C221)*(Table1[StationNumber]=Instructions!D221)*(Instructions!B221&gt;Table1[StartDate])*(Instructions!B221&lt;Table1[EndDate]),0),1),"_1_",Instructions!E221)</f>
        <v>TBSRVY_20190924_1_0291_1_05</v>
      </c>
      <c r="C214">
        <f>Instructions!G221</f>
        <v>34</v>
      </c>
      <c r="D214" t="str">
        <f>IF(ISBLANK(Instructions!H221),"",Instructions!H221)</f>
        <v>Entered</v>
      </c>
      <c r="E214" s="1">
        <f>IF(ISBLANK(Instructions!I221),"",Instructions!I221)</f>
        <v>45646</v>
      </c>
      <c r="F214" t="str">
        <f>IF(ISBLANK(Instructions!J221),"",Instructions!J221)</f>
        <v>Erica Williams</v>
      </c>
      <c r="G214" s="1" t="str">
        <f>IF(ISBLANK(Instructions!K221),"",Instructions!K221)</f>
        <v/>
      </c>
      <c r="H214" t="str">
        <f>IF(ISBLANK(Instructions!L221),"",Instructions!L221)</f>
        <v/>
      </c>
      <c r="I214" t="str">
        <f t="shared" si="7"/>
        <v>NULL</v>
      </c>
      <c r="J214" t="str">
        <f t="shared" si="7"/>
        <v>NULL</v>
      </c>
      <c r="K214" t="str">
        <f>Instructions!M221</f>
        <v>Added via SMSS</v>
      </c>
      <c r="L214" t="str">
        <f t="shared" si="1"/>
        <v>NULL</v>
      </c>
    </row>
    <row r="215" spans="1:12" x14ac:dyDescent="0.25">
      <c r="A215" t="str" cm="1">
        <f t="array" ref="A215">_xlfn.CONCAT(Instructions!C222,Instructions!A222,"_",TEXT(Instructions!B222,"YYYYMMDD"),"_1_",INDEX(Table1[], MATCH(1,(Table1[Estuary]=Instructions!C222)*(Table1[StationNumber]=Instructions!D222)*(Instructions!B222&gt;Table1[StartDate])*(Instructions!B222&lt;Table1[EndDate]),0),1),"_1_",Instructions!E222,"_",Instructions!F222)</f>
        <v>TBSRVY_20190924_1_0291_1_05_014</v>
      </c>
      <c r="B215" t="str" cm="1">
        <f t="array" ref="B215">_xlfn.CONCAT(Instructions!C222,Instructions!A222,"_",TEXT(Instructions!B222,"YYYYMMDD"),"_1_",INDEX(Table1[], MATCH(1,(Table1[Estuary]=Instructions!C222)*(Table1[StationNumber]=Instructions!D222)*(Instructions!B222&gt;Table1[StartDate])*(Instructions!B222&lt;Table1[EndDate]),0),1),"_1_",Instructions!E222)</f>
        <v>TBSRVY_20190924_1_0291_1_05</v>
      </c>
      <c r="C215">
        <f>Instructions!G222</f>
        <v>32</v>
      </c>
      <c r="D215" t="str">
        <f>IF(ISBLANK(Instructions!H222),"",Instructions!H222)</f>
        <v>Entered</v>
      </c>
      <c r="E215" s="1">
        <f>IF(ISBLANK(Instructions!I222),"",Instructions!I222)</f>
        <v>45646</v>
      </c>
      <c r="F215" t="str">
        <f>IF(ISBLANK(Instructions!J222),"",Instructions!J222)</f>
        <v>Erica Williams</v>
      </c>
      <c r="G215" s="1" t="str">
        <f>IF(ISBLANK(Instructions!K222),"",Instructions!K222)</f>
        <v/>
      </c>
      <c r="H215" t="str">
        <f>IF(ISBLANK(Instructions!L222),"",Instructions!L222)</f>
        <v/>
      </c>
      <c r="I215" t="str">
        <f t="shared" si="7"/>
        <v>NULL</v>
      </c>
      <c r="J215" t="str">
        <f t="shared" si="7"/>
        <v>NULL</v>
      </c>
      <c r="K215" t="str">
        <f>Instructions!M222</f>
        <v>Added via SMSS</v>
      </c>
      <c r="L215" t="str">
        <f t="shared" si="1"/>
        <v>NULL</v>
      </c>
    </row>
    <row r="216" spans="1:12" x14ac:dyDescent="0.25">
      <c r="A216" t="str" cm="1">
        <f t="array" ref="A216">_xlfn.CONCAT(Instructions!C223,Instructions!A223,"_",TEXT(Instructions!B223,"YYYYMMDD"),"_1_",INDEX(Table1[], MATCH(1,(Table1[Estuary]=Instructions!C223)*(Table1[StationNumber]=Instructions!D223)*(Instructions!B223&gt;Table1[StartDate])*(Instructions!B223&lt;Table1[EndDate]),0),1),"_1_",Instructions!E223,"_",Instructions!F223)</f>
        <v>TBSRVY_20190924_1_0291_1_05_015</v>
      </c>
      <c r="B216" t="str" cm="1">
        <f t="array" ref="B216">_xlfn.CONCAT(Instructions!C223,Instructions!A223,"_",TEXT(Instructions!B223,"YYYYMMDD"),"_1_",INDEX(Table1[], MATCH(1,(Table1[Estuary]=Instructions!C223)*(Table1[StationNumber]=Instructions!D223)*(Instructions!B223&gt;Table1[StartDate])*(Instructions!B223&lt;Table1[EndDate]),0),1),"_1_",Instructions!E223)</f>
        <v>TBSRVY_20190924_1_0291_1_05</v>
      </c>
      <c r="C216">
        <f>Instructions!G223</f>
        <v>31</v>
      </c>
      <c r="D216" t="str">
        <f>IF(ISBLANK(Instructions!H223),"",Instructions!H223)</f>
        <v>Entered</v>
      </c>
      <c r="E216" s="1">
        <f>IF(ISBLANK(Instructions!I223),"",Instructions!I223)</f>
        <v>45646</v>
      </c>
      <c r="F216" t="str">
        <f>IF(ISBLANK(Instructions!J223),"",Instructions!J223)</f>
        <v>Erica Williams</v>
      </c>
      <c r="G216" s="1" t="str">
        <f>IF(ISBLANK(Instructions!K223),"",Instructions!K223)</f>
        <v/>
      </c>
      <c r="H216" t="str">
        <f>IF(ISBLANK(Instructions!L223),"",Instructions!L223)</f>
        <v/>
      </c>
      <c r="I216" t="str">
        <f t="shared" si="7"/>
        <v>NULL</v>
      </c>
      <c r="J216" t="str">
        <f t="shared" si="7"/>
        <v>NULL</v>
      </c>
      <c r="K216" t="str">
        <f>Instructions!M223</f>
        <v>Added via SMSS</v>
      </c>
      <c r="L216" t="str">
        <f t="shared" si="1"/>
        <v>NULL</v>
      </c>
    </row>
    <row r="217" spans="1:12" x14ac:dyDescent="0.25">
      <c r="A217" t="str" cm="1">
        <f t="array" ref="A217">_xlfn.CONCAT(Instructions!C224,Instructions!A224,"_",TEXT(Instructions!B224,"YYYYMMDD"),"_1_",INDEX(Table1[], MATCH(1,(Table1[Estuary]=Instructions!C224)*(Table1[StationNumber]=Instructions!D224)*(Instructions!B224&gt;Table1[StartDate])*(Instructions!B224&lt;Table1[EndDate]),0),1),"_1_",Instructions!E224,"_",Instructions!F224)</f>
        <v>TBSRVY_20190924_1_0291_1_05_016</v>
      </c>
      <c r="B217" t="str" cm="1">
        <f t="array" ref="B217">_xlfn.CONCAT(Instructions!C224,Instructions!A224,"_",TEXT(Instructions!B224,"YYYYMMDD"),"_1_",INDEX(Table1[], MATCH(1,(Table1[Estuary]=Instructions!C224)*(Table1[StationNumber]=Instructions!D224)*(Instructions!B224&gt;Table1[StartDate])*(Instructions!B224&lt;Table1[EndDate]),0),1),"_1_",Instructions!E224)</f>
        <v>TBSRVY_20190924_1_0291_1_05</v>
      </c>
      <c r="C217">
        <f>Instructions!G224</f>
        <v>32</v>
      </c>
      <c r="D217" t="str">
        <f>IF(ISBLANK(Instructions!H224),"",Instructions!H224)</f>
        <v>Entered</v>
      </c>
      <c r="E217" s="1">
        <f>IF(ISBLANK(Instructions!I224),"",Instructions!I224)</f>
        <v>45646</v>
      </c>
      <c r="F217" t="str">
        <f>IF(ISBLANK(Instructions!J224),"",Instructions!J224)</f>
        <v>Erica Williams</v>
      </c>
      <c r="G217" s="1" t="str">
        <f>IF(ISBLANK(Instructions!K224),"",Instructions!K224)</f>
        <v/>
      </c>
      <c r="H217" t="str">
        <f>IF(ISBLANK(Instructions!L224),"",Instructions!L224)</f>
        <v/>
      </c>
      <c r="I217" t="str">
        <f t="shared" si="7"/>
        <v>NULL</v>
      </c>
      <c r="J217" t="str">
        <f t="shared" si="7"/>
        <v>NULL</v>
      </c>
      <c r="K217" t="str">
        <f>Instructions!M224</f>
        <v>Added via SMSS</v>
      </c>
      <c r="L217" t="str">
        <f t="shared" si="1"/>
        <v>NULL</v>
      </c>
    </row>
    <row r="218" spans="1:12" x14ac:dyDescent="0.25">
      <c r="A218" t="str" cm="1">
        <f t="array" ref="A218">_xlfn.CONCAT(Instructions!C225,Instructions!A225,"_",TEXT(Instructions!B225,"YYYYMMDD"),"_1_",INDEX(Table1[], MATCH(1,(Table1[Estuary]=Instructions!C225)*(Table1[StationNumber]=Instructions!D225)*(Instructions!B225&gt;Table1[StartDate])*(Instructions!B225&lt;Table1[EndDate]),0),1),"_1_",Instructions!E225,"_",Instructions!F225)</f>
        <v>TBSRVY_20190924_1_0291_1_05_017</v>
      </c>
      <c r="B218" t="str" cm="1">
        <f t="array" ref="B218">_xlfn.CONCAT(Instructions!C225,Instructions!A225,"_",TEXT(Instructions!B225,"YYYYMMDD"),"_1_",INDEX(Table1[], MATCH(1,(Table1[Estuary]=Instructions!C225)*(Table1[StationNumber]=Instructions!D225)*(Instructions!B225&gt;Table1[StartDate])*(Instructions!B225&lt;Table1[EndDate]),0),1),"_1_",Instructions!E225)</f>
        <v>TBSRVY_20190924_1_0291_1_05</v>
      </c>
      <c r="C218">
        <f>Instructions!G225</f>
        <v>26</v>
      </c>
      <c r="D218" t="str">
        <f>IF(ISBLANK(Instructions!H225),"",Instructions!H225)</f>
        <v>Entered</v>
      </c>
      <c r="E218" s="1">
        <f>IF(ISBLANK(Instructions!I225),"",Instructions!I225)</f>
        <v>45646</v>
      </c>
      <c r="F218" t="str">
        <f>IF(ISBLANK(Instructions!J225),"",Instructions!J225)</f>
        <v>Erica Williams</v>
      </c>
      <c r="G218" s="1" t="str">
        <f>IF(ISBLANK(Instructions!K225),"",Instructions!K225)</f>
        <v/>
      </c>
      <c r="H218" t="str">
        <f>IF(ISBLANK(Instructions!L225),"",Instructions!L225)</f>
        <v/>
      </c>
      <c r="I218" t="str">
        <f t="shared" si="7"/>
        <v>NULL</v>
      </c>
      <c r="J218" t="str">
        <f t="shared" si="7"/>
        <v>NULL</v>
      </c>
      <c r="K218" t="str">
        <f>Instructions!M225</f>
        <v>Added via SMSS</v>
      </c>
      <c r="L218" t="str">
        <f t="shared" si="1"/>
        <v>NULL</v>
      </c>
    </row>
    <row r="219" spans="1:12" x14ac:dyDescent="0.25">
      <c r="A219" t="str" cm="1">
        <f t="array" ref="A219">_xlfn.CONCAT(Instructions!C226,Instructions!A226,"_",TEXT(Instructions!B226,"YYYYMMDD"),"_1_",INDEX(Table1[], MATCH(1,(Table1[Estuary]=Instructions!C226)*(Table1[StationNumber]=Instructions!D226)*(Instructions!B226&gt;Table1[StartDate])*(Instructions!B226&lt;Table1[EndDate]),0),1),"_1_",Instructions!E226,"_",Instructions!F226)</f>
        <v>TBSRVY_20190924_1_0291_1_05_018</v>
      </c>
      <c r="B219" t="str" cm="1">
        <f t="array" ref="B219">_xlfn.CONCAT(Instructions!C226,Instructions!A226,"_",TEXT(Instructions!B226,"YYYYMMDD"),"_1_",INDEX(Table1[], MATCH(1,(Table1[Estuary]=Instructions!C226)*(Table1[StationNumber]=Instructions!D226)*(Instructions!B226&gt;Table1[StartDate])*(Instructions!B226&lt;Table1[EndDate]),0),1),"_1_",Instructions!E226)</f>
        <v>TBSRVY_20190924_1_0291_1_05</v>
      </c>
      <c r="C219">
        <f>Instructions!G226</f>
        <v>55</v>
      </c>
      <c r="D219" t="str">
        <f>IF(ISBLANK(Instructions!H226),"",Instructions!H226)</f>
        <v>Entered</v>
      </c>
      <c r="E219" s="1">
        <f>IF(ISBLANK(Instructions!I226),"",Instructions!I226)</f>
        <v>45646</v>
      </c>
      <c r="F219" t="str">
        <f>IF(ISBLANK(Instructions!J226),"",Instructions!J226)</f>
        <v>Erica Williams</v>
      </c>
      <c r="G219" s="1" t="str">
        <f>IF(ISBLANK(Instructions!K226),"",Instructions!K226)</f>
        <v/>
      </c>
      <c r="H219" t="str">
        <f>IF(ISBLANK(Instructions!L226),"",Instructions!L226)</f>
        <v/>
      </c>
      <c r="I219" t="str">
        <f t="shared" si="7"/>
        <v>NULL</v>
      </c>
      <c r="J219" t="str">
        <f t="shared" si="7"/>
        <v>NULL</v>
      </c>
      <c r="K219" t="str">
        <f>Instructions!M226</f>
        <v>Added via SMSS</v>
      </c>
      <c r="L219" t="str">
        <f t="shared" si="1"/>
        <v>NULL</v>
      </c>
    </row>
    <row r="220" spans="1:12" x14ac:dyDescent="0.25">
      <c r="A220" t="str" cm="1">
        <f t="array" ref="A220">_xlfn.CONCAT(Instructions!C227,Instructions!A227,"_",TEXT(Instructions!B227,"YYYYMMDD"),"_1_",INDEX(Table1[], MATCH(1,(Table1[Estuary]=Instructions!C227)*(Table1[StationNumber]=Instructions!D227)*(Instructions!B227&gt;Table1[StartDate])*(Instructions!B227&lt;Table1[EndDate]),0),1),"_1_",Instructions!E227,"_",Instructions!F227)</f>
        <v>TBSRVY_20190924_1_0291_1_05_019</v>
      </c>
      <c r="B220" t="str" cm="1">
        <f t="array" ref="B220">_xlfn.CONCAT(Instructions!C227,Instructions!A227,"_",TEXT(Instructions!B227,"YYYYMMDD"),"_1_",INDEX(Table1[], MATCH(1,(Table1[Estuary]=Instructions!C227)*(Table1[StationNumber]=Instructions!D227)*(Instructions!B227&gt;Table1[StartDate])*(Instructions!B227&lt;Table1[EndDate]),0),1),"_1_",Instructions!E227)</f>
        <v>TBSRVY_20190924_1_0291_1_05</v>
      </c>
      <c r="C220">
        <f>Instructions!G227</f>
        <v>15</v>
      </c>
      <c r="D220" t="str">
        <f>IF(ISBLANK(Instructions!H227),"",Instructions!H227)</f>
        <v>Entered</v>
      </c>
      <c r="E220" s="1">
        <f>IF(ISBLANK(Instructions!I227),"",Instructions!I227)</f>
        <v>45646</v>
      </c>
      <c r="F220" t="str">
        <f>IF(ISBLANK(Instructions!J227),"",Instructions!J227)</f>
        <v>Erica Williams</v>
      </c>
      <c r="G220" s="1" t="str">
        <f>IF(ISBLANK(Instructions!K227),"",Instructions!K227)</f>
        <v/>
      </c>
      <c r="H220" t="str">
        <f>IF(ISBLANK(Instructions!L227),"",Instructions!L227)</f>
        <v/>
      </c>
      <c r="I220" t="str">
        <f t="shared" si="7"/>
        <v>NULL</v>
      </c>
      <c r="J220" t="str">
        <f t="shared" si="7"/>
        <v>NULL</v>
      </c>
      <c r="K220" t="str">
        <f>Instructions!M227</f>
        <v>Added via SMSS</v>
      </c>
      <c r="L220" t="str">
        <f t="shared" si="1"/>
        <v>NULL</v>
      </c>
    </row>
    <row r="221" spans="1:12" x14ac:dyDescent="0.25">
      <c r="A221" t="str" cm="1">
        <f t="array" ref="A221">_xlfn.CONCAT(Instructions!C228,Instructions!A228,"_",TEXT(Instructions!B228,"YYYYMMDD"),"_1_",INDEX(Table1[], MATCH(1,(Table1[Estuary]=Instructions!C228)*(Table1[StationNumber]=Instructions!D228)*(Instructions!B228&gt;Table1[StartDate])*(Instructions!B228&lt;Table1[EndDate]),0),1),"_1_",Instructions!E228,"_",Instructions!F228)</f>
        <v>TBSRVY_20190924_1_0291_1_05_020</v>
      </c>
      <c r="B221" t="str" cm="1">
        <f t="array" ref="B221">_xlfn.CONCAT(Instructions!C228,Instructions!A228,"_",TEXT(Instructions!B228,"YYYYMMDD"),"_1_",INDEX(Table1[], MATCH(1,(Table1[Estuary]=Instructions!C228)*(Table1[StationNumber]=Instructions!D228)*(Instructions!B228&gt;Table1[StartDate])*(Instructions!B228&lt;Table1[EndDate]),0),1),"_1_",Instructions!E228)</f>
        <v>TBSRVY_20190924_1_0291_1_05</v>
      </c>
      <c r="C221">
        <f>Instructions!G228</f>
        <v>23</v>
      </c>
      <c r="D221" t="str">
        <f>IF(ISBLANK(Instructions!H228),"",Instructions!H228)</f>
        <v>Entered</v>
      </c>
      <c r="E221" s="1">
        <f>IF(ISBLANK(Instructions!I228),"",Instructions!I228)</f>
        <v>45646</v>
      </c>
      <c r="F221" t="str">
        <f>IF(ISBLANK(Instructions!J228),"",Instructions!J228)</f>
        <v>Erica Williams</v>
      </c>
      <c r="G221" s="1" t="str">
        <f>IF(ISBLANK(Instructions!K228),"",Instructions!K228)</f>
        <v/>
      </c>
      <c r="H221" t="str">
        <f>IF(ISBLANK(Instructions!L228),"",Instructions!L228)</f>
        <v/>
      </c>
      <c r="I221" t="str">
        <f t="shared" si="7"/>
        <v>NULL</v>
      </c>
      <c r="J221" t="str">
        <f t="shared" si="7"/>
        <v>NULL</v>
      </c>
      <c r="K221" t="str">
        <f>Instructions!M228</f>
        <v>Added via SMSS</v>
      </c>
      <c r="L221" t="str">
        <f t="shared" si="1"/>
        <v>NULL</v>
      </c>
    </row>
    <row r="222" spans="1:12" x14ac:dyDescent="0.25">
      <c r="A222" t="str" cm="1">
        <f t="array" ref="A222">_xlfn.CONCAT(Instructions!C229,Instructions!A229,"_",TEXT(Instructions!B229,"YYYYMMDD"),"_1_",INDEX(Table1[], MATCH(1,(Table1[Estuary]=Instructions!C229)*(Table1[StationNumber]=Instructions!D229)*(Instructions!B229&gt;Table1[StartDate])*(Instructions!B229&lt;Table1[EndDate]),0),1),"_1_",Instructions!E229,"_",Instructions!F229)</f>
        <v>TBSRVY_20190924_1_0291_1_05_021</v>
      </c>
      <c r="B222" t="str" cm="1">
        <f t="array" ref="B222">_xlfn.CONCAT(Instructions!C229,Instructions!A229,"_",TEXT(Instructions!B229,"YYYYMMDD"),"_1_",INDEX(Table1[], MATCH(1,(Table1[Estuary]=Instructions!C229)*(Table1[StationNumber]=Instructions!D229)*(Instructions!B229&gt;Table1[StartDate])*(Instructions!B229&lt;Table1[EndDate]),0),1),"_1_",Instructions!E229)</f>
        <v>TBSRVY_20190924_1_0291_1_05</v>
      </c>
      <c r="C222">
        <f>Instructions!G229</f>
        <v>30</v>
      </c>
      <c r="D222" t="str">
        <f>IF(ISBLANK(Instructions!H229),"",Instructions!H229)</f>
        <v>Entered</v>
      </c>
      <c r="E222" s="1">
        <f>IF(ISBLANK(Instructions!I229),"",Instructions!I229)</f>
        <v>45646</v>
      </c>
      <c r="F222" t="str">
        <f>IF(ISBLANK(Instructions!J229),"",Instructions!J229)</f>
        <v>Erica Williams</v>
      </c>
      <c r="G222" s="1" t="str">
        <f>IF(ISBLANK(Instructions!K229),"",Instructions!K229)</f>
        <v/>
      </c>
      <c r="H222" t="str">
        <f>IF(ISBLANK(Instructions!L229),"",Instructions!L229)</f>
        <v/>
      </c>
      <c r="I222" t="str">
        <f t="shared" si="7"/>
        <v>NULL</v>
      </c>
      <c r="J222" t="str">
        <f t="shared" si="7"/>
        <v>NULL</v>
      </c>
      <c r="K222" t="str">
        <f>Instructions!M229</f>
        <v>Added via SMSS</v>
      </c>
      <c r="L222" t="str">
        <f t="shared" si="1"/>
        <v>NULL</v>
      </c>
    </row>
    <row r="223" spans="1:12" x14ac:dyDescent="0.25">
      <c r="A223" t="str" cm="1">
        <f t="array" ref="A223">_xlfn.CONCAT(Instructions!C230,Instructions!A230,"_",TEXT(Instructions!B230,"YYYYMMDD"),"_1_",INDEX(Table1[], MATCH(1,(Table1[Estuary]=Instructions!C230)*(Table1[StationNumber]=Instructions!D230)*(Instructions!B230&gt;Table1[StartDate])*(Instructions!B230&lt;Table1[EndDate]),0),1),"_1_",Instructions!E230,"_",Instructions!F230)</f>
        <v>TBSRVY_20190924_1_0291_1_05_022</v>
      </c>
      <c r="B223" t="str" cm="1">
        <f t="array" ref="B223">_xlfn.CONCAT(Instructions!C230,Instructions!A230,"_",TEXT(Instructions!B230,"YYYYMMDD"),"_1_",INDEX(Table1[], MATCH(1,(Table1[Estuary]=Instructions!C230)*(Table1[StationNumber]=Instructions!D230)*(Instructions!B230&gt;Table1[StartDate])*(Instructions!B230&lt;Table1[EndDate]),0),1),"_1_",Instructions!E230)</f>
        <v>TBSRVY_20190924_1_0291_1_05</v>
      </c>
      <c r="C223">
        <f>Instructions!G230</f>
        <v>24</v>
      </c>
      <c r="D223" t="str">
        <f>IF(ISBLANK(Instructions!H230),"",Instructions!H230)</f>
        <v>Entered</v>
      </c>
      <c r="E223" s="1">
        <f>IF(ISBLANK(Instructions!I230),"",Instructions!I230)</f>
        <v>45646</v>
      </c>
      <c r="F223" t="str">
        <f>IF(ISBLANK(Instructions!J230),"",Instructions!J230)</f>
        <v>Erica Williams</v>
      </c>
      <c r="G223" s="1" t="str">
        <f>IF(ISBLANK(Instructions!K230),"",Instructions!K230)</f>
        <v/>
      </c>
      <c r="H223" t="str">
        <f>IF(ISBLANK(Instructions!L230),"",Instructions!L230)</f>
        <v/>
      </c>
      <c r="I223" t="str">
        <f t="shared" si="7"/>
        <v>NULL</v>
      </c>
      <c r="J223" t="str">
        <f t="shared" si="7"/>
        <v>NULL</v>
      </c>
      <c r="K223" t="str">
        <f>Instructions!M230</f>
        <v>Added via SMSS</v>
      </c>
      <c r="L223" t="str">
        <f t="shared" si="1"/>
        <v>NULL</v>
      </c>
    </row>
    <row r="224" spans="1:12" x14ac:dyDescent="0.25">
      <c r="A224" t="str" cm="1">
        <f t="array" ref="A224">_xlfn.CONCAT(Instructions!C231,Instructions!A231,"_",TEXT(Instructions!B231,"YYYYMMDD"),"_1_",INDEX(Table1[], MATCH(1,(Table1[Estuary]=Instructions!C231)*(Table1[StationNumber]=Instructions!D231)*(Instructions!B231&gt;Table1[StartDate])*(Instructions!B231&lt;Table1[EndDate]),0),1),"_1_",Instructions!E231,"_",Instructions!F231)</f>
        <v>TBSRVY_20190924_1_0291_1_05_023</v>
      </c>
      <c r="B224" t="str" cm="1">
        <f t="array" ref="B224">_xlfn.CONCAT(Instructions!C231,Instructions!A231,"_",TEXT(Instructions!B231,"YYYYMMDD"),"_1_",INDEX(Table1[], MATCH(1,(Table1[Estuary]=Instructions!C231)*(Table1[StationNumber]=Instructions!D231)*(Instructions!B231&gt;Table1[StartDate])*(Instructions!B231&lt;Table1[EndDate]),0),1),"_1_",Instructions!E231)</f>
        <v>TBSRVY_20190924_1_0291_1_05</v>
      </c>
      <c r="C224">
        <f>Instructions!G231</f>
        <v>16</v>
      </c>
      <c r="D224" t="str">
        <f>IF(ISBLANK(Instructions!H231),"",Instructions!H231)</f>
        <v>Entered</v>
      </c>
      <c r="E224" s="1">
        <f>IF(ISBLANK(Instructions!I231),"",Instructions!I231)</f>
        <v>45646</v>
      </c>
      <c r="F224" t="str">
        <f>IF(ISBLANK(Instructions!J231),"",Instructions!J231)</f>
        <v>Erica Williams</v>
      </c>
      <c r="G224" s="1" t="str">
        <f>IF(ISBLANK(Instructions!K231),"",Instructions!K231)</f>
        <v/>
      </c>
      <c r="H224" t="str">
        <f>IF(ISBLANK(Instructions!L231),"",Instructions!L231)</f>
        <v/>
      </c>
      <c r="I224" t="str">
        <f t="shared" si="7"/>
        <v>NULL</v>
      </c>
      <c r="J224" t="str">
        <f t="shared" si="7"/>
        <v>NULL</v>
      </c>
      <c r="K224" t="str">
        <f>Instructions!M231</f>
        <v>Added via SMSS</v>
      </c>
      <c r="L224" t="str">
        <f t="shared" si="1"/>
        <v>NULL</v>
      </c>
    </row>
    <row r="225" spans="1:12" x14ac:dyDescent="0.25">
      <c r="A225" t="str" cm="1">
        <f t="array" ref="A225">_xlfn.CONCAT(Instructions!C232,Instructions!A232,"_",TEXT(Instructions!B232,"YYYYMMDD"),"_1_",INDEX(Table1[], MATCH(1,(Table1[Estuary]=Instructions!C232)*(Table1[StationNumber]=Instructions!D232)*(Instructions!B232&gt;Table1[StartDate])*(Instructions!B232&lt;Table1[EndDate]),0),1),"_1_",Instructions!E232,"_",Instructions!F232)</f>
        <v>TBSRVY_20190924_1_0291_1_05_024</v>
      </c>
      <c r="B225" t="str" cm="1">
        <f t="array" ref="B225">_xlfn.CONCAT(Instructions!C232,Instructions!A232,"_",TEXT(Instructions!B232,"YYYYMMDD"),"_1_",INDEX(Table1[], MATCH(1,(Table1[Estuary]=Instructions!C232)*(Table1[StationNumber]=Instructions!D232)*(Instructions!B232&gt;Table1[StartDate])*(Instructions!B232&lt;Table1[EndDate]),0),1),"_1_",Instructions!E232)</f>
        <v>TBSRVY_20190924_1_0291_1_05</v>
      </c>
      <c r="C225">
        <f>Instructions!G232</f>
        <v>13</v>
      </c>
      <c r="D225" t="str">
        <f>IF(ISBLANK(Instructions!H232),"",Instructions!H232)</f>
        <v>Entered</v>
      </c>
      <c r="E225" s="1">
        <f>IF(ISBLANK(Instructions!I232),"",Instructions!I232)</f>
        <v>45646</v>
      </c>
      <c r="F225" t="str">
        <f>IF(ISBLANK(Instructions!J232),"",Instructions!J232)</f>
        <v>Erica Williams</v>
      </c>
      <c r="G225" s="1" t="str">
        <f>IF(ISBLANK(Instructions!K232),"",Instructions!K232)</f>
        <v/>
      </c>
      <c r="H225" t="str">
        <f>IF(ISBLANK(Instructions!L232),"",Instructions!L232)</f>
        <v/>
      </c>
      <c r="I225" t="str">
        <f t="shared" si="7"/>
        <v>NULL</v>
      </c>
      <c r="J225" t="str">
        <f t="shared" si="7"/>
        <v>NULL</v>
      </c>
      <c r="K225" t="str">
        <f>Instructions!M232</f>
        <v>Added via SMSS</v>
      </c>
      <c r="L225" t="str">
        <f t="shared" si="1"/>
        <v>NULL</v>
      </c>
    </row>
    <row r="226" spans="1:12" x14ac:dyDescent="0.25">
      <c r="A226" t="str" cm="1">
        <f t="array" ref="A226">_xlfn.CONCAT(Instructions!C233,Instructions!A233,"_",TEXT(Instructions!B233,"YYYYMMDD"),"_1_",INDEX(Table1[], MATCH(1,(Table1[Estuary]=Instructions!C233)*(Table1[StationNumber]=Instructions!D233)*(Instructions!B233&gt;Table1[StartDate])*(Instructions!B233&lt;Table1[EndDate]),0),1),"_1_",Instructions!E233,"_",Instructions!F233)</f>
        <v>TBSRVY_20190924_1_0291_1_05_025</v>
      </c>
      <c r="B226" t="str" cm="1">
        <f t="array" ref="B226">_xlfn.CONCAT(Instructions!C233,Instructions!A233,"_",TEXT(Instructions!B233,"YYYYMMDD"),"_1_",INDEX(Table1[], MATCH(1,(Table1[Estuary]=Instructions!C233)*(Table1[StationNumber]=Instructions!D233)*(Instructions!B233&gt;Table1[StartDate])*(Instructions!B233&lt;Table1[EndDate]),0),1),"_1_",Instructions!E233)</f>
        <v>TBSRVY_20190924_1_0291_1_05</v>
      </c>
      <c r="C226">
        <f>Instructions!G233</f>
        <v>60</v>
      </c>
      <c r="D226" t="str">
        <f>IF(ISBLANK(Instructions!H233),"",Instructions!H233)</f>
        <v>Entered</v>
      </c>
      <c r="E226" s="1">
        <f>IF(ISBLANK(Instructions!I233),"",Instructions!I233)</f>
        <v>45646</v>
      </c>
      <c r="F226" t="str">
        <f>IF(ISBLANK(Instructions!J233),"",Instructions!J233)</f>
        <v>Erica Williams</v>
      </c>
      <c r="G226" s="1" t="str">
        <f>IF(ISBLANK(Instructions!K233),"",Instructions!K233)</f>
        <v/>
      </c>
      <c r="H226" t="str">
        <f>IF(ISBLANK(Instructions!L233),"",Instructions!L233)</f>
        <v/>
      </c>
      <c r="I226" t="str">
        <f t="shared" si="7"/>
        <v>NULL</v>
      </c>
      <c r="J226" t="str">
        <f t="shared" si="7"/>
        <v>NULL</v>
      </c>
      <c r="K226" t="str">
        <f>Instructions!M233</f>
        <v>Added via SMSS</v>
      </c>
      <c r="L226" t="str">
        <f t="shared" si="1"/>
        <v>NULL</v>
      </c>
    </row>
    <row r="227" spans="1:12" x14ac:dyDescent="0.25">
      <c r="A227" t="str" cm="1">
        <f t="array" ref="A227">_xlfn.CONCAT(Instructions!C234,Instructions!A234,"_",TEXT(Instructions!B234,"YYYYMMDD"),"_1_",INDEX(Table1[], MATCH(1,(Table1[Estuary]=Instructions!C234)*(Table1[StationNumber]=Instructions!D234)*(Instructions!B234&gt;Table1[StartDate])*(Instructions!B234&lt;Table1[EndDate]),0),1),"_1_",Instructions!E234,"_",Instructions!F234)</f>
        <v>TBSRVY_20190924_1_0291_1_05_026</v>
      </c>
      <c r="B227" t="str" cm="1">
        <f t="array" ref="B227">_xlfn.CONCAT(Instructions!C234,Instructions!A234,"_",TEXT(Instructions!B234,"YYYYMMDD"),"_1_",INDEX(Table1[], MATCH(1,(Table1[Estuary]=Instructions!C234)*(Table1[StationNumber]=Instructions!D234)*(Instructions!B234&gt;Table1[StartDate])*(Instructions!B234&lt;Table1[EndDate]),0),1),"_1_",Instructions!E234)</f>
        <v>TBSRVY_20190924_1_0291_1_05</v>
      </c>
      <c r="C227">
        <f>Instructions!G234</f>
        <v>47</v>
      </c>
      <c r="D227" t="str">
        <f>IF(ISBLANK(Instructions!H234),"",Instructions!H234)</f>
        <v>Entered</v>
      </c>
      <c r="E227" s="1">
        <f>IF(ISBLANK(Instructions!I234),"",Instructions!I234)</f>
        <v>45646</v>
      </c>
      <c r="F227" t="str">
        <f>IF(ISBLANK(Instructions!J234),"",Instructions!J234)</f>
        <v>Erica Williams</v>
      </c>
      <c r="G227" s="1" t="str">
        <f>IF(ISBLANK(Instructions!K234),"",Instructions!K234)</f>
        <v/>
      </c>
      <c r="H227" t="str">
        <f>IF(ISBLANK(Instructions!L234),"",Instructions!L234)</f>
        <v/>
      </c>
      <c r="I227" t="str">
        <f t="shared" si="7"/>
        <v>NULL</v>
      </c>
      <c r="J227" t="str">
        <f t="shared" si="7"/>
        <v>NULL</v>
      </c>
      <c r="K227" t="str">
        <f>Instructions!M234</f>
        <v>Added via SMSS</v>
      </c>
      <c r="L227" t="str">
        <f t="shared" si="1"/>
        <v>NULL</v>
      </c>
    </row>
    <row r="228" spans="1:12" x14ac:dyDescent="0.25">
      <c r="A228" t="str" cm="1">
        <f t="array" ref="A228">_xlfn.CONCAT(Instructions!C235,Instructions!A235,"_",TEXT(Instructions!B235,"YYYYMMDD"),"_1_",INDEX(Table1[], MATCH(1,(Table1[Estuary]=Instructions!C235)*(Table1[StationNumber]=Instructions!D235)*(Instructions!B235&gt;Table1[StartDate])*(Instructions!B235&lt;Table1[EndDate]),0),1),"_1_",Instructions!E235,"_",Instructions!F235)</f>
        <v>TBSRVY_20190924_1_0291_1_05_027</v>
      </c>
      <c r="B228" t="str" cm="1">
        <f t="array" ref="B228">_xlfn.CONCAT(Instructions!C235,Instructions!A235,"_",TEXT(Instructions!B235,"YYYYMMDD"),"_1_",INDEX(Table1[], MATCH(1,(Table1[Estuary]=Instructions!C235)*(Table1[StationNumber]=Instructions!D235)*(Instructions!B235&gt;Table1[StartDate])*(Instructions!B235&lt;Table1[EndDate]),0),1),"_1_",Instructions!E235)</f>
        <v>TBSRVY_20190924_1_0291_1_05</v>
      </c>
      <c r="C228">
        <f>Instructions!G235</f>
        <v>30</v>
      </c>
      <c r="D228" t="str">
        <f>IF(ISBLANK(Instructions!H235),"",Instructions!H235)</f>
        <v>Entered</v>
      </c>
      <c r="E228" s="1">
        <f>IF(ISBLANK(Instructions!I235),"",Instructions!I235)</f>
        <v>45646</v>
      </c>
      <c r="F228" t="str">
        <f>IF(ISBLANK(Instructions!J235),"",Instructions!J235)</f>
        <v>Erica Williams</v>
      </c>
      <c r="G228" s="1" t="str">
        <f>IF(ISBLANK(Instructions!K235),"",Instructions!K235)</f>
        <v/>
      </c>
      <c r="H228" t="str">
        <f>IF(ISBLANK(Instructions!L235),"",Instructions!L235)</f>
        <v/>
      </c>
      <c r="I228" t="str">
        <f t="shared" si="7"/>
        <v>NULL</v>
      </c>
      <c r="J228" t="str">
        <f t="shared" si="7"/>
        <v>NULL</v>
      </c>
      <c r="K228" t="str">
        <f>Instructions!M235</f>
        <v>Added via SMSS</v>
      </c>
      <c r="L228" t="str">
        <f t="shared" si="1"/>
        <v>NULL</v>
      </c>
    </row>
    <row r="229" spans="1:12" x14ac:dyDescent="0.25">
      <c r="A229" t="str" cm="1">
        <f t="array" ref="A229">_xlfn.CONCAT(Instructions!C236,Instructions!A236,"_",TEXT(Instructions!B236,"YYYYMMDD"),"_1_",INDEX(Table1[], MATCH(1,(Table1[Estuary]=Instructions!C236)*(Table1[StationNumber]=Instructions!D236)*(Instructions!B236&gt;Table1[StartDate])*(Instructions!B236&lt;Table1[EndDate]),0),1),"_1_",Instructions!E236,"_",Instructions!F236)</f>
        <v>TBSRVY_20190924_1_0291_1_05_028</v>
      </c>
      <c r="B229" t="str" cm="1">
        <f t="array" ref="B229">_xlfn.CONCAT(Instructions!C236,Instructions!A236,"_",TEXT(Instructions!B236,"YYYYMMDD"),"_1_",INDEX(Table1[], MATCH(1,(Table1[Estuary]=Instructions!C236)*(Table1[StationNumber]=Instructions!D236)*(Instructions!B236&gt;Table1[StartDate])*(Instructions!B236&lt;Table1[EndDate]),0),1),"_1_",Instructions!E236)</f>
        <v>TBSRVY_20190924_1_0291_1_05</v>
      </c>
      <c r="C229">
        <f>Instructions!G236</f>
        <v>18</v>
      </c>
      <c r="D229" t="str">
        <f>IF(ISBLANK(Instructions!H236),"",Instructions!H236)</f>
        <v>Entered</v>
      </c>
      <c r="E229" s="1">
        <f>IF(ISBLANK(Instructions!I236),"",Instructions!I236)</f>
        <v>45646</v>
      </c>
      <c r="F229" t="str">
        <f>IF(ISBLANK(Instructions!J236),"",Instructions!J236)</f>
        <v>Erica Williams</v>
      </c>
      <c r="G229" s="1" t="str">
        <f>IF(ISBLANK(Instructions!K236),"",Instructions!K236)</f>
        <v/>
      </c>
      <c r="H229" t="str">
        <f>IF(ISBLANK(Instructions!L236),"",Instructions!L236)</f>
        <v/>
      </c>
      <c r="I229" t="str">
        <f t="shared" si="7"/>
        <v>NULL</v>
      </c>
      <c r="J229" t="str">
        <f t="shared" si="7"/>
        <v>NULL</v>
      </c>
      <c r="K229" t="str">
        <f>Instructions!M236</f>
        <v>Added via SMSS</v>
      </c>
      <c r="L229" t="str">
        <f t="shared" si="1"/>
        <v>NULL</v>
      </c>
    </row>
    <row r="230" spans="1:12" x14ac:dyDescent="0.25">
      <c r="A230" t="str" cm="1">
        <f t="array" ref="A230">_xlfn.CONCAT(Instructions!C237,Instructions!A237,"_",TEXT(Instructions!B237,"YYYYMMDD"),"_1_",INDEX(Table1[], MATCH(1,(Table1[Estuary]=Instructions!C237)*(Table1[StationNumber]=Instructions!D237)*(Instructions!B237&gt;Table1[StartDate])*(Instructions!B237&lt;Table1[EndDate]),0),1),"_1_",Instructions!E237,"_",Instructions!F237)</f>
        <v>TBSRVY_20190924_1_0291_1_05_029</v>
      </c>
      <c r="B230" t="str" cm="1">
        <f t="array" ref="B230">_xlfn.CONCAT(Instructions!C237,Instructions!A237,"_",TEXT(Instructions!B237,"YYYYMMDD"),"_1_",INDEX(Table1[], MATCH(1,(Table1[Estuary]=Instructions!C237)*(Table1[StationNumber]=Instructions!D237)*(Instructions!B237&gt;Table1[StartDate])*(Instructions!B237&lt;Table1[EndDate]),0),1),"_1_",Instructions!E237)</f>
        <v>TBSRVY_20190924_1_0291_1_05</v>
      </c>
      <c r="C230">
        <f>Instructions!G237</f>
        <v>16</v>
      </c>
      <c r="D230" t="str">
        <f>IF(ISBLANK(Instructions!H237),"",Instructions!H237)</f>
        <v>Entered</v>
      </c>
      <c r="E230" s="1">
        <f>IF(ISBLANK(Instructions!I237),"",Instructions!I237)</f>
        <v>45646</v>
      </c>
      <c r="F230" t="str">
        <f>IF(ISBLANK(Instructions!J237),"",Instructions!J237)</f>
        <v>Erica Williams</v>
      </c>
      <c r="G230" s="1" t="str">
        <f>IF(ISBLANK(Instructions!K237),"",Instructions!K237)</f>
        <v/>
      </c>
      <c r="H230" t="str">
        <f>IF(ISBLANK(Instructions!L237),"",Instructions!L237)</f>
        <v/>
      </c>
      <c r="I230" t="str">
        <f t="shared" si="7"/>
        <v>NULL</v>
      </c>
      <c r="J230" t="str">
        <f t="shared" si="7"/>
        <v>NULL</v>
      </c>
      <c r="K230" t="str">
        <f>Instructions!M237</f>
        <v>Added via SMSS</v>
      </c>
      <c r="L230" t="str">
        <f t="shared" si="1"/>
        <v>NULL</v>
      </c>
    </row>
    <row r="231" spans="1:12" x14ac:dyDescent="0.25">
      <c r="A231" t="str" cm="1">
        <f t="array" ref="A231">_xlfn.CONCAT(Instructions!C238,Instructions!A238,"_",TEXT(Instructions!B238,"YYYYMMDD"),"_1_",INDEX(Table1[], MATCH(1,(Table1[Estuary]=Instructions!C238)*(Table1[StationNumber]=Instructions!D238)*(Instructions!B238&gt;Table1[StartDate])*(Instructions!B238&lt;Table1[EndDate]),0),1),"_1_",Instructions!E238,"_",Instructions!F238)</f>
        <v>TBSRVY_20190924_1_0291_1_05_030</v>
      </c>
      <c r="B231" t="str" cm="1">
        <f t="array" ref="B231">_xlfn.CONCAT(Instructions!C238,Instructions!A238,"_",TEXT(Instructions!B238,"YYYYMMDD"),"_1_",INDEX(Table1[], MATCH(1,(Table1[Estuary]=Instructions!C238)*(Table1[StationNumber]=Instructions!D238)*(Instructions!B238&gt;Table1[StartDate])*(Instructions!B238&lt;Table1[EndDate]),0),1),"_1_",Instructions!E238)</f>
        <v>TBSRVY_20190924_1_0291_1_05</v>
      </c>
      <c r="C231">
        <f>Instructions!G238</f>
        <v>30</v>
      </c>
      <c r="D231" t="str">
        <f>IF(ISBLANK(Instructions!H238),"",Instructions!H238)</f>
        <v>Entered</v>
      </c>
      <c r="E231" s="1">
        <f>IF(ISBLANK(Instructions!I238),"",Instructions!I238)</f>
        <v>45646</v>
      </c>
      <c r="F231" t="str">
        <f>IF(ISBLANK(Instructions!J238),"",Instructions!J238)</f>
        <v>Erica Williams</v>
      </c>
      <c r="G231" s="1" t="str">
        <f>IF(ISBLANK(Instructions!K238),"",Instructions!K238)</f>
        <v/>
      </c>
      <c r="H231" t="str">
        <f>IF(ISBLANK(Instructions!L238),"",Instructions!L238)</f>
        <v/>
      </c>
      <c r="I231" t="str">
        <f t="shared" si="7"/>
        <v>NULL</v>
      </c>
      <c r="J231" t="str">
        <f t="shared" si="7"/>
        <v>NULL</v>
      </c>
      <c r="K231" t="str">
        <f>Instructions!M238</f>
        <v>Added via SMSS</v>
      </c>
      <c r="L231" t="str">
        <f t="shared" si="1"/>
        <v>NULL</v>
      </c>
    </row>
    <row r="232" spans="1:12" x14ac:dyDescent="0.25">
      <c r="A232" t="str" cm="1">
        <f t="array" ref="A232">_xlfn.CONCAT(Instructions!C239,Instructions!A239,"_",TEXT(Instructions!B239,"YYYYMMDD"),"_1_",INDEX(Table1[], MATCH(1,(Table1[Estuary]=Instructions!C239)*(Table1[StationNumber]=Instructions!D239)*(Instructions!B239&gt;Table1[StartDate])*(Instructions!B239&lt;Table1[EndDate]),0),1),"_1_",Instructions!E239,"_",Instructions!F239)</f>
        <v>TBSRVY_20190924_1_0291_1_05_031</v>
      </c>
      <c r="B232" t="str" cm="1">
        <f t="array" ref="B232">_xlfn.CONCAT(Instructions!C239,Instructions!A239,"_",TEXT(Instructions!B239,"YYYYMMDD"),"_1_",INDEX(Table1[], MATCH(1,(Table1[Estuary]=Instructions!C239)*(Table1[StationNumber]=Instructions!D239)*(Instructions!B239&gt;Table1[StartDate])*(Instructions!B239&lt;Table1[EndDate]),0),1),"_1_",Instructions!E239)</f>
        <v>TBSRVY_20190924_1_0291_1_05</v>
      </c>
      <c r="C232">
        <f>Instructions!G239</f>
        <v>82</v>
      </c>
      <c r="D232" t="str">
        <f>IF(ISBLANK(Instructions!H239),"",Instructions!H239)</f>
        <v>Entered</v>
      </c>
      <c r="E232" s="1">
        <f>IF(ISBLANK(Instructions!I239),"",Instructions!I239)</f>
        <v>45646</v>
      </c>
      <c r="F232" t="str">
        <f>IF(ISBLANK(Instructions!J239),"",Instructions!J239)</f>
        <v>Erica Williams</v>
      </c>
      <c r="G232" s="1" t="str">
        <f>IF(ISBLANK(Instructions!K239),"",Instructions!K239)</f>
        <v/>
      </c>
      <c r="H232" t="str">
        <f>IF(ISBLANK(Instructions!L239),"",Instructions!L239)</f>
        <v/>
      </c>
      <c r="I232" t="str">
        <f t="shared" si="7"/>
        <v>NULL</v>
      </c>
      <c r="J232" t="str">
        <f t="shared" si="7"/>
        <v>NULL</v>
      </c>
      <c r="K232" t="str">
        <f>Instructions!M239</f>
        <v>Added via SMSS</v>
      </c>
      <c r="L232" t="str">
        <f t="shared" si="1"/>
        <v>NULL</v>
      </c>
    </row>
    <row r="233" spans="1:12" x14ac:dyDescent="0.25">
      <c r="A233" t="str" cm="1">
        <f t="array" ref="A233">_xlfn.CONCAT(Instructions!C240,Instructions!A240,"_",TEXT(Instructions!B240,"YYYYMMDD"),"_1_",INDEX(Table1[], MATCH(1,(Table1[Estuary]=Instructions!C240)*(Table1[StationNumber]=Instructions!D240)*(Instructions!B240&gt;Table1[StartDate])*(Instructions!B240&lt;Table1[EndDate]),0),1),"_1_",Instructions!E240,"_",Instructions!F240)</f>
        <v>TBSRVY_20190924_1_0291_1_05_032</v>
      </c>
      <c r="B233" t="str" cm="1">
        <f t="array" ref="B233">_xlfn.CONCAT(Instructions!C240,Instructions!A240,"_",TEXT(Instructions!B240,"YYYYMMDD"),"_1_",INDEX(Table1[], MATCH(1,(Table1[Estuary]=Instructions!C240)*(Table1[StationNumber]=Instructions!D240)*(Instructions!B240&gt;Table1[StartDate])*(Instructions!B240&lt;Table1[EndDate]),0),1),"_1_",Instructions!E240)</f>
        <v>TBSRVY_20190924_1_0291_1_05</v>
      </c>
      <c r="C233">
        <f>Instructions!G240</f>
        <v>45</v>
      </c>
      <c r="D233" t="str">
        <f>IF(ISBLANK(Instructions!H240),"",Instructions!H240)</f>
        <v>Entered</v>
      </c>
      <c r="E233" s="1">
        <f>IF(ISBLANK(Instructions!I240),"",Instructions!I240)</f>
        <v>45646</v>
      </c>
      <c r="F233" t="str">
        <f>IF(ISBLANK(Instructions!J240),"",Instructions!J240)</f>
        <v>Erica Williams</v>
      </c>
      <c r="G233" s="1" t="str">
        <f>IF(ISBLANK(Instructions!K240),"",Instructions!K240)</f>
        <v/>
      </c>
      <c r="H233" t="str">
        <f>IF(ISBLANK(Instructions!L240),"",Instructions!L240)</f>
        <v/>
      </c>
      <c r="I233" t="str">
        <f t="shared" si="7"/>
        <v>NULL</v>
      </c>
      <c r="J233" t="str">
        <f t="shared" si="7"/>
        <v>NULL</v>
      </c>
      <c r="K233" t="str">
        <f>Instructions!M240</f>
        <v>Added via SMSS</v>
      </c>
      <c r="L233" t="str">
        <f t="shared" si="1"/>
        <v>NULL</v>
      </c>
    </row>
    <row r="234" spans="1:12" x14ac:dyDescent="0.25">
      <c r="A234" t="str" cm="1">
        <f t="array" ref="A234">_xlfn.CONCAT(Instructions!C241,Instructions!A241,"_",TEXT(Instructions!B241,"YYYYMMDD"),"_1_",INDEX(Table1[], MATCH(1,(Table1[Estuary]=Instructions!C241)*(Table1[StationNumber]=Instructions!D241)*(Instructions!B241&gt;Table1[StartDate])*(Instructions!B241&lt;Table1[EndDate]),0),1),"_1_",Instructions!E241,"_",Instructions!F241)</f>
        <v>TBSRVY_20190924_1_0291_1_05_033</v>
      </c>
      <c r="B234" t="str" cm="1">
        <f t="array" ref="B234">_xlfn.CONCAT(Instructions!C241,Instructions!A241,"_",TEXT(Instructions!B241,"YYYYMMDD"),"_1_",INDEX(Table1[], MATCH(1,(Table1[Estuary]=Instructions!C241)*(Table1[StationNumber]=Instructions!D241)*(Instructions!B241&gt;Table1[StartDate])*(Instructions!B241&lt;Table1[EndDate]),0),1),"_1_",Instructions!E241)</f>
        <v>TBSRVY_20190924_1_0291_1_05</v>
      </c>
      <c r="C234">
        <f>Instructions!G241</f>
        <v>12</v>
      </c>
      <c r="D234" t="str">
        <f>IF(ISBLANK(Instructions!H241),"",Instructions!H241)</f>
        <v>Entered</v>
      </c>
      <c r="E234" s="1">
        <f>IF(ISBLANK(Instructions!I241),"",Instructions!I241)</f>
        <v>45646</v>
      </c>
      <c r="F234" t="str">
        <f>IF(ISBLANK(Instructions!J241),"",Instructions!J241)</f>
        <v>Erica Williams</v>
      </c>
      <c r="G234" s="1" t="str">
        <f>IF(ISBLANK(Instructions!K241),"",Instructions!K241)</f>
        <v/>
      </c>
      <c r="H234" t="str">
        <f>IF(ISBLANK(Instructions!L241),"",Instructions!L241)</f>
        <v/>
      </c>
      <c r="I234" t="str">
        <f t="shared" si="7"/>
        <v>NULL</v>
      </c>
      <c r="J234" t="str">
        <f t="shared" si="7"/>
        <v>NULL</v>
      </c>
      <c r="K234" t="str">
        <f>Instructions!M241</f>
        <v>Added via SMSS</v>
      </c>
      <c r="L234" t="str">
        <f t="shared" si="1"/>
        <v>NULL</v>
      </c>
    </row>
    <row r="235" spans="1:12" x14ac:dyDescent="0.25">
      <c r="A235" t="str" cm="1">
        <f t="array" ref="A235">_xlfn.CONCAT(Instructions!C242,Instructions!A242,"_",TEXT(Instructions!B242,"YYYYMMDD"),"_1_",INDEX(Table1[], MATCH(1,(Table1[Estuary]=Instructions!C242)*(Table1[StationNumber]=Instructions!D242)*(Instructions!B242&gt;Table1[StartDate])*(Instructions!B242&lt;Table1[EndDate]),0),1),"_1_",Instructions!E242,"_",Instructions!F242)</f>
        <v>TBSRVY_20190924_1_0291_1_05_034</v>
      </c>
      <c r="B235" t="str" cm="1">
        <f t="array" ref="B235">_xlfn.CONCAT(Instructions!C242,Instructions!A242,"_",TEXT(Instructions!B242,"YYYYMMDD"),"_1_",INDEX(Table1[], MATCH(1,(Table1[Estuary]=Instructions!C242)*(Table1[StationNumber]=Instructions!D242)*(Instructions!B242&gt;Table1[StartDate])*(Instructions!B242&lt;Table1[EndDate]),0),1),"_1_",Instructions!E242)</f>
        <v>TBSRVY_20190924_1_0291_1_05</v>
      </c>
      <c r="C235">
        <f>Instructions!G242</f>
        <v>36</v>
      </c>
      <c r="D235" t="str">
        <f>IF(ISBLANK(Instructions!H242),"",Instructions!H242)</f>
        <v>Entered</v>
      </c>
      <c r="E235" s="1">
        <f>IF(ISBLANK(Instructions!I242),"",Instructions!I242)</f>
        <v>45646</v>
      </c>
      <c r="F235" t="str">
        <f>IF(ISBLANK(Instructions!J242),"",Instructions!J242)</f>
        <v>Erica Williams</v>
      </c>
      <c r="G235" s="1" t="str">
        <f>IF(ISBLANK(Instructions!K242),"",Instructions!K242)</f>
        <v/>
      </c>
      <c r="H235" t="str">
        <f>IF(ISBLANK(Instructions!L242),"",Instructions!L242)</f>
        <v/>
      </c>
      <c r="I235" t="str">
        <f t="shared" si="7"/>
        <v>NULL</v>
      </c>
      <c r="J235" t="str">
        <f t="shared" si="7"/>
        <v>NULL</v>
      </c>
      <c r="K235" t="str">
        <f>Instructions!M242</f>
        <v>Added via SMSS</v>
      </c>
      <c r="L235" t="str">
        <f t="shared" si="1"/>
        <v>NULL</v>
      </c>
    </row>
    <row r="236" spans="1:12" x14ac:dyDescent="0.25">
      <c r="A236" t="str" cm="1">
        <f t="array" ref="A236">_xlfn.CONCAT(Instructions!C243,Instructions!A243,"_",TEXT(Instructions!B243,"YYYYMMDD"),"_1_",INDEX(Table1[], MATCH(1,(Table1[Estuary]=Instructions!C243)*(Table1[StationNumber]=Instructions!D243)*(Instructions!B243&gt;Table1[StartDate])*(Instructions!B243&lt;Table1[EndDate]),0),1),"_1_",Instructions!E243,"_",Instructions!F243)</f>
        <v>TBSRVY_20190924_1_0291_1_05_035</v>
      </c>
      <c r="B236" t="str" cm="1">
        <f t="array" ref="B236">_xlfn.CONCAT(Instructions!C243,Instructions!A243,"_",TEXT(Instructions!B243,"YYYYMMDD"),"_1_",INDEX(Table1[], MATCH(1,(Table1[Estuary]=Instructions!C243)*(Table1[StationNumber]=Instructions!D243)*(Instructions!B243&gt;Table1[StartDate])*(Instructions!B243&lt;Table1[EndDate]),0),1),"_1_",Instructions!E243)</f>
        <v>TBSRVY_20190924_1_0291_1_05</v>
      </c>
      <c r="C236">
        <f>Instructions!G243</f>
        <v>15</v>
      </c>
      <c r="D236" t="str">
        <f>IF(ISBLANK(Instructions!H243),"",Instructions!H243)</f>
        <v>Entered</v>
      </c>
      <c r="E236" s="1">
        <f>IF(ISBLANK(Instructions!I243),"",Instructions!I243)</f>
        <v>45646</v>
      </c>
      <c r="F236" t="str">
        <f>IF(ISBLANK(Instructions!J243),"",Instructions!J243)</f>
        <v>Erica Williams</v>
      </c>
      <c r="G236" s="1" t="str">
        <f>IF(ISBLANK(Instructions!K243),"",Instructions!K243)</f>
        <v/>
      </c>
      <c r="H236" t="str">
        <f>IF(ISBLANK(Instructions!L243),"",Instructions!L243)</f>
        <v/>
      </c>
      <c r="I236" t="str">
        <f t="shared" si="7"/>
        <v>NULL</v>
      </c>
      <c r="J236" t="str">
        <f t="shared" si="7"/>
        <v>NULL</v>
      </c>
      <c r="K236" t="str">
        <f>Instructions!M243</f>
        <v>Added via SMSS</v>
      </c>
      <c r="L236" t="str">
        <f t="shared" si="1"/>
        <v>NULL</v>
      </c>
    </row>
    <row r="237" spans="1:12" x14ac:dyDescent="0.25">
      <c r="A237" t="str" cm="1">
        <f t="array" ref="A237">_xlfn.CONCAT(Instructions!C244,Instructions!A244,"_",TEXT(Instructions!B244,"YYYYMMDD"),"_1_",INDEX(Table1[], MATCH(1,(Table1[Estuary]=Instructions!C244)*(Table1[StationNumber]=Instructions!D244)*(Instructions!B244&gt;Table1[StartDate])*(Instructions!B244&lt;Table1[EndDate]),0),1),"_1_",Instructions!E244,"_",Instructions!F244)</f>
        <v>TBSRVY_20190924_1_0291_1_05_036</v>
      </c>
      <c r="B237" t="str" cm="1">
        <f t="array" ref="B237">_xlfn.CONCAT(Instructions!C244,Instructions!A244,"_",TEXT(Instructions!B244,"YYYYMMDD"),"_1_",INDEX(Table1[], MATCH(1,(Table1[Estuary]=Instructions!C244)*(Table1[StationNumber]=Instructions!D244)*(Instructions!B244&gt;Table1[StartDate])*(Instructions!B244&lt;Table1[EndDate]),0),1),"_1_",Instructions!E244)</f>
        <v>TBSRVY_20190924_1_0291_1_05</v>
      </c>
      <c r="C237">
        <f>Instructions!G244</f>
        <v>11</v>
      </c>
      <c r="D237" t="str">
        <f>IF(ISBLANK(Instructions!H244),"",Instructions!H244)</f>
        <v>Entered</v>
      </c>
      <c r="E237" s="1">
        <f>IF(ISBLANK(Instructions!I244),"",Instructions!I244)</f>
        <v>45646</v>
      </c>
      <c r="F237" t="str">
        <f>IF(ISBLANK(Instructions!J244),"",Instructions!J244)</f>
        <v>Erica Williams</v>
      </c>
      <c r="G237" s="1" t="str">
        <f>IF(ISBLANK(Instructions!K244),"",Instructions!K244)</f>
        <v/>
      </c>
      <c r="H237" t="str">
        <f>IF(ISBLANK(Instructions!L244),"",Instructions!L244)</f>
        <v/>
      </c>
      <c r="I237" t="str">
        <f t="shared" si="7"/>
        <v>NULL</v>
      </c>
      <c r="J237" t="str">
        <f t="shared" si="7"/>
        <v>NULL</v>
      </c>
      <c r="K237" t="str">
        <f>Instructions!M244</f>
        <v>Added via SMSS</v>
      </c>
      <c r="L237" t="str">
        <f t="shared" si="1"/>
        <v>NULL</v>
      </c>
    </row>
    <row r="238" spans="1:12" x14ac:dyDescent="0.25">
      <c r="A238" t="str" cm="1">
        <f t="array" ref="A238">_xlfn.CONCAT(Instructions!C245,Instructions!A245,"_",TEXT(Instructions!B245,"YYYYMMDD"),"_1_",INDEX(Table1[], MATCH(1,(Table1[Estuary]=Instructions!C245)*(Table1[StationNumber]=Instructions!D245)*(Instructions!B245&gt;Table1[StartDate])*(Instructions!B245&lt;Table1[EndDate]),0),1),"_1_",Instructions!E245,"_",Instructions!F245)</f>
        <v>TBSRVY_20190924_1_0291_1_05_037</v>
      </c>
      <c r="B238" t="str" cm="1">
        <f t="array" ref="B238">_xlfn.CONCAT(Instructions!C245,Instructions!A245,"_",TEXT(Instructions!B245,"YYYYMMDD"),"_1_",INDEX(Table1[], MATCH(1,(Table1[Estuary]=Instructions!C245)*(Table1[StationNumber]=Instructions!D245)*(Instructions!B245&gt;Table1[StartDate])*(Instructions!B245&lt;Table1[EndDate]),0),1),"_1_",Instructions!E245)</f>
        <v>TBSRVY_20190924_1_0291_1_05</v>
      </c>
      <c r="C238">
        <f>Instructions!G245</f>
        <v>22</v>
      </c>
      <c r="D238" t="str">
        <f>IF(ISBLANK(Instructions!H245),"",Instructions!H245)</f>
        <v>Entered</v>
      </c>
      <c r="E238" s="1">
        <f>IF(ISBLANK(Instructions!I245),"",Instructions!I245)</f>
        <v>45646</v>
      </c>
      <c r="F238" t="str">
        <f>IF(ISBLANK(Instructions!J245),"",Instructions!J245)</f>
        <v>Erica Williams</v>
      </c>
      <c r="G238" s="1" t="str">
        <f>IF(ISBLANK(Instructions!K245),"",Instructions!K245)</f>
        <v/>
      </c>
      <c r="H238" t="str">
        <f>IF(ISBLANK(Instructions!L245),"",Instructions!L245)</f>
        <v/>
      </c>
      <c r="I238" t="str">
        <f t="shared" si="7"/>
        <v>NULL</v>
      </c>
      <c r="J238" t="str">
        <f t="shared" si="7"/>
        <v>NULL</v>
      </c>
      <c r="K238" t="str">
        <f>Instructions!M245</f>
        <v>Added via SMSS</v>
      </c>
      <c r="L238" t="str">
        <f t="shared" si="1"/>
        <v>NULL</v>
      </c>
    </row>
    <row r="239" spans="1:12" x14ac:dyDescent="0.25">
      <c r="A239" t="str" cm="1">
        <f t="array" ref="A239">_xlfn.CONCAT(Instructions!C246,Instructions!A246,"_",TEXT(Instructions!B246,"YYYYMMDD"),"_1_",INDEX(Table1[], MATCH(1,(Table1[Estuary]=Instructions!C246)*(Table1[StationNumber]=Instructions!D246)*(Instructions!B246&gt;Table1[StartDate])*(Instructions!B246&lt;Table1[EndDate]),0),1),"_1_",Instructions!E246,"_",Instructions!F246)</f>
        <v>TBSRVY_20190924_1_0291_1_05_038</v>
      </c>
      <c r="B239" t="str" cm="1">
        <f t="array" ref="B239">_xlfn.CONCAT(Instructions!C246,Instructions!A246,"_",TEXT(Instructions!B246,"YYYYMMDD"),"_1_",INDEX(Table1[], MATCH(1,(Table1[Estuary]=Instructions!C246)*(Table1[StationNumber]=Instructions!D246)*(Instructions!B246&gt;Table1[StartDate])*(Instructions!B246&lt;Table1[EndDate]),0),1),"_1_",Instructions!E246)</f>
        <v>TBSRVY_20190924_1_0291_1_05</v>
      </c>
      <c r="C239">
        <f>Instructions!G246</f>
        <v>12</v>
      </c>
      <c r="D239" t="str">
        <f>IF(ISBLANK(Instructions!H246),"",Instructions!H246)</f>
        <v>Entered</v>
      </c>
      <c r="E239" s="1">
        <f>IF(ISBLANK(Instructions!I246),"",Instructions!I246)</f>
        <v>45646</v>
      </c>
      <c r="F239" t="str">
        <f>IF(ISBLANK(Instructions!J246),"",Instructions!J246)</f>
        <v>Erica Williams</v>
      </c>
      <c r="G239" s="1" t="str">
        <f>IF(ISBLANK(Instructions!K246),"",Instructions!K246)</f>
        <v/>
      </c>
      <c r="H239" t="str">
        <f>IF(ISBLANK(Instructions!L246),"",Instructions!L246)</f>
        <v/>
      </c>
      <c r="I239" t="str">
        <f t="shared" si="7"/>
        <v>NULL</v>
      </c>
      <c r="J239" t="str">
        <f t="shared" si="7"/>
        <v>NULL</v>
      </c>
      <c r="K239" t="str">
        <f>Instructions!M246</f>
        <v>Added via SMSS</v>
      </c>
      <c r="L239" t="str">
        <f t="shared" si="1"/>
        <v>NULL</v>
      </c>
    </row>
    <row r="240" spans="1:12" x14ac:dyDescent="0.25">
      <c r="A240" t="str" cm="1">
        <f t="array" ref="A240">_xlfn.CONCAT(Instructions!C247,Instructions!A247,"_",TEXT(Instructions!B247,"YYYYMMDD"),"_1_",INDEX(Table1[], MATCH(1,(Table1[Estuary]=Instructions!C247)*(Table1[StationNumber]=Instructions!D247)*(Instructions!B247&gt;Table1[StartDate])*(Instructions!B247&lt;Table1[EndDate]),0),1),"_1_",Instructions!E247,"_",Instructions!F247)</f>
        <v>TBSRVY_20190924_1_0291_1_05_039</v>
      </c>
      <c r="B240" t="str" cm="1">
        <f t="array" ref="B240">_xlfn.CONCAT(Instructions!C247,Instructions!A247,"_",TEXT(Instructions!B247,"YYYYMMDD"),"_1_",INDEX(Table1[], MATCH(1,(Table1[Estuary]=Instructions!C247)*(Table1[StationNumber]=Instructions!D247)*(Instructions!B247&gt;Table1[StartDate])*(Instructions!B247&lt;Table1[EndDate]),0),1),"_1_",Instructions!E247)</f>
        <v>TBSRVY_20190924_1_0291_1_05</v>
      </c>
      <c r="C240">
        <f>Instructions!G247</f>
        <v>42</v>
      </c>
      <c r="D240" t="str">
        <f>IF(ISBLANK(Instructions!H247),"",Instructions!H247)</f>
        <v>Entered</v>
      </c>
      <c r="E240" s="1">
        <f>IF(ISBLANK(Instructions!I247),"",Instructions!I247)</f>
        <v>45646</v>
      </c>
      <c r="F240" t="str">
        <f>IF(ISBLANK(Instructions!J247),"",Instructions!J247)</f>
        <v>Erica Williams</v>
      </c>
      <c r="G240" s="1" t="str">
        <f>IF(ISBLANK(Instructions!K247),"",Instructions!K247)</f>
        <v/>
      </c>
      <c r="H240" t="str">
        <f>IF(ISBLANK(Instructions!L247),"",Instructions!L247)</f>
        <v/>
      </c>
      <c r="I240" t="str">
        <f t="shared" si="7"/>
        <v>NULL</v>
      </c>
      <c r="J240" t="str">
        <f t="shared" si="7"/>
        <v>NULL</v>
      </c>
      <c r="K240" t="str">
        <f>Instructions!M247</f>
        <v>Added via SMSS</v>
      </c>
      <c r="L240" t="str">
        <f t="shared" si="1"/>
        <v>NULL</v>
      </c>
    </row>
    <row r="241" spans="1:12" x14ac:dyDescent="0.25">
      <c r="A241" t="str" cm="1">
        <f t="array" ref="A241">_xlfn.CONCAT(Instructions!C248,Instructions!A248,"_",TEXT(Instructions!B248,"YYYYMMDD"),"_1_",INDEX(Table1[], MATCH(1,(Table1[Estuary]=Instructions!C248)*(Table1[StationNumber]=Instructions!D248)*(Instructions!B248&gt;Table1[StartDate])*(Instructions!B248&lt;Table1[EndDate]),0),1),"_1_",Instructions!E248,"_",Instructions!F248)</f>
        <v>TBSRVY_20190924_1_0291_1_05_040</v>
      </c>
      <c r="B241" t="str" cm="1">
        <f t="array" ref="B241">_xlfn.CONCAT(Instructions!C248,Instructions!A248,"_",TEXT(Instructions!B248,"YYYYMMDD"),"_1_",INDEX(Table1[], MATCH(1,(Table1[Estuary]=Instructions!C248)*(Table1[StationNumber]=Instructions!D248)*(Instructions!B248&gt;Table1[StartDate])*(Instructions!B248&lt;Table1[EndDate]),0),1),"_1_",Instructions!E248)</f>
        <v>TBSRVY_20190924_1_0291_1_05</v>
      </c>
      <c r="C241">
        <f>Instructions!G248</f>
        <v>36</v>
      </c>
      <c r="D241" t="str">
        <f>IF(ISBLANK(Instructions!H248),"",Instructions!H248)</f>
        <v>Entered</v>
      </c>
      <c r="E241" s="1">
        <f>IF(ISBLANK(Instructions!I248),"",Instructions!I248)</f>
        <v>45646</v>
      </c>
      <c r="F241" t="str">
        <f>IF(ISBLANK(Instructions!J248),"",Instructions!J248)</f>
        <v>Erica Williams</v>
      </c>
      <c r="G241" s="1" t="str">
        <f>IF(ISBLANK(Instructions!K248),"",Instructions!K248)</f>
        <v/>
      </c>
      <c r="H241" t="str">
        <f>IF(ISBLANK(Instructions!L248),"",Instructions!L248)</f>
        <v/>
      </c>
      <c r="I241" t="str">
        <f t="shared" si="7"/>
        <v>NULL</v>
      </c>
      <c r="J241" t="str">
        <f t="shared" si="7"/>
        <v>NULL</v>
      </c>
      <c r="K241" t="str">
        <f>Instructions!M248</f>
        <v>Added via SMSS</v>
      </c>
      <c r="L241" t="str">
        <f t="shared" si="1"/>
        <v>NULL</v>
      </c>
    </row>
    <row r="242" spans="1:12" x14ac:dyDescent="0.25">
      <c r="A242" t="str" cm="1">
        <f t="array" ref="A242">_xlfn.CONCAT(Instructions!C249,Instructions!A249,"_",TEXT(Instructions!B249,"YYYYMMDD"),"_1_",INDEX(Table1[], MATCH(1,(Table1[Estuary]=Instructions!C249)*(Table1[StationNumber]=Instructions!D249)*(Instructions!B249&gt;Table1[StartDate])*(Instructions!B249&lt;Table1[EndDate]),0),1),"_1_",Instructions!E249,"_",Instructions!F249)</f>
        <v>TBSRVY_20190924_1_0291_1_05_041</v>
      </c>
      <c r="B242" t="str" cm="1">
        <f t="array" ref="B242">_xlfn.CONCAT(Instructions!C249,Instructions!A249,"_",TEXT(Instructions!B249,"YYYYMMDD"),"_1_",INDEX(Table1[], MATCH(1,(Table1[Estuary]=Instructions!C249)*(Table1[StationNumber]=Instructions!D249)*(Instructions!B249&gt;Table1[StartDate])*(Instructions!B249&lt;Table1[EndDate]),0),1),"_1_",Instructions!E249)</f>
        <v>TBSRVY_20190924_1_0291_1_05</v>
      </c>
      <c r="C242">
        <f>Instructions!G249</f>
        <v>23</v>
      </c>
      <c r="D242" t="str">
        <f>IF(ISBLANK(Instructions!H249),"",Instructions!H249)</f>
        <v>Entered</v>
      </c>
      <c r="E242" s="1">
        <f>IF(ISBLANK(Instructions!I249),"",Instructions!I249)</f>
        <v>45646</v>
      </c>
      <c r="F242" t="str">
        <f>IF(ISBLANK(Instructions!J249),"",Instructions!J249)</f>
        <v>Erica Williams</v>
      </c>
      <c r="G242" s="1" t="str">
        <f>IF(ISBLANK(Instructions!K249),"",Instructions!K249)</f>
        <v/>
      </c>
      <c r="H242" t="str">
        <f>IF(ISBLANK(Instructions!L249),"",Instructions!L249)</f>
        <v/>
      </c>
      <c r="I242" t="str">
        <f t="shared" si="7"/>
        <v>NULL</v>
      </c>
      <c r="J242" t="str">
        <f t="shared" si="7"/>
        <v>NULL</v>
      </c>
      <c r="K242" t="str">
        <f>Instructions!M249</f>
        <v>Added via SMSS</v>
      </c>
      <c r="L242" t="str">
        <f t="shared" si="1"/>
        <v>NULL</v>
      </c>
    </row>
    <row r="243" spans="1:12" x14ac:dyDescent="0.25">
      <c r="A243" t="str" cm="1">
        <f t="array" ref="A243">_xlfn.CONCAT(Instructions!C250,Instructions!A250,"_",TEXT(Instructions!B250,"YYYYMMDD"),"_1_",INDEX(Table1[], MATCH(1,(Table1[Estuary]=Instructions!C250)*(Table1[StationNumber]=Instructions!D250)*(Instructions!B250&gt;Table1[StartDate])*(Instructions!B250&lt;Table1[EndDate]),0),1),"_1_",Instructions!E250,"_",Instructions!F250)</f>
        <v>TBSRVY_20190924_1_0291_1_05_042</v>
      </c>
      <c r="B243" t="str" cm="1">
        <f t="array" ref="B243">_xlfn.CONCAT(Instructions!C250,Instructions!A250,"_",TEXT(Instructions!B250,"YYYYMMDD"),"_1_",INDEX(Table1[], MATCH(1,(Table1[Estuary]=Instructions!C250)*(Table1[StationNumber]=Instructions!D250)*(Instructions!B250&gt;Table1[StartDate])*(Instructions!B250&lt;Table1[EndDate]),0),1),"_1_",Instructions!E250)</f>
        <v>TBSRVY_20190924_1_0291_1_05</v>
      </c>
      <c r="C243">
        <f>Instructions!G250</f>
        <v>15</v>
      </c>
      <c r="D243" t="str">
        <f>IF(ISBLANK(Instructions!H250),"",Instructions!H250)</f>
        <v>Entered</v>
      </c>
      <c r="E243" s="1">
        <f>IF(ISBLANK(Instructions!I250),"",Instructions!I250)</f>
        <v>45646</v>
      </c>
      <c r="F243" t="str">
        <f>IF(ISBLANK(Instructions!J250),"",Instructions!J250)</f>
        <v>Erica Williams</v>
      </c>
      <c r="G243" s="1" t="str">
        <f>IF(ISBLANK(Instructions!K250),"",Instructions!K250)</f>
        <v/>
      </c>
      <c r="H243" t="str">
        <f>IF(ISBLANK(Instructions!L250),"",Instructions!L250)</f>
        <v/>
      </c>
      <c r="I243" t="str">
        <f t="shared" si="7"/>
        <v>NULL</v>
      </c>
      <c r="J243" t="str">
        <f t="shared" si="7"/>
        <v>NULL</v>
      </c>
      <c r="K243" t="str">
        <f>Instructions!M250</f>
        <v>Added via SMSS</v>
      </c>
      <c r="L243" t="str">
        <f t="shared" si="1"/>
        <v>NULL</v>
      </c>
    </row>
    <row r="244" spans="1:12" x14ac:dyDescent="0.25">
      <c r="A244" t="str" cm="1">
        <f t="array" ref="A244">_xlfn.CONCAT(Instructions!C251,Instructions!A251,"_",TEXT(Instructions!B251,"YYYYMMDD"),"_1_",INDEX(Table1[], MATCH(1,(Table1[Estuary]=Instructions!C251)*(Table1[StationNumber]=Instructions!D251)*(Instructions!B251&gt;Table1[StartDate])*(Instructions!B251&lt;Table1[EndDate]),0),1),"_1_",Instructions!E251,"_",Instructions!F251)</f>
        <v>TBSRVY_20190924_1_0291_1_05_043</v>
      </c>
      <c r="B244" t="str" cm="1">
        <f t="array" ref="B244">_xlfn.CONCAT(Instructions!C251,Instructions!A251,"_",TEXT(Instructions!B251,"YYYYMMDD"),"_1_",INDEX(Table1[], MATCH(1,(Table1[Estuary]=Instructions!C251)*(Table1[StationNumber]=Instructions!D251)*(Instructions!B251&gt;Table1[StartDate])*(Instructions!B251&lt;Table1[EndDate]),0),1),"_1_",Instructions!E251)</f>
        <v>TBSRVY_20190924_1_0291_1_05</v>
      </c>
      <c r="C244">
        <f>Instructions!G251</f>
        <v>20</v>
      </c>
      <c r="D244" t="str">
        <f>IF(ISBLANK(Instructions!H251),"",Instructions!H251)</f>
        <v>Entered</v>
      </c>
      <c r="E244" s="1">
        <f>IF(ISBLANK(Instructions!I251),"",Instructions!I251)</f>
        <v>45646</v>
      </c>
      <c r="F244" t="str">
        <f>IF(ISBLANK(Instructions!J251),"",Instructions!J251)</f>
        <v>Erica Williams</v>
      </c>
      <c r="G244" s="1" t="str">
        <f>IF(ISBLANK(Instructions!K251),"",Instructions!K251)</f>
        <v/>
      </c>
      <c r="H244" t="str">
        <f>IF(ISBLANK(Instructions!L251),"",Instructions!L251)</f>
        <v/>
      </c>
      <c r="I244" t="str">
        <f t="shared" si="7"/>
        <v>NULL</v>
      </c>
      <c r="J244" t="str">
        <f t="shared" si="7"/>
        <v>NULL</v>
      </c>
      <c r="K244" t="str">
        <f>Instructions!M251</f>
        <v>Added via SMSS</v>
      </c>
      <c r="L244" t="str">
        <f t="shared" si="1"/>
        <v>NULL</v>
      </c>
    </row>
    <row r="245" spans="1:12" x14ac:dyDescent="0.25">
      <c r="A245" t="str" cm="1">
        <f t="array" ref="A245">_xlfn.CONCAT(Instructions!C252,Instructions!A252,"_",TEXT(Instructions!B252,"YYYYMMDD"),"_1_",INDEX(Table1[], MATCH(1,(Table1[Estuary]=Instructions!C252)*(Table1[StationNumber]=Instructions!D252)*(Instructions!B252&gt;Table1[StartDate])*(Instructions!B252&lt;Table1[EndDate]),0),1),"_1_",Instructions!E252,"_",Instructions!F252)</f>
        <v>TBSRVY_20190924_1_0291_1_05_044</v>
      </c>
      <c r="B245" t="str" cm="1">
        <f t="array" ref="B245">_xlfn.CONCAT(Instructions!C252,Instructions!A252,"_",TEXT(Instructions!B252,"YYYYMMDD"),"_1_",INDEX(Table1[], MATCH(1,(Table1[Estuary]=Instructions!C252)*(Table1[StationNumber]=Instructions!D252)*(Instructions!B252&gt;Table1[StartDate])*(Instructions!B252&lt;Table1[EndDate]),0),1),"_1_",Instructions!E252)</f>
        <v>TBSRVY_20190924_1_0291_1_05</v>
      </c>
      <c r="C245">
        <f>Instructions!G252</f>
        <v>32</v>
      </c>
      <c r="D245" t="str">
        <f>IF(ISBLANK(Instructions!H252),"",Instructions!H252)</f>
        <v>Entered</v>
      </c>
      <c r="E245" s="1">
        <f>IF(ISBLANK(Instructions!I252),"",Instructions!I252)</f>
        <v>45646</v>
      </c>
      <c r="F245" t="str">
        <f>IF(ISBLANK(Instructions!J252),"",Instructions!J252)</f>
        <v>Erica Williams</v>
      </c>
      <c r="G245" s="1" t="str">
        <f>IF(ISBLANK(Instructions!K252),"",Instructions!K252)</f>
        <v/>
      </c>
      <c r="H245" t="str">
        <f>IF(ISBLANK(Instructions!L252),"",Instructions!L252)</f>
        <v/>
      </c>
      <c r="I245" t="str">
        <f t="shared" si="7"/>
        <v>NULL</v>
      </c>
      <c r="J245" t="str">
        <f t="shared" si="7"/>
        <v>NULL</v>
      </c>
      <c r="K245" t="str">
        <f>Instructions!M252</f>
        <v>Added via SMSS</v>
      </c>
      <c r="L245" t="str">
        <f t="shared" si="1"/>
        <v>NULL</v>
      </c>
    </row>
    <row r="246" spans="1:12" x14ac:dyDescent="0.25">
      <c r="A246" t="str" cm="1">
        <f t="array" ref="A246">_xlfn.CONCAT(Instructions!C253,Instructions!A253,"_",TEXT(Instructions!B253,"YYYYMMDD"),"_1_",INDEX(Table1[], MATCH(1,(Table1[Estuary]=Instructions!C253)*(Table1[StationNumber]=Instructions!D253)*(Instructions!B253&gt;Table1[StartDate])*(Instructions!B253&lt;Table1[EndDate]),0),1),"_1_",Instructions!E253,"_",Instructions!F253)</f>
        <v>TBSRVY_20190924_1_0291_1_05_045</v>
      </c>
      <c r="B246" t="str" cm="1">
        <f t="array" ref="B246">_xlfn.CONCAT(Instructions!C253,Instructions!A253,"_",TEXT(Instructions!B253,"YYYYMMDD"),"_1_",INDEX(Table1[], MATCH(1,(Table1[Estuary]=Instructions!C253)*(Table1[StationNumber]=Instructions!D253)*(Instructions!B253&gt;Table1[StartDate])*(Instructions!B253&lt;Table1[EndDate]),0),1),"_1_",Instructions!E253)</f>
        <v>TBSRVY_20190924_1_0291_1_05</v>
      </c>
      <c r="C246">
        <f>Instructions!G253</f>
        <v>20</v>
      </c>
      <c r="D246" t="str">
        <f>IF(ISBLANK(Instructions!H253),"",Instructions!H253)</f>
        <v>Entered</v>
      </c>
      <c r="E246" s="1">
        <f>IF(ISBLANK(Instructions!I253),"",Instructions!I253)</f>
        <v>45646</v>
      </c>
      <c r="F246" t="str">
        <f>IF(ISBLANK(Instructions!J253),"",Instructions!J253)</f>
        <v>Erica Williams</v>
      </c>
      <c r="G246" s="1" t="str">
        <f>IF(ISBLANK(Instructions!K253),"",Instructions!K253)</f>
        <v/>
      </c>
      <c r="H246" t="str">
        <f>IF(ISBLANK(Instructions!L253),"",Instructions!L253)</f>
        <v/>
      </c>
      <c r="I246" t="str">
        <f t="shared" si="7"/>
        <v>NULL</v>
      </c>
      <c r="J246" t="str">
        <f t="shared" si="7"/>
        <v>NULL</v>
      </c>
      <c r="K246" t="str">
        <f>Instructions!M253</f>
        <v>Added via SMSS</v>
      </c>
      <c r="L246" t="str">
        <f t="shared" si="1"/>
        <v>NULL</v>
      </c>
    </row>
    <row r="247" spans="1:12" x14ac:dyDescent="0.25">
      <c r="A247" t="str" cm="1">
        <f t="array" ref="A247">_xlfn.CONCAT(Instructions!C254,Instructions!A254,"_",TEXT(Instructions!B254,"YYYYMMDD"),"_1_",INDEX(Table1[], MATCH(1,(Table1[Estuary]=Instructions!C254)*(Table1[StationNumber]=Instructions!D254)*(Instructions!B254&gt;Table1[StartDate])*(Instructions!B254&lt;Table1[EndDate]),0),1),"_1_",Instructions!E254,"_",Instructions!F254)</f>
        <v>TBSRVY_20190924_1_0291_1_05_046</v>
      </c>
      <c r="B247" t="str" cm="1">
        <f t="array" ref="B247">_xlfn.CONCAT(Instructions!C254,Instructions!A254,"_",TEXT(Instructions!B254,"YYYYMMDD"),"_1_",INDEX(Table1[], MATCH(1,(Table1[Estuary]=Instructions!C254)*(Table1[StationNumber]=Instructions!D254)*(Instructions!B254&gt;Table1[StartDate])*(Instructions!B254&lt;Table1[EndDate]),0),1),"_1_",Instructions!E254)</f>
        <v>TBSRVY_20190924_1_0291_1_05</v>
      </c>
      <c r="C247">
        <f>Instructions!G254</f>
        <v>21</v>
      </c>
      <c r="D247" t="str">
        <f>IF(ISBLANK(Instructions!H254),"",Instructions!H254)</f>
        <v>Entered</v>
      </c>
      <c r="E247" s="1">
        <f>IF(ISBLANK(Instructions!I254),"",Instructions!I254)</f>
        <v>45646</v>
      </c>
      <c r="F247" t="str">
        <f>IF(ISBLANK(Instructions!J254),"",Instructions!J254)</f>
        <v>Erica Williams</v>
      </c>
      <c r="G247" s="1" t="str">
        <f>IF(ISBLANK(Instructions!K254),"",Instructions!K254)</f>
        <v/>
      </c>
      <c r="H247" t="str">
        <f>IF(ISBLANK(Instructions!L254),"",Instructions!L254)</f>
        <v/>
      </c>
      <c r="I247" t="str">
        <f t="shared" si="7"/>
        <v>NULL</v>
      </c>
      <c r="J247" t="str">
        <f t="shared" si="7"/>
        <v>NULL</v>
      </c>
      <c r="K247" t="str">
        <f>Instructions!M254</f>
        <v>Added via SMSS</v>
      </c>
      <c r="L247" t="str">
        <f t="shared" si="1"/>
        <v>NULL</v>
      </c>
    </row>
    <row r="248" spans="1:12" x14ac:dyDescent="0.25">
      <c r="A248" t="str" cm="1">
        <f t="array" ref="A248">_xlfn.CONCAT(Instructions!C255,Instructions!A255,"_",TEXT(Instructions!B255,"YYYYMMDD"),"_1_",INDEX(Table1[], MATCH(1,(Table1[Estuary]=Instructions!C255)*(Table1[StationNumber]=Instructions!D255)*(Instructions!B255&gt;Table1[StartDate])*(Instructions!B255&lt;Table1[EndDate]),0),1),"_1_",Instructions!E255,"_",Instructions!F255)</f>
        <v>TBSRVY_20190924_1_0291_1_05_047</v>
      </c>
      <c r="B248" t="str" cm="1">
        <f t="array" ref="B248">_xlfn.CONCAT(Instructions!C255,Instructions!A255,"_",TEXT(Instructions!B255,"YYYYMMDD"),"_1_",INDEX(Table1[], MATCH(1,(Table1[Estuary]=Instructions!C255)*(Table1[StationNumber]=Instructions!D255)*(Instructions!B255&gt;Table1[StartDate])*(Instructions!B255&lt;Table1[EndDate]),0),1),"_1_",Instructions!E255)</f>
        <v>TBSRVY_20190924_1_0291_1_05</v>
      </c>
      <c r="C248">
        <f>Instructions!G255</f>
        <v>34</v>
      </c>
      <c r="D248" t="str">
        <f>IF(ISBLANK(Instructions!H255),"",Instructions!H255)</f>
        <v>Entered</v>
      </c>
      <c r="E248" s="1">
        <f>IF(ISBLANK(Instructions!I255),"",Instructions!I255)</f>
        <v>45646</v>
      </c>
      <c r="F248" t="str">
        <f>IF(ISBLANK(Instructions!J255),"",Instructions!J255)</f>
        <v>Erica Williams</v>
      </c>
      <c r="G248" s="1" t="str">
        <f>IF(ISBLANK(Instructions!K255),"",Instructions!K255)</f>
        <v/>
      </c>
      <c r="H248" t="str">
        <f>IF(ISBLANK(Instructions!L255),"",Instructions!L255)</f>
        <v/>
      </c>
      <c r="I248" t="str">
        <f t="shared" si="7"/>
        <v>NULL</v>
      </c>
      <c r="J248" t="str">
        <f t="shared" si="7"/>
        <v>NULL</v>
      </c>
      <c r="K248" t="str">
        <f>Instructions!M255</f>
        <v>Added via SMSS</v>
      </c>
      <c r="L248" t="str">
        <f t="shared" si="1"/>
        <v>NULL</v>
      </c>
    </row>
    <row r="249" spans="1:12" x14ac:dyDescent="0.25">
      <c r="A249" t="str" cm="1">
        <f t="array" ref="A249">_xlfn.CONCAT(Instructions!C256,Instructions!A256,"_",TEXT(Instructions!B256,"YYYYMMDD"),"_1_",INDEX(Table1[], MATCH(1,(Table1[Estuary]=Instructions!C256)*(Table1[StationNumber]=Instructions!D256)*(Instructions!B256&gt;Table1[StartDate])*(Instructions!B256&lt;Table1[EndDate]),0),1),"_1_",Instructions!E256,"_",Instructions!F256)</f>
        <v>TBSRVY_20190924_1_0291_1_05_048</v>
      </c>
      <c r="B249" t="str" cm="1">
        <f t="array" ref="B249">_xlfn.CONCAT(Instructions!C256,Instructions!A256,"_",TEXT(Instructions!B256,"YYYYMMDD"),"_1_",INDEX(Table1[], MATCH(1,(Table1[Estuary]=Instructions!C256)*(Table1[StationNumber]=Instructions!D256)*(Instructions!B256&gt;Table1[StartDate])*(Instructions!B256&lt;Table1[EndDate]),0),1),"_1_",Instructions!E256)</f>
        <v>TBSRVY_20190924_1_0291_1_05</v>
      </c>
      <c r="C249">
        <f>Instructions!G256</f>
        <v>22</v>
      </c>
      <c r="D249" t="str">
        <f>IF(ISBLANK(Instructions!H256),"",Instructions!H256)</f>
        <v>Entered</v>
      </c>
      <c r="E249" s="1">
        <f>IF(ISBLANK(Instructions!I256),"",Instructions!I256)</f>
        <v>45646</v>
      </c>
      <c r="F249" t="str">
        <f>IF(ISBLANK(Instructions!J256),"",Instructions!J256)</f>
        <v>Erica Williams</v>
      </c>
      <c r="G249" s="1" t="str">
        <f>IF(ISBLANK(Instructions!K256),"",Instructions!K256)</f>
        <v/>
      </c>
      <c r="H249" t="str">
        <f>IF(ISBLANK(Instructions!L256),"",Instructions!L256)</f>
        <v/>
      </c>
      <c r="I249" t="str">
        <f t="shared" si="7"/>
        <v>NULL</v>
      </c>
      <c r="J249" t="str">
        <f t="shared" si="7"/>
        <v>NULL</v>
      </c>
      <c r="K249" t="str">
        <f>Instructions!M256</f>
        <v>Added via SMSS</v>
      </c>
      <c r="L249" t="str">
        <f t="shared" si="1"/>
        <v>NULL</v>
      </c>
    </row>
    <row r="250" spans="1:12" x14ac:dyDescent="0.25">
      <c r="A250" t="str" cm="1">
        <f t="array" ref="A250">_xlfn.CONCAT(Instructions!C257,Instructions!A257,"_",TEXT(Instructions!B257,"YYYYMMDD"),"_1_",INDEX(Table1[], MATCH(1,(Table1[Estuary]=Instructions!C257)*(Table1[StationNumber]=Instructions!D257)*(Instructions!B257&gt;Table1[StartDate])*(Instructions!B257&lt;Table1[EndDate]),0),1),"_1_",Instructions!E257,"_",Instructions!F257)</f>
        <v>TBSRVY_20190924_1_0291_1_05_049</v>
      </c>
      <c r="B250" t="str" cm="1">
        <f t="array" ref="B250">_xlfn.CONCAT(Instructions!C257,Instructions!A257,"_",TEXT(Instructions!B257,"YYYYMMDD"),"_1_",INDEX(Table1[], MATCH(1,(Table1[Estuary]=Instructions!C257)*(Table1[StationNumber]=Instructions!D257)*(Instructions!B257&gt;Table1[StartDate])*(Instructions!B257&lt;Table1[EndDate]),0),1),"_1_",Instructions!E257)</f>
        <v>TBSRVY_20190924_1_0291_1_05</v>
      </c>
      <c r="C250">
        <f>Instructions!G257</f>
        <v>25</v>
      </c>
      <c r="D250" t="str">
        <f>IF(ISBLANK(Instructions!H257),"",Instructions!H257)</f>
        <v>Entered</v>
      </c>
      <c r="E250" s="1">
        <f>IF(ISBLANK(Instructions!I257),"",Instructions!I257)</f>
        <v>45646</v>
      </c>
      <c r="F250" t="str">
        <f>IF(ISBLANK(Instructions!J257),"",Instructions!J257)</f>
        <v>Erica Williams</v>
      </c>
      <c r="G250" s="1" t="str">
        <f>IF(ISBLANK(Instructions!K257),"",Instructions!K257)</f>
        <v/>
      </c>
      <c r="H250" t="str">
        <f>IF(ISBLANK(Instructions!L257),"",Instructions!L257)</f>
        <v/>
      </c>
      <c r="I250" t="str">
        <f t="shared" si="7"/>
        <v>NULL</v>
      </c>
      <c r="J250" t="str">
        <f t="shared" si="7"/>
        <v>NULL</v>
      </c>
      <c r="K250" t="str">
        <f>Instructions!M257</f>
        <v>Added via SMSS</v>
      </c>
      <c r="L250" t="str">
        <f t="shared" si="1"/>
        <v>NULL</v>
      </c>
    </row>
    <row r="251" spans="1:12" x14ac:dyDescent="0.25">
      <c r="A251" t="str" cm="1">
        <f t="array" ref="A251">_xlfn.CONCAT(Instructions!C258,Instructions!A258,"_",TEXT(Instructions!B258,"YYYYMMDD"),"_1_",INDEX(Table1[], MATCH(1,(Table1[Estuary]=Instructions!C258)*(Table1[StationNumber]=Instructions!D258)*(Instructions!B258&gt;Table1[StartDate])*(Instructions!B258&lt;Table1[EndDate]),0),1),"_1_",Instructions!E258,"_",Instructions!F258)</f>
        <v>TBSRVY_20190924_1_0291_1_05_050</v>
      </c>
      <c r="B251" t="str" cm="1">
        <f t="array" ref="B251">_xlfn.CONCAT(Instructions!C258,Instructions!A258,"_",TEXT(Instructions!B258,"YYYYMMDD"),"_1_",INDEX(Table1[], MATCH(1,(Table1[Estuary]=Instructions!C258)*(Table1[StationNumber]=Instructions!D258)*(Instructions!B258&gt;Table1[StartDate])*(Instructions!B258&lt;Table1[EndDate]),0),1),"_1_",Instructions!E258)</f>
        <v>TBSRVY_20190924_1_0291_1_05</v>
      </c>
      <c r="C251">
        <f>Instructions!G258</f>
        <v>26</v>
      </c>
      <c r="D251" t="str">
        <f>IF(ISBLANK(Instructions!H258),"",Instructions!H258)</f>
        <v>Entered</v>
      </c>
      <c r="E251" s="1">
        <f>IF(ISBLANK(Instructions!I258),"",Instructions!I258)</f>
        <v>45646</v>
      </c>
      <c r="F251" t="str">
        <f>IF(ISBLANK(Instructions!J258),"",Instructions!J258)</f>
        <v>Erica Williams</v>
      </c>
      <c r="G251" s="1" t="str">
        <f>IF(ISBLANK(Instructions!K258),"",Instructions!K258)</f>
        <v/>
      </c>
      <c r="H251" t="str">
        <f>IF(ISBLANK(Instructions!L258),"",Instructions!L258)</f>
        <v/>
      </c>
      <c r="I251" t="str">
        <f t="shared" si="7"/>
        <v>NULL</v>
      </c>
      <c r="J251" t="str">
        <f t="shared" si="7"/>
        <v>NULL</v>
      </c>
      <c r="K251" t="str">
        <f>Instructions!M258</f>
        <v>Added via SMSS</v>
      </c>
      <c r="L251" t="str">
        <f t="shared" si="1"/>
        <v>NULL</v>
      </c>
    </row>
    <row r="252" spans="1:12" x14ac:dyDescent="0.25">
      <c r="A252" t="str" cm="1">
        <f t="array" ref="A252">_xlfn.CONCAT(Instructions!C259,Instructions!A259,"_",TEXT(Instructions!B259,"YYYYMMDD"),"_1_",INDEX(Table1[], MATCH(1,(Table1[Estuary]=Instructions!C259)*(Table1[StationNumber]=Instructions!D259)*(Instructions!B259&gt;Table1[StartDate])*(Instructions!B259&lt;Table1[EndDate]),0),1),"_1_",Instructions!E259,"_",Instructions!F259)</f>
        <v>TBSRVY_20190924_1_0291_1_06_001</v>
      </c>
      <c r="B252" t="str" cm="1">
        <f t="array" ref="B252">_xlfn.CONCAT(Instructions!C259,Instructions!A259,"_",TEXT(Instructions!B259,"YYYYMMDD"),"_1_",INDEX(Table1[], MATCH(1,(Table1[Estuary]=Instructions!C259)*(Table1[StationNumber]=Instructions!D259)*(Instructions!B259&gt;Table1[StartDate])*(Instructions!B259&lt;Table1[EndDate]),0),1),"_1_",Instructions!E259)</f>
        <v>TBSRVY_20190924_1_0291_1_06</v>
      </c>
      <c r="C252">
        <f>Instructions!G259</f>
        <v>40</v>
      </c>
      <c r="D252" t="str">
        <f>IF(ISBLANK(Instructions!H259),"",Instructions!H259)</f>
        <v>Entered</v>
      </c>
      <c r="E252" s="1">
        <f>IF(ISBLANK(Instructions!I259),"",Instructions!I259)</f>
        <v>45646</v>
      </c>
      <c r="F252" t="str">
        <f>IF(ISBLANK(Instructions!J259),"",Instructions!J259)</f>
        <v>Erica Williams</v>
      </c>
      <c r="G252" s="1" t="str">
        <f>IF(ISBLANK(Instructions!K259),"",Instructions!K259)</f>
        <v/>
      </c>
      <c r="H252" t="str">
        <f>IF(ISBLANK(Instructions!L259),"",Instructions!L259)</f>
        <v/>
      </c>
      <c r="I252" t="str">
        <f t="shared" si="7"/>
        <v>NULL</v>
      </c>
      <c r="J252" t="str">
        <f t="shared" si="7"/>
        <v>NULL</v>
      </c>
      <c r="K252" t="str">
        <f>Instructions!M259</f>
        <v>Added via SMSS</v>
      </c>
      <c r="L252" t="str">
        <f t="shared" si="1"/>
        <v>NULL</v>
      </c>
    </row>
    <row r="253" spans="1:12" x14ac:dyDescent="0.25">
      <c r="A253" t="str" cm="1">
        <f t="array" ref="A253">_xlfn.CONCAT(Instructions!C260,Instructions!A260,"_",TEXT(Instructions!B260,"YYYYMMDD"),"_1_",INDEX(Table1[], MATCH(1,(Table1[Estuary]=Instructions!C260)*(Table1[StationNumber]=Instructions!D260)*(Instructions!B260&gt;Table1[StartDate])*(Instructions!B260&lt;Table1[EndDate]),0),1),"_1_",Instructions!E260,"_",Instructions!F260)</f>
        <v>TBSRVY_20190924_1_0291_1_06_002</v>
      </c>
      <c r="B253" t="str" cm="1">
        <f t="array" ref="B253">_xlfn.CONCAT(Instructions!C260,Instructions!A260,"_",TEXT(Instructions!B260,"YYYYMMDD"),"_1_",INDEX(Table1[], MATCH(1,(Table1[Estuary]=Instructions!C260)*(Table1[StationNumber]=Instructions!D260)*(Instructions!B260&gt;Table1[StartDate])*(Instructions!B260&lt;Table1[EndDate]),0),1),"_1_",Instructions!E260)</f>
        <v>TBSRVY_20190924_1_0291_1_06</v>
      </c>
      <c r="C253">
        <f>Instructions!G260</f>
        <v>32</v>
      </c>
      <c r="D253" t="str">
        <f>IF(ISBLANK(Instructions!H260),"",Instructions!H260)</f>
        <v>Entered</v>
      </c>
      <c r="E253" s="1">
        <f>IF(ISBLANK(Instructions!I260),"",Instructions!I260)</f>
        <v>45646</v>
      </c>
      <c r="F253" t="str">
        <f>IF(ISBLANK(Instructions!J260),"",Instructions!J260)</f>
        <v>Erica Williams</v>
      </c>
      <c r="G253" s="1" t="str">
        <f>IF(ISBLANK(Instructions!K260),"",Instructions!K260)</f>
        <v/>
      </c>
      <c r="H253" t="str">
        <f>IF(ISBLANK(Instructions!L260),"",Instructions!L260)</f>
        <v/>
      </c>
      <c r="I253" t="str">
        <f t="shared" si="7"/>
        <v>NULL</v>
      </c>
      <c r="J253" t="str">
        <f t="shared" si="7"/>
        <v>NULL</v>
      </c>
      <c r="K253" t="str">
        <f>Instructions!M260</f>
        <v>Added via SMSS</v>
      </c>
      <c r="L253" t="str">
        <f t="shared" si="1"/>
        <v>NULL</v>
      </c>
    </row>
    <row r="254" spans="1:12" x14ac:dyDescent="0.25">
      <c r="A254" t="str" cm="1">
        <f t="array" ref="A254">_xlfn.CONCAT(Instructions!C261,Instructions!A261,"_",TEXT(Instructions!B261,"YYYYMMDD"),"_1_",INDEX(Table1[], MATCH(1,(Table1[Estuary]=Instructions!C261)*(Table1[StationNumber]=Instructions!D261)*(Instructions!B261&gt;Table1[StartDate])*(Instructions!B261&lt;Table1[EndDate]),0),1),"_1_",Instructions!E261,"_",Instructions!F261)</f>
        <v>TBSRVY_20190924_1_0291_1_06_003</v>
      </c>
      <c r="B254" t="str" cm="1">
        <f t="array" ref="B254">_xlfn.CONCAT(Instructions!C261,Instructions!A261,"_",TEXT(Instructions!B261,"YYYYMMDD"),"_1_",INDEX(Table1[], MATCH(1,(Table1[Estuary]=Instructions!C261)*(Table1[StationNumber]=Instructions!D261)*(Instructions!B261&gt;Table1[StartDate])*(Instructions!B261&lt;Table1[EndDate]),0),1),"_1_",Instructions!E261)</f>
        <v>TBSRVY_20190924_1_0291_1_06</v>
      </c>
      <c r="C254">
        <f>Instructions!G261</f>
        <v>30</v>
      </c>
      <c r="D254" t="str">
        <f>IF(ISBLANK(Instructions!H261),"",Instructions!H261)</f>
        <v>Entered</v>
      </c>
      <c r="E254" s="1">
        <f>IF(ISBLANK(Instructions!I261),"",Instructions!I261)</f>
        <v>45646</v>
      </c>
      <c r="F254" t="str">
        <f>IF(ISBLANK(Instructions!J261),"",Instructions!J261)</f>
        <v>Erica Williams</v>
      </c>
      <c r="G254" s="1" t="str">
        <f>IF(ISBLANK(Instructions!K261),"",Instructions!K261)</f>
        <v/>
      </c>
      <c r="H254" t="str">
        <f>IF(ISBLANK(Instructions!L261),"",Instructions!L261)</f>
        <v/>
      </c>
      <c r="I254" t="str">
        <f t="shared" si="7"/>
        <v>NULL</v>
      </c>
      <c r="J254" t="str">
        <f t="shared" si="7"/>
        <v>NULL</v>
      </c>
      <c r="K254" t="str">
        <f>Instructions!M261</f>
        <v>Added via SMSS</v>
      </c>
      <c r="L254" t="str">
        <f t="shared" si="1"/>
        <v>NULL</v>
      </c>
    </row>
    <row r="255" spans="1:12" x14ac:dyDescent="0.25">
      <c r="A255" t="str" cm="1">
        <f t="array" ref="A255">_xlfn.CONCAT(Instructions!C262,Instructions!A262,"_",TEXT(Instructions!B262,"YYYYMMDD"),"_1_",INDEX(Table1[], MATCH(1,(Table1[Estuary]=Instructions!C262)*(Table1[StationNumber]=Instructions!D262)*(Instructions!B262&gt;Table1[StartDate])*(Instructions!B262&lt;Table1[EndDate]),0),1),"_1_",Instructions!E262,"_",Instructions!F262)</f>
        <v>TBSRVY_20190924_1_0291_1_06_004</v>
      </c>
      <c r="B255" t="str" cm="1">
        <f t="array" ref="B255">_xlfn.CONCAT(Instructions!C262,Instructions!A262,"_",TEXT(Instructions!B262,"YYYYMMDD"),"_1_",INDEX(Table1[], MATCH(1,(Table1[Estuary]=Instructions!C262)*(Table1[StationNumber]=Instructions!D262)*(Instructions!B262&gt;Table1[StartDate])*(Instructions!B262&lt;Table1[EndDate]),0),1),"_1_",Instructions!E262)</f>
        <v>TBSRVY_20190924_1_0291_1_06</v>
      </c>
      <c r="C255">
        <f>Instructions!G262</f>
        <v>10</v>
      </c>
      <c r="D255" t="str">
        <f>IF(ISBLANK(Instructions!H262),"",Instructions!H262)</f>
        <v>Entered</v>
      </c>
      <c r="E255" s="1">
        <f>IF(ISBLANK(Instructions!I262),"",Instructions!I262)</f>
        <v>45646</v>
      </c>
      <c r="F255" t="str">
        <f>IF(ISBLANK(Instructions!J262),"",Instructions!J262)</f>
        <v>Erica Williams</v>
      </c>
      <c r="G255" s="1" t="str">
        <f>IF(ISBLANK(Instructions!K262),"",Instructions!K262)</f>
        <v/>
      </c>
      <c r="H255" t="str">
        <f>IF(ISBLANK(Instructions!L262),"",Instructions!L262)</f>
        <v/>
      </c>
      <c r="I255" t="str">
        <f t="shared" si="7"/>
        <v>NULL</v>
      </c>
      <c r="J255" t="str">
        <f t="shared" si="7"/>
        <v>NULL</v>
      </c>
      <c r="K255" t="str">
        <f>Instructions!M262</f>
        <v>Added via SMSS</v>
      </c>
      <c r="L255" t="str">
        <f t="shared" si="1"/>
        <v>NULL</v>
      </c>
    </row>
    <row r="256" spans="1:12" x14ac:dyDescent="0.25">
      <c r="A256" t="str" cm="1">
        <f t="array" ref="A256">_xlfn.CONCAT(Instructions!C263,Instructions!A263,"_",TEXT(Instructions!B263,"YYYYMMDD"),"_1_",INDEX(Table1[], MATCH(1,(Table1[Estuary]=Instructions!C263)*(Table1[StationNumber]=Instructions!D263)*(Instructions!B263&gt;Table1[StartDate])*(Instructions!B263&lt;Table1[EndDate]),0),1),"_1_",Instructions!E263,"_",Instructions!F263)</f>
        <v>TBSRVY_20190924_1_0291_1_06_005</v>
      </c>
      <c r="B256" t="str" cm="1">
        <f t="array" ref="B256">_xlfn.CONCAT(Instructions!C263,Instructions!A263,"_",TEXT(Instructions!B263,"YYYYMMDD"),"_1_",INDEX(Table1[], MATCH(1,(Table1[Estuary]=Instructions!C263)*(Table1[StationNumber]=Instructions!D263)*(Instructions!B263&gt;Table1[StartDate])*(Instructions!B263&lt;Table1[EndDate]),0),1),"_1_",Instructions!E263)</f>
        <v>TBSRVY_20190924_1_0291_1_06</v>
      </c>
      <c r="C256">
        <f>Instructions!G263</f>
        <v>18</v>
      </c>
      <c r="D256" t="str">
        <f>IF(ISBLANK(Instructions!H263),"",Instructions!H263)</f>
        <v>Entered</v>
      </c>
      <c r="E256" s="1">
        <f>IF(ISBLANK(Instructions!I263),"",Instructions!I263)</f>
        <v>45646</v>
      </c>
      <c r="F256" t="str">
        <f>IF(ISBLANK(Instructions!J263),"",Instructions!J263)</f>
        <v>Erica Williams</v>
      </c>
      <c r="G256" s="1" t="str">
        <f>IF(ISBLANK(Instructions!K263),"",Instructions!K263)</f>
        <v/>
      </c>
      <c r="H256" t="str">
        <f>IF(ISBLANK(Instructions!L263),"",Instructions!L263)</f>
        <v/>
      </c>
      <c r="I256" t="str">
        <f t="shared" si="7"/>
        <v>NULL</v>
      </c>
      <c r="J256" t="str">
        <f t="shared" si="7"/>
        <v>NULL</v>
      </c>
      <c r="K256" t="str">
        <f>Instructions!M263</f>
        <v>Added via SMSS</v>
      </c>
      <c r="L256" t="str">
        <f t="shared" si="1"/>
        <v>NULL</v>
      </c>
    </row>
    <row r="257" spans="1:12" x14ac:dyDescent="0.25">
      <c r="A257" t="str" cm="1">
        <f t="array" ref="A257">_xlfn.CONCAT(Instructions!C264,Instructions!A264,"_",TEXT(Instructions!B264,"YYYYMMDD"),"_1_",INDEX(Table1[], MATCH(1,(Table1[Estuary]=Instructions!C264)*(Table1[StationNumber]=Instructions!D264)*(Instructions!B264&gt;Table1[StartDate])*(Instructions!B264&lt;Table1[EndDate]),0),1),"_1_",Instructions!E264,"_",Instructions!F264)</f>
        <v>TBSRVY_20190924_1_0291_1_06_006</v>
      </c>
      <c r="B257" t="str" cm="1">
        <f t="array" ref="B257">_xlfn.CONCAT(Instructions!C264,Instructions!A264,"_",TEXT(Instructions!B264,"YYYYMMDD"),"_1_",INDEX(Table1[], MATCH(1,(Table1[Estuary]=Instructions!C264)*(Table1[StationNumber]=Instructions!D264)*(Instructions!B264&gt;Table1[StartDate])*(Instructions!B264&lt;Table1[EndDate]),0),1),"_1_",Instructions!E264)</f>
        <v>TBSRVY_20190924_1_0291_1_06</v>
      </c>
      <c r="C257">
        <f>Instructions!G264</f>
        <v>22</v>
      </c>
      <c r="D257" t="str">
        <f>IF(ISBLANK(Instructions!H264),"",Instructions!H264)</f>
        <v>Entered</v>
      </c>
      <c r="E257" s="1">
        <f>IF(ISBLANK(Instructions!I264),"",Instructions!I264)</f>
        <v>45646</v>
      </c>
      <c r="F257" t="str">
        <f>IF(ISBLANK(Instructions!J264),"",Instructions!J264)</f>
        <v>Erica Williams</v>
      </c>
      <c r="G257" s="1" t="str">
        <f>IF(ISBLANK(Instructions!K264),"",Instructions!K264)</f>
        <v/>
      </c>
      <c r="H257" t="str">
        <f>IF(ISBLANK(Instructions!L264),"",Instructions!L264)</f>
        <v/>
      </c>
      <c r="I257" t="str">
        <f t="shared" si="7"/>
        <v>NULL</v>
      </c>
      <c r="J257" t="str">
        <f t="shared" si="7"/>
        <v>NULL</v>
      </c>
      <c r="K257" t="str">
        <f>Instructions!M264</f>
        <v>Added via SMSS</v>
      </c>
      <c r="L257" t="str">
        <f t="shared" si="1"/>
        <v>NULL</v>
      </c>
    </row>
    <row r="258" spans="1:12" x14ac:dyDescent="0.25">
      <c r="A258" t="str" cm="1">
        <f t="array" ref="A258">_xlfn.CONCAT(Instructions!C265,Instructions!A265,"_",TEXT(Instructions!B265,"YYYYMMDD"),"_1_",INDEX(Table1[], MATCH(1,(Table1[Estuary]=Instructions!C265)*(Table1[StationNumber]=Instructions!D265)*(Instructions!B265&gt;Table1[StartDate])*(Instructions!B265&lt;Table1[EndDate]),0),1),"_1_",Instructions!E265,"_",Instructions!F265)</f>
        <v>TBSRVY_20190924_1_0291_1_06_007</v>
      </c>
      <c r="B258" t="str" cm="1">
        <f t="array" ref="B258">_xlfn.CONCAT(Instructions!C265,Instructions!A265,"_",TEXT(Instructions!B265,"YYYYMMDD"),"_1_",INDEX(Table1[], MATCH(1,(Table1[Estuary]=Instructions!C265)*(Table1[StationNumber]=Instructions!D265)*(Instructions!B265&gt;Table1[StartDate])*(Instructions!B265&lt;Table1[EndDate]),0),1),"_1_",Instructions!E265)</f>
        <v>TBSRVY_20190924_1_0291_1_06</v>
      </c>
      <c r="C258">
        <f>Instructions!G265</f>
        <v>15</v>
      </c>
      <c r="D258" t="str">
        <f>IF(ISBLANK(Instructions!H265),"",Instructions!H265)</f>
        <v>Entered</v>
      </c>
      <c r="E258" s="1">
        <f>IF(ISBLANK(Instructions!I265),"",Instructions!I265)</f>
        <v>45646</v>
      </c>
      <c r="F258" t="str">
        <f>IF(ISBLANK(Instructions!J265),"",Instructions!J265)</f>
        <v>Erica Williams</v>
      </c>
      <c r="G258" s="1" t="str">
        <f>IF(ISBLANK(Instructions!K265),"",Instructions!K265)</f>
        <v/>
      </c>
      <c r="H258" t="str">
        <f>IF(ISBLANK(Instructions!L265),"",Instructions!L265)</f>
        <v/>
      </c>
      <c r="I258" t="str">
        <f t="shared" si="7"/>
        <v>NULL</v>
      </c>
      <c r="J258" t="str">
        <f t="shared" ref="J258" si="8">"NULL"</f>
        <v>NULL</v>
      </c>
      <c r="K258" t="str">
        <f>Instructions!M265</f>
        <v>Added via SMSS</v>
      </c>
      <c r="L258" t="str">
        <f t="shared" ref="L258:L321" si="9">"NULL"</f>
        <v>NULL</v>
      </c>
    </row>
    <row r="259" spans="1:12" x14ac:dyDescent="0.25">
      <c r="A259" t="str" cm="1">
        <f t="array" ref="A259">_xlfn.CONCAT(Instructions!C266,Instructions!A266,"_",TEXT(Instructions!B266,"YYYYMMDD"),"_1_",INDEX(Table1[], MATCH(1,(Table1[Estuary]=Instructions!C266)*(Table1[StationNumber]=Instructions!D266)*(Instructions!B266&gt;Table1[StartDate])*(Instructions!B266&lt;Table1[EndDate]),0),1),"_1_",Instructions!E266,"_",Instructions!F266)</f>
        <v>TBSRVY_20190924_1_0291_1_06_008</v>
      </c>
      <c r="B259" t="str" cm="1">
        <f t="array" ref="B259">_xlfn.CONCAT(Instructions!C266,Instructions!A266,"_",TEXT(Instructions!B266,"YYYYMMDD"),"_1_",INDEX(Table1[], MATCH(1,(Table1[Estuary]=Instructions!C266)*(Table1[StationNumber]=Instructions!D266)*(Instructions!B266&gt;Table1[StartDate])*(Instructions!B266&lt;Table1[EndDate]),0),1),"_1_",Instructions!E266)</f>
        <v>TBSRVY_20190924_1_0291_1_06</v>
      </c>
      <c r="C259">
        <f>Instructions!G266</f>
        <v>12</v>
      </c>
      <c r="D259" t="str">
        <f>IF(ISBLANK(Instructions!H266),"",Instructions!H266)</f>
        <v>Entered</v>
      </c>
      <c r="E259" s="1">
        <f>IF(ISBLANK(Instructions!I266),"",Instructions!I266)</f>
        <v>45646</v>
      </c>
      <c r="F259" t="str">
        <f>IF(ISBLANK(Instructions!J266),"",Instructions!J266)</f>
        <v>Erica Williams</v>
      </c>
      <c r="G259" s="1" t="str">
        <f>IF(ISBLANK(Instructions!K266),"",Instructions!K266)</f>
        <v/>
      </c>
      <c r="H259" t="str">
        <f>IF(ISBLANK(Instructions!L266),"",Instructions!L266)</f>
        <v/>
      </c>
      <c r="I259" t="str">
        <f t="shared" ref="I259:J322" si="10">"NULL"</f>
        <v>NULL</v>
      </c>
      <c r="J259" t="str">
        <f t="shared" si="10"/>
        <v>NULL</v>
      </c>
      <c r="K259" t="str">
        <f>Instructions!M266</f>
        <v>Added via SMSS</v>
      </c>
      <c r="L259" t="str">
        <f t="shared" si="9"/>
        <v>NULL</v>
      </c>
    </row>
    <row r="260" spans="1:12" x14ac:dyDescent="0.25">
      <c r="A260" t="str" cm="1">
        <f t="array" ref="A260">_xlfn.CONCAT(Instructions!C267,Instructions!A267,"_",TEXT(Instructions!B267,"YYYYMMDD"),"_1_",INDEX(Table1[], MATCH(1,(Table1[Estuary]=Instructions!C267)*(Table1[StationNumber]=Instructions!D267)*(Instructions!B267&gt;Table1[StartDate])*(Instructions!B267&lt;Table1[EndDate]),0),1),"_1_",Instructions!E267,"_",Instructions!F267)</f>
        <v>TBSRVY_20190924_1_0291_1_06_009</v>
      </c>
      <c r="B260" t="str" cm="1">
        <f t="array" ref="B260">_xlfn.CONCAT(Instructions!C267,Instructions!A267,"_",TEXT(Instructions!B267,"YYYYMMDD"),"_1_",INDEX(Table1[], MATCH(1,(Table1[Estuary]=Instructions!C267)*(Table1[StationNumber]=Instructions!D267)*(Instructions!B267&gt;Table1[StartDate])*(Instructions!B267&lt;Table1[EndDate]),0),1),"_1_",Instructions!E267)</f>
        <v>TBSRVY_20190924_1_0291_1_06</v>
      </c>
      <c r="C260">
        <f>Instructions!G267</f>
        <v>7</v>
      </c>
      <c r="D260" t="str">
        <f>IF(ISBLANK(Instructions!H267),"",Instructions!H267)</f>
        <v>Entered</v>
      </c>
      <c r="E260" s="1">
        <f>IF(ISBLANK(Instructions!I267),"",Instructions!I267)</f>
        <v>45646</v>
      </c>
      <c r="F260" t="str">
        <f>IF(ISBLANK(Instructions!J267),"",Instructions!J267)</f>
        <v>Erica Williams</v>
      </c>
      <c r="G260" s="1" t="str">
        <f>IF(ISBLANK(Instructions!K267),"",Instructions!K267)</f>
        <v/>
      </c>
      <c r="H260" t="str">
        <f>IF(ISBLANK(Instructions!L267),"",Instructions!L267)</f>
        <v/>
      </c>
      <c r="I260" t="str">
        <f t="shared" si="10"/>
        <v>NULL</v>
      </c>
      <c r="J260" t="str">
        <f t="shared" si="10"/>
        <v>NULL</v>
      </c>
      <c r="K260" t="str">
        <f>Instructions!M267</f>
        <v>Added via SMSS</v>
      </c>
      <c r="L260" t="str">
        <f t="shared" si="9"/>
        <v>NULL</v>
      </c>
    </row>
    <row r="261" spans="1:12" x14ac:dyDescent="0.25">
      <c r="A261" t="str" cm="1">
        <f t="array" ref="A261">_xlfn.CONCAT(Instructions!C268,Instructions!A268,"_",TEXT(Instructions!B268,"YYYYMMDD"),"_1_",INDEX(Table1[], MATCH(1,(Table1[Estuary]=Instructions!C268)*(Table1[StationNumber]=Instructions!D268)*(Instructions!B268&gt;Table1[StartDate])*(Instructions!B268&lt;Table1[EndDate]),0),1),"_1_",Instructions!E268,"_",Instructions!F268)</f>
        <v>TBSRVY_20190924_1_0291_1_06_010</v>
      </c>
      <c r="B261" t="str" cm="1">
        <f t="array" ref="B261">_xlfn.CONCAT(Instructions!C268,Instructions!A268,"_",TEXT(Instructions!B268,"YYYYMMDD"),"_1_",INDEX(Table1[], MATCH(1,(Table1[Estuary]=Instructions!C268)*(Table1[StationNumber]=Instructions!D268)*(Instructions!B268&gt;Table1[StartDate])*(Instructions!B268&lt;Table1[EndDate]),0),1),"_1_",Instructions!E268)</f>
        <v>TBSRVY_20190924_1_0291_1_06</v>
      </c>
      <c r="C261">
        <f>Instructions!G268</f>
        <v>41</v>
      </c>
      <c r="D261" t="str">
        <f>IF(ISBLANK(Instructions!H268),"",Instructions!H268)</f>
        <v>Entered</v>
      </c>
      <c r="E261" s="1">
        <f>IF(ISBLANK(Instructions!I268),"",Instructions!I268)</f>
        <v>45646</v>
      </c>
      <c r="F261" t="str">
        <f>IF(ISBLANK(Instructions!J268),"",Instructions!J268)</f>
        <v>Erica Williams</v>
      </c>
      <c r="G261" s="1" t="str">
        <f>IF(ISBLANK(Instructions!K268),"",Instructions!K268)</f>
        <v/>
      </c>
      <c r="H261" t="str">
        <f>IF(ISBLANK(Instructions!L268),"",Instructions!L268)</f>
        <v/>
      </c>
      <c r="I261" t="str">
        <f t="shared" si="10"/>
        <v>NULL</v>
      </c>
      <c r="J261" t="str">
        <f t="shared" si="10"/>
        <v>NULL</v>
      </c>
      <c r="K261" t="str">
        <f>Instructions!M268</f>
        <v>Added via SMSS</v>
      </c>
      <c r="L261" t="str">
        <f t="shared" si="9"/>
        <v>NULL</v>
      </c>
    </row>
    <row r="262" spans="1:12" x14ac:dyDescent="0.25">
      <c r="A262" t="str" cm="1">
        <f t="array" ref="A262">_xlfn.CONCAT(Instructions!C269,Instructions!A269,"_",TEXT(Instructions!B269,"YYYYMMDD"),"_1_",INDEX(Table1[], MATCH(1,(Table1[Estuary]=Instructions!C269)*(Table1[StationNumber]=Instructions!D269)*(Instructions!B269&gt;Table1[StartDate])*(Instructions!B269&lt;Table1[EndDate]),0),1),"_1_",Instructions!E269,"_",Instructions!F269)</f>
        <v>TBSRVY_20190924_1_0291_1_06_011</v>
      </c>
      <c r="B262" t="str" cm="1">
        <f t="array" ref="B262">_xlfn.CONCAT(Instructions!C269,Instructions!A269,"_",TEXT(Instructions!B269,"YYYYMMDD"),"_1_",INDEX(Table1[], MATCH(1,(Table1[Estuary]=Instructions!C269)*(Table1[StationNumber]=Instructions!D269)*(Instructions!B269&gt;Table1[StartDate])*(Instructions!B269&lt;Table1[EndDate]),0),1),"_1_",Instructions!E269)</f>
        <v>TBSRVY_20190924_1_0291_1_06</v>
      </c>
      <c r="C262">
        <f>Instructions!G269</f>
        <v>20</v>
      </c>
      <c r="D262" t="str">
        <f>IF(ISBLANK(Instructions!H269),"",Instructions!H269)</f>
        <v>Entered</v>
      </c>
      <c r="E262" s="1">
        <f>IF(ISBLANK(Instructions!I269),"",Instructions!I269)</f>
        <v>45646</v>
      </c>
      <c r="F262" t="str">
        <f>IF(ISBLANK(Instructions!J269),"",Instructions!J269)</f>
        <v>Erica Williams</v>
      </c>
      <c r="G262" s="1" t="str">
        <f>IF(ISBLANK(Instructions!K269),"",Instructions!K269)</f>
        <v/>
      </c>
      <c r="H262" t="str">
        <f>IF(ISBLANK(Instructions!L269),"",Instructions!L269)</f>
        <v/>
      </c>
      <c r="I262" t="str">
        <f t="shared" si="10"/>
        <v>NULL</v>
      </c>
      <c r="J262" t="str">
        <f t="shared" si="10"/>
        <v>NULL</v>
      </c>
      <c r="K262" t="str">
        <f>Instructions!M269</f>
        <v>Added via SMSS</v>
      </c>
      <c r="L262" t="str">
        <f t="shared" si="9"/>
        <v>NULL</v>
      </c>
    </row>
    <row r="263" spans="1:12" x14ac:dyDescent="0.25">
      <c r="A263" t="str" cm="1">
        <f t="array" ref="A263">_xlfn.CONCAT(Instructions!C270,Instructions!A270,"_",TEXT(Instructions!B270,"YYYYMMDD"),"_1_",INDEX(Table1[], MATCH(1,(Table1[Estuary]=Instructions!C270)*(Table1[StationNumber]=Instructions!D270)*(Instructions!B270&gt;Table1[StartDate])*(Instructions!B270&lt;Table1[EndDate]),0),1),"_1_",Instructions!E270,"_",Instructions!F270)</f>
        <v>TBSRVY_20190924_1_0291_1_06_012</v>
      </c>
      <c r="B263" t="str" cm="1">
        <f t="array" ref="B263">_xlfn.CONCAT(Instructions!C270,Instructions!A270,"_",TEXT(Instructions!B270,"YYYYMMDD"),"_1_",INDEX(Table1[], MATCH(1,(Table1[Estuary]=Instructions!C270)*(Table1[StationNumber]=Instructions!D270)*(Instructions!B270&gt;Table1[StartDate])*(Instructions!B270&lt;Table1[EndDate]),0),1),"_1_",Instructions!E270)</f>
        <v>TBSRVY_20190924_1_0291_1_06</v>
      </c>
      <c r="C263">
        <f>Instructions!G270</f>
        <v>18</v>
      </c>
      <c r="D263" t="str">
        <f>IF(ISBLANK(Instructions!H270),"",Instructions!H270)</f>
        <v>Entered</v>
      </c>
      <c r="E263" s="1">
        <f>IF(ISBLANK(Instructions!I270),"",Instructions!I270)</f>
        <v>45646</v>
      </c>
      <c r="F263" t="str">
        <f>IF(ISBLANK(Instructions!J270),"",Instructions!J270)</f>
        <v>Erica Williams</v>
      </c>
      <c r="G263" s="1" t="str">
        <f>IF(ISBLANK(Instructions!K270),"",Instructions!K270)</f>
        <v/>
      </c>
      <c r="H263" t="str">
        <f>IF(ISBLANK(Instructions!L270),"",Instructions!L270)</f>
        <v/>
      </c>
      <c r="I263" t="str">
        <f t="shared" si="10"/>
        <v>NULL</v>
      </c>
      <c r="J263" t="str">
        <f t="shared" si="10"/>
        <v>NULL</v>
      </c>
      <c r="K263" t="str">
        <f>Instructions!M270</f>
        <v>Added via SMSS</v>
      </c>
      <c r="L263" t="str">
        <f t="shared" si="9"/>
        <v>NULL</v>
      </c>
    </row>
    <row r="264" spans="1:12" x14ac:dyDescent="0.25">
      <c r="A264" t="str" cm="1">
        <f t="array" ref="A264">_xlfn.CONCAT(Instructions!C271,Instructions!A271,"_",TEXT(Instructions!B271,"YYYYMMDD"),"_1_",INDEX(Table1[], MATCH(1,(Table1[Estuary]=Instructions!C271)*(Table1[StationNumber]=Instructions!D271)*(Instructions!B271&gt;Table1[StartDate])*(Instructions!B271&lt;Table1[EndDate]),0),1),"_1_",Instructions!E271,"_",Instructions!F271)</f>
        <v>TBSRVY_20190924_1_0291_1_06_013</v>
      </c>
      <c r="B264" t="str" cm="1">
        <f t="array" ref="B264">_xlfn.CONCAT(Instructions!C271,Instructions!A271,"_",TEXT(Instructions!B271,"YYYYMMDD"),"_1_",INDEX(Table1[], MATCH(1,(Table1[Estuary]=Instructions!C271)*(Table1[StationNumber]=Instructions!D271)*(Instructions!B271&gt;Table1[StartDate])*(Instructions!B271&lt;Table1[EndDate]),0),1),"_1_",Instructions!E271)</f>
        <v>TBSRVY_20190924_1_0291_1_06</v>
      </c>
      <c r="C264">
        <f>Instructions!G271</f>
        <v>8</v>
      </c>
      <c r="D264" t="str">
        <f>IF(ISBLANK(Instructions!H271),"",Instructions!H271)</f>
        <v>Entered</v>
      </c>
      <c r="E264" s="1">
        <f>IF(ISBLANK(Instructions!I271),"",Instructions!I271)</f>
        <v>45646</v>
      </c>
      <c r="F264" t="str">
        <f>IF(ISBLANK(Instructions!J271),"",Instructions!J271)</f>
        <v>Erica Williams</v>
      </c>
      <c r="G264" s="1" t="str">
        <f>IF(ISBLANK(Instructions!K271),"",Instructions!K271)</f>
        <v/>
      </c>
      <c r="H264" t="str">
        <f>IF(ISBLANK(Instructions!L271),"",Instructions!L271)</f>
        <v/>
      </c>
      <c r="I264" t="str">
        <f t="shared" si="10"/>
        <v>NULL</v>
      </c>
      <c r="J264" t="str">
        <f t="shared" si="10"/>
        <v>NULL</v>
      </c>
      <c r="K264" t="str">
        <f>Instructions!M271</f>
        <v>Added via SMSS</v>
      </c>
      <c r="L264" t="str">
        <f t="shared" si="9"/>
        <v>NULL</v>
      </c>
    </row>
    <row r="265" spans="1:12" x14ac:dyDescent="0.25">
      <c r="A265" t="str" cm="1">
        <f t="array" ref="A265">_xlfn.CONCAT(Instructions!C272,Instructions!A272,"_",TEXT(Instructions!B272,"YYYYMMDD"),"_1_",INDEX(Table1[], MATCH(1,(Table1[Estuary]=Instructions!C272)*(Table1[StationNumber]=Instructions!D272)*(Instructions!B272&gt;Table1[StartDate])*(Instructions!B272&lt;Table1[EndDate]),0),1),"_1_",Instructions!E272,"_",Instructions!F272)</f>
        <v>TBSRVY_20190924_1_0291_1_06_014</v>
      </c>
      <c r="B265" t="str" cm="1">
        <f t="array" ref="B265">_xlfn.CONCAT(Instructions!C272,Instructions!A272,"_",TEXT(Instructions!B272,"YYYYMMDD"),"_1_",INDEX(Table1[], MATCH(1,(Table1[Estuary]=Instructions!C272)*(Table1[StationNumber]=Instructions!D272)*(Instructions!B272&gt;Table1[StartDate])*(Instructions!B272&lt;Table1[EndDate]),0),1),"_1_",Instructions!E272)</f>
        <v>TBSRVY_20190924_1_0291_1_06</v>
      </c>
      <c r="C265">
        <f>Instructions!G272</f>
        <v>32</v>
      </c>
      <c r="D265" t="str">
        <f>IF(ISBLANK(Instructions!H272),"",Instructions!H272)</f>
        <v>Entered</v>
      </c>
      <c r="E265" s="1">
        <f>IF(ISBLANK(Instructions!I272),"",Instructions!I272)</f>
        <v>45646</v>
      </c>
      <c r="F265" t="str">
        <f>IF(ISBLANK(Instructions!J272),"",Instructions!J272)</f>
        <v>Erica Williams</v>
      </c>
      <c r="G265" s="1" t="str">
        <f>IF(ISBLANK(Instructions!K272),"",Instructions!K272)</f>
        <v/>
      </c>
      <c r="H265" t="str">
        <f>IF(ISBLANK(Instructions!L272),"",Instructions!L272)</f>
        <v/>
      </c>
      <c r="I265" t="str">
        <f t="shared" si="10"/>
        <v>NULL</v>
      </c>
      <c r="J265" t="str">
        <f t="shared" si="10"/>
        <v>NULL</v>
      </c>
      <c r="K265" t="str">
        <f>Instructions!M272</f>
        <v>Added via SMSS</v>
      </c>
      <c r="L265" t="str">
        <f t="shared" si="9"/>
        <v>NULL</v>
      </c>
    </row>
    <row r="266" spans="1:12" x14ac:dyDescent="0.25">
      <c r="A266" t="str" cm="1">
        <f t="array" ref="A266">_xlfn.CONCAT(Instructions!C273,Instructions!A273,"_",TEXT(Instructions!B273,"YYYYMMDD"),"_1_",INDEX(Table1[], MATCH(1,(Table1[Estuary]=Instructions!C273)*(Table1[StationNumber]=Instructions!D273)*(Instructions!B273&gt;Table1[StartDate])*(Instructions!B273&lt;Table1[EndDate]),0),1),"_1_",Instructions!E273,"_",Instructions!F273)</f>
        <v>TBSRVY_20190924_1_0291_1_06_015</v>
      </c>
      <c r="B266" t="str" cm="1">
        <f t="array" ref="B266">_xlfn.CONCAT(Instructions!C273,Instructions!A273,"_",TEXT(Instructions!B273,"YYYYMMDD"),"_1_",INDEX(Table1[], MATCH(1,(Table1[Estuary]=Instructions!C273)*(Table1[StationNumber]=Instructions!D273)*(Instructions!B273&gt;Table1[StartDate])*(Instructions!B273&lt;Table1[EndDate]),0),1),"_1_",Instructions!E273)</f>
        <v>TBSRVY_20190924_1_0291_1_06</v>
      </c>
      <c r="C266">
        <f>Instructions!G273</f>
        <v>18</v>
      </c>
      <c r="D266" t="str">
        <f>IF(ISBLANK(Instructions!H273),"",Instructions!H273)</f>
        <v>Entered</v>
      </c>
      <c r="E266" s="1">
        <f>IF(ISBLANK(Instructions!I273),"",Instructions!I273)</f>
        <v>45646</v>
      </c>
      <c r="F266" t="str">
        <f>IF(ISBLANK(Instructions!J273),"",Instructions!J273)</f>
        <v>Erica Williams</v>
      </c>
      <c r="G266" s="1" t="str">
        <f>IF(ISBLANK(Instructions!K273),"",Instructions!K273)</f>
        <v/>
      </c>
      <c r="H266" t="str">
        <f>IF(ISBLANK(Instructions!L273),"",Instructions!L273)</f>
        <v/>
      </c>
      <c r="I266" t="str">
        <f t="shared" si="10"/>
        <v>NULL</v>
      </c>
      <c r="J266" t="str">
        <f t="shared" si="10"/>
        <v>NULL</v>
      </c>
      <c r="K266" t="str">
        <f>Instructions!M273</f>
        <v>Added via SMSS</v>
      </c>
      <c r="L266" t="str">
        <f t="shared" si="9"/>
        <v>NULL</v>
      </c>
    </row>
    <row r="267" spans="1:12" x14ac:dyDescent="0.25">
      <c r="A267" t="str" cm="1">
        <f t="array" ref="A267">_xlfn.CONCAT(Instructions!C274,Instructions!A274,"_",TEXT(Instructions!B274,"YYYYMMDD"),"_1_",INDEX(Table1[], MATCH(1,(Table1[Estuary]=Instructions!C274)*(Table1[StationNumber]=Instructions!D274)*(Instructions!B274&gt;Table1[StartDate])*(Instructions!B274&lt;Table1[EndDate]),0),1),"_1_",Instructions!E274,"_",Instructions!F274)</f>
        <v>TBSRVY_20190924_1_0291_1_06_016</v>
      </c>
      <c r="B267" t="str" cm="1">
        <f t="array" ref="B267">_xlfn.CONCAT(Instructions!C274,Instructions!A274,"_",TEXT(Instructions!B274,"YYYYMMDD"),"_1_",INDEX(Table1[], MATCH(1,(Table1[Estuary]=Instructions!C274)*(Table1[StationNumber]=Instructions!D274)*(Instructions!B274&gt;Table1[StartDate])*(Instructions!B274&lt;Table1[EndDate]),0),1),"_1_",Instructions!E274)</f>
        <v>TBSRVY_20190924_1_0291_1_06</v>
      </c>
      <c r="C267">
        <f>Instructions!G274</f>
        <v>5</v>
      </c>
      <c r="D267" t="str">
        <f>IF(ISBLANK(Instructions!H274),"",Instructions!H274)</f>
        <v>Entered</v>
      </c>
      <c r="E267" s="1">
        <f>IF(ISBLANK(Instructions!I274),"",Instructions!I274)</f>
        <v>45646</v>
      </c>
      <c r="F267" t="str">
        <f>IF(ISBLANK(Instructions!J274),"",Instructions!J274)</f>
        <v>Erica Williams</v>
      </c>
      <c r="G267" s="1" t="str">
        <f>IF(ISBLANK(Instructions!K274),"",Instructions!K274)</f>
        <v/>
      </c>
      <c r="H267" t="str">
        <f>IF(ISBLANK(Instructions!L274),"",Instructions!L274)</f>
        <v/>
      </c>
      <c r="I267" t="str">
        <f t="shared" si="10"/>
        <v>NULL</v>
      </c>
      <c r="J267" t="str">
        <f t="shared" si="10"/>
        <v>NULL</v>
      </c>
      <c r="K267" t="str">
        <f>Instructions!M274</f>
        <v>Added via SMSS</v>
      </c>
      <c r="L267" t="str">
        <f t="shared" si="9"/>
        <v>NULL</v>
      </c>
    </row>
    <row r="268" spans="1:12" x14ac:dyDescent="0.25">
      <c r="A268" t="str" cm="1">
        <f t="array" ref="A268">_xlfn.CONCAT(Instructions!C275,Instructions!A275,"_",TEXT(Instructions!B275,"YYYYMMDD"),"_1_",INDEX(Table1[], MATCH(1,(Table1[Estuary]=Instructions!C275)*(Table1[StationNumber]=Instructions!D275)*(Instructions!B275&gt;Table1[StartDate])*(Instructions!B275&lt;Table1[EndDate]),0),1),"_1_",Instructions!E275,"_",Instructions!F275)</f>
        <v>TBSRVY_20190924_1_0291_1_06_017</v>
      </c>
      <c r="B268" t="str" cm="1">
        <f t="array" ref="B268">_xlfn.CONCAT(Instructions!C275,Instructions!A275,"_",TEXT(Instructions!B275,"YYYYMMDD"),"_1_",INDEX(Table1[], MATCH(1,(Table1[Estuary]=Instructions!C275)*(Table1[StationNumber]=Instructions!D275)*(Instructions!B275&gt;Table1[StartDate])*(Instructions!B275&lt;Table1[EndDate]),0),1),"_1_",Instructions!E275)</f>
        <v>TBSRVY_20190924_1_0291_1_06</v>
      </c>
      <c r="C268">
        <f>Instructions!G275</f>
        <v>5</v>
      </c>
      <c r="D268" t="str">
        <f>IF(ISBLANK(Instructions!H275),"",Instructions!H275)</f>
        <v>Entered</v>
      </c>
      <c r="E268" s="1">
        <f>IF(ISBLANK(Instructions!I275),"",Instructions!I275)</f>
        <v>45646</v>
      </c>
      <c r="F268" t="str">
        <f>IF(ISBLANK(Instructions!J275),"",Instructions!J275)</f>
        <v>Erica Williams</v>
      </c>
      <c r="G268" s="1" t="str">
        <f>IF(ISBLANK(Instructions!K275),"",Instructions!K275)</f>
        <v/>
      </c>
      <c r="H268" t="str">
        <f>IF(ISBLANK(Instructions!L275),"",Instructions!L275)</f>
        <v/>
      </c>
      <c r="I268" t="str">
        <f t="shared" si="10"/>
        <v>NULL</v>
      </c>
      <c r="J268" t="str">
        <f t="shared" si="10"/>
        <v>NULL</v>
      </c>
      <c r="K268" t="str">
        <f>Instructions!M275</f>
        <v>Added via SMSS</v>
      </c>
      <c r="L268" t="str">
        <f t="shared" si="9"/>
        <v>NULL</v>
      </c>
    </row>
    <row r="269" spans="1:12" x14ac:dyDescent="0.25">
      <c r="A269" t="str" cm="1">
        <f t="array" ref="A269">_xlfn.CONCAT(Instructions!C276,Instructions!A276,"_",TEXT(Instructions!B276,"YYYYMMDD"),"_1_",INDEX(Table1[], MATCH(1,(Table1[Estuary]=Instructions!C276)*(Table1[StationNumber]=Instructions!D276)*(Instructions!B276&gt;Table1[StartDate])*(Instructions!B276&lt;Table1[EndDate]),0),1),"_1_",Instructions!E276,"_",Instructions!F276)</f>
        <v>TBSRVY_20190924_1_0291_1_06_018</v>
      </c>
      <c r="B269" t="str" cm="1">
        <f t="array" ref="B269">_xlfn.CONCAT(Instructions!C276,Instructions!A276,"_",TEXT(Instructions!B276,"YYYYMMDD"),"_1_",INDEX(Table1[], MATCH(1,(Table1[Estuary]=Instructions!C276)*(Table1[StationNumber]=Instructions!D276)*(Instructions!B276&gt;Table1[StartDate])*(Instructions!B276&lt;Table1[EndDate]),0),1),"_1_",Instructions!E276)</f>
        <v>TBSRVY_20190924_1_0291_1_06</v>
      </c>
      <c r="C269">
        <f>Instructions!G276</f>
        <v>5</v>
      </c>
      <c r="D269" t="str">
        <f>IF(ISBLANK(Instructions!H276),"",Instructions!H276)</f>
        <v>Entered</v>
      </c>
      <c r="E269" s="1">
        <f>IF(ISBLANK(Instructions!I276),"",Instructions!I276)</f>
        <v>45646</v>
      </c>
      <c r="F269" t="str">
        <f>IF(ISBLANK(Instructions!J276),"",Instructions!J276)</f>
        <v>Erica Williams</v>
      </c>
      <c r="G269" s="1" t="str">
        <f>IF(ISBLANK(Instructions!K276),"",Instructions!K276)</f>
        <v/>
      </c>
      <c r="H269" t="str">
        <f>IF(ISBLANK(Instructions!L276),"",Instructions!L276)</f>
        <v/>
      </c>
      <c r="I269" t="str">
        <f t="shared" si="10"/>
        <v>NULL</v>
      </c>
      <c r="J269" t="str">
        <f t="shared" si="10"/>
        <v>NULL</v>
      </c>
      <c r="K269" t="str">
        <f>Instructions!M276</f>
        <v>Added via SMSS</v>
      </c>
      <c r="L269" t="str">
        <f t="shared" si="9"/>
        <v>NULL</v>
      </c>
    </row>
    <row r="270" spans="1:12" x14ac:dyDescent="0.25">
      <c r="A270" t="str" cm="1">
        <f t="array" ref="A270">_xlfn.CONCAT(Instructions!C277,Instructions!A277,"_",TEXT(Instructions!B277,"YYYYMMDD"),"_1_",INDEX(Table1[], MATCH(1,(Table1[Estuary]=Instructions!C277)*(Table1[StationNumber]=Instructions!D277)*(Instructions!B277&gt;Table1[StartDate])*(Instructions!B277&lt;Table1[EndDate]),0),1),"_1_",Instructions!E277,"_",Instructions!F277)</f>
        <v>TBSRVY_20190924_1_0291_1_06_019</v>
      </c>
      <c r="B270" t="str" cm="1">
        <f t="array" ref="B270">_xlfn.CONCAT(Instructions!C277,Instructions!A277,"_",TEXT(Instructions!B277,"YYYYMMDD"),"_1_",INDEX(Table1[], MATCH(1,(Table1[Estuary]=Instructions!C277)*(Table1[StationNumber]=Instructions!D277)*(Instructions!B277&gt;Table1[StartDate])*(Instructions!B277&lt;Table1[EndDate]),0),1),"_1_",Instructions!E277)</f>
        <v>TBSRVY_20190924_1_0291_1_06</v>
      </c>
      <c r="C270">
        <f>Instructions!G277</f>
        <v>54</v>
      </c>
      <c r="D270" t="str">
        <f>IF(ISBLANK(Instructions!H277),"",Instructions!H277)</f>
        <v>Entered</v>
      </c>
      <c r="E270" s="1">
        <f>IF(ISBLANK(Instructions!I277),"",Instructions!I277)</f>
        <v>45646</v>
      </c>
      <c r="F270" t="str">
        <f>IF(ISBLANK(Instructions!J277),"",Instructions!J277)</f>
        <v>Erica Williams</v>
      </c>
      <c r="G270" s="1" t="str">
        <f>IF(ISBLANK(Instructions!K277),"",Instructions!K277)</f>
        <v/>
      </c>
      <c r="H270" t="str">
        <f>IF(ISBLANK(Instructions!L277),"",Instructions!L277)</f>
        <v/>
      </c>
      <c r="I270" t="str">
        <f t="shared" si="10"/>
        <v>NULL</v>
      </c>
      <c r="J270" t="str">
        <f t="shared" si="10"/>
        <v>NULL</v>
      </c>
      <c r="K270" t="str">
        <f>Instructions!M277</f>
        <v>Added via SMSS</v>
      </c>
      <c r="L270" t="str">
        <f t="shared" si="9"/>
        <v>NULL</v>
      </c>
    </row>
    <row r="271" spans="1:12" x14ac:dyDescent="0.25">
      <c r="A271" t="str" cm="1">
        <f t="array" ref="A271">_xlfn.CONCAT(Instructions!C278,Instructions!A278,"_",TEXT(Instructions!B278,"YYYYMMDD"),"_1_",INDEX(Table1[], MATCH(1,(Table1[Estuary]=Instructions!C278)*(Table1[StationNumber]=Instructions!D278)*(Instructions!B278&gt;Table1[StartDate])*(Instructions!B278&lt;Table1[EndDate]),0),1),"_1_",Instructions!E278,"_",Instructions!F278)</f>
        <v>TBSRVY_20190924_1_0291_1_06_020</v>
      </c>
      <c r="B271" t="str" cm="1">
        <f t="array" ref="B271">_xlfn.CONCAT(Instructions!C278,Instructions!A278,"_",TEXT(Instructions!B278,"YYYYMMDD"),"_1_",INDEX(Table1[], MATCH(1,(Table1[Estuary]=Instructions!C278)*(Table1[StationNumber]=Instructions!D278)*(Instructions!B278&gt;Table1[StartDate])*(Instructions!B278&lt;Table1[EndDate]),0),1),"_1_",Instructions!E278)</f>
        <v>TBSRVY_20190924_1_0291_1_06</v>
      </c>
      <c r="C271">
        <f>Instructions!G278</f>
        <v>18</v>
      </c>
      <c r="D271" t="str">
        <f>IF(ISBLANK(Instructions!H278),"",Instructions!H278)</f>
        <v>Entered</v>
      </c>
      <c r="E271" s="1">
        <f>IF(ISBLANK(Instructions!I278),"",Instructions!I278)</f>
        <v>45646</v>
      </c>
      <c r="F271" t="str">
        <f>IF(ISBLANK(Instructions!J278),"",Instructions!J278)</f>
        <v>Erica Williams</v>
      </c>
      <c r="G271" s="1" t="str">
        <f>IF(ISBLANK(Instructions!K278),"",Instructions!K278)</f>
        <v/>
      </c>
      <c r="H271" t="str">
        <f>IF(ISBLANK(Instructions!L278),"",Instructions!L278)</f>
        <v/>
      </c>
      <c r="I271" t="str">
        <f t="shared" si="10"/>
        <v>NULL</v>
      </c>
      <c r="J271" t="str">
        <f t="shared" si="10"/>
        <v>NULL</v>
      </c>
      <c r="K271" t="str">
        <f>Instructions!M278</f>
        <v>Added via SMSS</v>
      </c>
      <c r="L271" t="str">
        <f t="shared" si="9"/>
        <v>NULL</v>
      </c>
    </row>
    <row r="272" spans="1:12" x14ac:dyDescent="0.25">
      <c r="A272" t="str" cm="1">
        <f t="array" ref="A272">_xlfn.CONCAT(Instructions!C279,Instructions!A279,"_",TEXT(Instructions!B279,"YYYYMMDD"),"_1_",INDEX(Table1[], MATCH(1,(Table1[Estuary]=Instructions!C279)*(Table1[StationNumber]=Instructions!D279)*(Instructions!B279&gt;Table1[StartDate])*(Instructions!B279&lt;Table1[EndDate]),0),1),"_1_",Instructions!E279,"_",Instructions!F279)</f>
        <v>TBSRVY_20190924_1_0291_1_06_021</v>
      </c>
      <c r="B272" t="str" cm="1">
        <f t="array" ref="B272">_xlfn.CONCAT(Instructions!C279,Instructions!A279,"_",TEXT(Instructions!B279,"YYYYMMDD"),"_1_",INDEX(Table1[], MATCH(1,(Table1[Estuary]=Instructions!C279)*(Table1[StationNumber]=Instructions!D279)*(Instructions!B279&gt;Table1[StartDate])*(Instructions!B279&lt;Table1[EndDate]),0),1),"_1_",Instructions!E279)</f>
        <v>TBSRVY_20190924_1_0291_1_06</v>
      </c>
      <c r="C272">
        <f>Instructions!G279</f>
        <v>49</v>
      </c>
      <c r="D272" t="str">
        <f>IF(ISBLANK(Instructions!H279),"",Instructions!H279)</f>
        <v>Entered</v>
      </c>
      <c r="E272" s="1">
        <f>IF(ISBLANK(Instructions!I279),"",Instructions!I279)</f>
        <v>45646</v>
      </c>
      <c r="F272" t="str">
        <f>IF(ISBLANK(Instructions!J279),"",Instructions!J279)</f>
        <v>Erica Williams</v>
      </c>
      <c r="G272" s="1" t="str">
        <f>IF(ISBLANK(Instructions!K279),"",Instructions!K279)</f>
        <v/>
      </c>
      <c r="H272" t="str">
        <f>IF(ISBLANK(Instructions!L279),"",Instructions!L279)</f>
        <v/>
      </c>
      <c r="I272" t="str">
        <f t="shared" si="10"/>
        <v>NULL</v>
      </c>
      <c r="J272" t="str">
        <f t="shared" si="10"/>
        <v>NULL</v>
      </c>
      <c r="K272" t="str">
        <f>Instructions!M279</f>
        <v>Added via SMSS</v>
      </c>
      <c r="L272" t="str">
        <f t="shared" si="9"/>
        <v>NULL</v>
      </c>
    </row>
    <row r="273" spans="1:12" x14ac:dyDescent="0.25">
      <c r="A273" t="str" cm="1">
        <f t="array" ref="A273">_xlfn.CONCAT(Instructions!C280,Instructions!A280,"_",TEXT(Instructions!B280,"YYYYMMDD"),"_1_",INDEX(Table1[], MATCH(1,(Table1[Estuary]=Instructions!C280)*(Table1[StationNumber]=Instructions!D280)*(Instructions!B280&gt;Table1[StartDate])*(Instructions!B280&lt;Table1[EndDate]),0),1),"_1_",Instructions!E280,"_",Instructions!F280)</f>
        <v>TBSRVY_20190924_1_0291_1_06_022</v>
      </c>
      <c r="B273" t="str" cm="1">
        <f t="array" ref="B273">_xlfn.CONCAT(Instructions!C280,Instructions!A280,"_",TEXT(Instructions!B280,"YYYYMMDD"),"_1_",INDEX(Table1[], MATCH(1,(Table1[Estuary]=Instructions!C280)*(Table1[StationNumber]=Instructions!D280)*(Instructions!B280&gt;Table1[StartDate])*(Instructions!B280&lt;Table1[EndDate]),0),1),"_1_",Instructions!E280)</f>
        <v>TBSRVY_20190924_1_0291_1_06</v>
      </c>
      <c r="C273">
        <f>Instructions!G280</f>
        <v>18</v>
      </c>
      <c r="D273" t="str">
        <f>IF(ISBLANK(Instructions!H280),"",Instructions!H280)</f>
        <v>Entered</v>
      </c>
      <c r="E273" s="1">
        <f>IF(ISBLANK(Instructions!I280),"",Instructions!I280)</f>
        <v>45646</v>
      </c>
      <c r="F273" t="str">
        <f>IF(ISBLANK(Instructions!J280),"",Instructions!J280)</f>
        <v>Erica Williams</v>
      </c>
      <c r="G273" s="1" t="str">
        <f>IF(ISBLANK(Instructions!K280),"",Instructions!K280)</f>
        <v/>
      </c>
      <c r="H273" t="str">
        <f>IF(ISBLANK(Instructions!L280),"",Instructions!L280)</f>
        <v/>
      </c>
      <c r="I273" t="str">
        <f t="shared" si="10"/>
        <v>NULL</v>
      </c>
      <c r="J273" t="str">
        <f t="shared" si="10"/>
        <v>NULL</v>
      </c>
      <c r="K273" t="str">
        <f>Instructions!M280</f>
        <v>Added via SMSS</v>
      </c>
      <c r="L273" t="str">
        <f t="shared" si="9"/>
        <v>NULL</v>
      </c>
    </row>
    <row r="274" spans="1:12" x14ac:dyDescent="0.25">
      <c r="A274" t="str" cm="1">
        <f t="array" ref="A274">_xlfn.CONCAT(Instructions!C281,Instructions!A281,"_",TEXT(Instructions!B281,"YYYYMMDD"),"_1_",INDEX(Table1[], MATCH(1,(Table1[Estuary]=Instructions!C281)*(Table1[StationNumber]=Instructions!D281)*(Instructions!B281&gt;Table1[StartDate])*(Instructions!B281&lt;Table1[EndDate]),0),1),"_1_",Instructions!E281,"_",Instructions!F281)</f>
        <v>TBSRVY_20190924_1_0291_1_06_023</v>
      </c>
      <c r="B274" t="str" cm="1">
        <f t="array" ref="B274">_xlfn.CONCAT(Instructions!C281,Instructions!A281,"_",TEXT(Instructions!B281,"YYYYMMDD"),"_1_",INDEX(Table1[], MATCH(1,(Table1[Estuary]=Instructions!C281)*(Table1[StationNumber]=Instructions!D281)*(Instructions!B281&gt;Table1[StartDate])*(Instructions!B281&lt;Table1[EndDate]),0),1),"_1_",Instructions!E281)</f>
        <v>TBSRVY_20190924_1_0291_1_06</v>
      </c>
      <c r="C274">
        <f>Instructions!G281</f>
        <v>17</v>
      </c>
      <c r="D274" t="str">
        <f>IF(ISBLANK(Instructions!H281),"",Instructions!H281)</f>
        <v>Entered</v>
      </c>
      <c r="E274" s="1">
        <f>IF(ISBLANK(Instructions!I281),"",Instructions!I281)</f>
        <v>45646</v>
      </c>
      <c r="F274" t="str">
        <f>IF(ISBLANK(Instructions!J281),"",Instructions!J281)</f>
        <v>Erica Williams</v>
      </c>
      <c r="G274" s="1" t="str">
        <f>IF(ISBLANK(Instructions!K281),"",Instructions!K281)</f>
        <v/>
      </c>
      <c r="H274" t="str">
        <f>IF(ISBLANK(Instructions!L281),"",Instructions!L281)</f>
        <v/>
      </c>
      <c r="I274" t="str">
        <f t="shared" si="10"/>
        <v>NULL</v>
      </c>
      <c r="J274" t="str">
        <f t="shared" si="10"/>
        <v>NULL</v>
      </c>
      <c r="K274" t="str">
        <f>Instructions!M281</f>
        <v>Added via SMSS</v>
      </c>
      <c r="L274" t="str">
        <f t="shared" si="9"/>
        <v>NULL</v>
      </c>
    </row>
    <row r="275" spans="1:12" x14ac:dyDescent="0.25">
      <c r="A275" t="str" cm="1">
        <f t="array" ref="A275">_xlfn.CONCAT(Instructions!C282,Instructions!A282,"_",TEXT(Instructions!B282,"YYYYMMDD"),"_1_",INDEX(Table1[], MATCH(1,(Table1[Estuary]=Instructions!C282)*(Table1[StationNumber]=Instructions!D282)*(Instructions!B282&gt;Table1[StartDate])*(Instructions!B282&lt;Table1[EndDate]),0),1),"_1_",Instructions!E282,"_",Instructions!F282)</f>
        <v>TBSRVY_20190924_1_0291_1_06_024</v>
      </c>
      <c r="B275" t="str" cm="1">
        <f t="array" ref="B275">_xlfn.CONCAT(Instructions!C282,Instructions!A282,"_",TEXT(Instructions!B282,"YYYYMMDD"),"_1_",INDEX(Table1[], MATCH(1,(Table1[Estuary]=Instructions!C282)*(Table1[StationNumber]=Instructions!D282)*(Instructions!B282&gt;Table1[StartDate])*(Instructions!B282&lt;Table1[EndDate]),0),1),"_1_",Instructions!E282)</f>
        <v>TBSRVY_20190924_1_0291_1_06</v>
      </c>
      <c r="C275">
        <f>Instructions!G282</f>
        <v>16</v>
      </c>
      <c r="D275" t="str">
        <f>IF(ISBLANK(Instructions!H282),"",Instructions!H282)</f>
        <v>Entered</v>
      </c>
      <c r="E275" s="1">
        <f>IF(ISBLANK(Instructions!I282),"",Instructions!I282)</f>
        <v>45646</v>
      </c>
      <c r="F275" t="str">
        <f>IF(ISBLANK(Instructions!J282),"",Instructions!J282)</f>
        <v>Erica Williams</v>
      </c>
      <c r="G275" s="1" t="str">
        <f>IF(ISBLANK(Instructions!K282),"",Instructions!K282)</f>
        <v/>
      </c>
      <c r="H275" t="str">
        <f>IF(ISBLANK(Instructions!L282),"",Instructions!L282)</f>
        <v/>
      </c>
      <c r="I275" t="str">
        <f t="shared" si="10"/>
        <v>NULL</v>
      </c>
      <c r="J275" t="str">
        <f t="shared" si="10"/>
        <v>NULL</v>
      </c>
      <c r="K275" t="str">
        <f>Instructions!M282</f>
        <v>Added via SMSS</v>
      </c>
      <c r="L275" t="str">
        <f t="shared" si="9"/>
        <v>NULL</v>
      </c>
    </row>
    <row r="276" spans="1:12" x14ac:dyDescent="0.25">
      <c r="A276" t="str" cm="1">
        <f t="array" ref="A276">_xlfn.CONCAT(Instructions!C283,Instructions!A283,"_",TEXT(Instructions!B283,"YYYYMMDD"),"_1_",INDEX(Table1[], MATCH(1,(Table1[Estuary]=Instructions!C283)*(Table1[StationNumber]=Instructions!D283)*(Instructions!B283&gt;Table1[StartDate])*(Instructions!B283&lt;Table1[EndDate]),0),1),"_1_",Instructions!E283,"_",Instructions!F283)</f>
        <v>TBSRVY_20190924_1_0291_1_06_025</v>
      </c>
      <c r="B276" t="str" cm="1">
        <f t="array" ref="B276">_xlfn.CONCAT(Instructions!C283,Instructions!A283,"_",TEXT(Instructions!B283,"YYYYMMDD"),"_1_",INDEX(Table1[], MATCH(1,(Table1[Estuary]=Instructions!C283)*(Table1[StationNumber]=Instructions!D283)*(Instructions!B283&gt;Table1[StartDate])*(Instructions!B283&lt;Table1[EndDate]),0),1),"_1_",Instructions!E283)</f>
        <v>TBSRVY_20190924_1_0291_1_06</v>
      </c>
      <c r="C276">
        <f>Instructions!G283</f>
        <v>15</v>
      </c>
      <c r="D276" t="str">
        <f>IF(ISBLANK(Instructions!H283),"",Instructions!H283)</f>
        <v>Entered</v>
      </c>
      <c r="E276" s="1">
        <f>IF(ISBLANK(Instructions!I283),"",Instructions!I283)</f>
        <v>45646</v>
      </c>
      <c r="F276" t="str">
        <f>IF(ISBLANK(Instructions!J283),"",Instructions!J283)</f>
        <v>Erica Williams</v>
      </c>
      <c r="G276" s="1" t="str">
        <f>IF(ISBLANK(Instructions!K283),"",Instructions!K283)</f>
        <v/>
      </c>
      <c r="H276" t="str">
        <f>IF(ISBLANK(Instructions!L283),"",Instructions!L283)</f>
        <v/>
      </c>
      <c r="I276" t="str">
        <f t="shared" si="10"/>
        <v>NULL</v>
      </c>
      <c r="J276" t="str">
        <f t="shared" si="10"/>
        <v>NULL</v>
      </c>
      <c r="K276" t="str">
        <f>Instructions!M283</f>
        <v>Added via SMSS</v>
      </c>
      <c r="L276" t="str">
        <f t="shared" si="9"/>
        <v>NULL</v>
      </c>
    </row>
    <row r="277" spans="1:12" x14ac:dyDescent="0.25">
      <c r="A277" t="str" cm="1">
        <f t="array" ref="A277">_xlfn.CONCAT(Instructions!C284,Instructions!A284,"_",TEXT(Instructions!B284,"YYYYMMDD"),"_1_",INDEX(Table1[], MATCH(1,(Table1[Estuary]=Instructions!C284)*(Table1[StationNumber]=Instructions!D284)*(Instructions!B284&gt;Table1[StartDate])*(Instructions!B284&lt;Table1[EndDate]),0),1),"_1_",Instructions!E284,"_",Instructions!F284)</f>
        <v>TBSRVY_20190924_1_0291_1_06_026</v>
      </c>
      <c r="B277" t="str" cm="1">
        <f t="array" ref="B277">_xlfn.CONCAT(Instructions!C284,Instructions!A284,"_",TEXT(Instructions!B284,"YYYYMMDD"),"_1_",INDEX(Table1[], MATCH(1,(Table1[Estuary]=Instructions!C284)*(Table1[StationNumber]=Instructions!D284)*(Instructions!B284&gt;Table1[StartDate])*(Instructions!B284&lt;Table1[EndDate]),0),1),"_1_",Instructions!E284)</f>
        <v>TBSRVY_20190924_1_0291_1_06</v>
      </c>
      <c r="C277">
        <f>Instructions!G284</f>
        <v>18</v>
      </c>
      <c r="D277" t="str">
        <f>IF(ISBLANK(Instructions!H284),"",Instructions!H284)</f>
        <v>Entered</v>
      </c>
      <c r="E277" s="1">
        <f>IF(ISBLANK(Instructions!I284),"",Instructions!I284)</f>
        <v>45646</v>
      </c>
      <c r="F277" t="str">
        <f>IF(ISBLANK(Instructions!J284),"",Instructions!J284)</f>
        <v>Erica Williams</v>
      </c>
      <c r="G277" s="1" t="str">
        <f>IF(ISBLANK(Instructions!K284),"",Instructions!K284)</f>
        <v/>
      </c>
      <c r="H277" t="str">
        <f>IF(ISBLANK(Instructions!L284),"",Instructions!L284)</f>
        <v/>
      </c>
      <c r="I277" t="str">
        <f t="shared" si="10"/>
        <v>NULL</v>
      </c>
      <c r="J277" t="str">
        <f t="shared" si="10"/>
        <v>NULL</v>
      </c>
      <c r="K277" t="str">
        <f>Instructions!M284</f>
        <v>Added via SMSS</v>
      </c>
      <c r="L277" t="str">
        <f t="shared" si="9"/>
        <v>NULL</v>
      </c>
    </row>
    <row r="278" spans="1:12" x14ac:dyDescent="0.25">
      <c r="A278" t="str" cm="1">
        <f t="array" ref="A278">_xlfn.CONCAT(Instructions!C285,Instructions!A285,"_",TEXT(Instructions!B285,"YYYYMMDD"),"_1_",INDEX(Table1[], MATCH(1,(Table1[Estuary]=Instructions!C285)*(Table1[StationNumber]=Instructions!D285)*(Instructions!B285&gt;Table1[StartDate])*(Instructions!B285&lt;Table1[EndDate]),0),1),"_1_",Instructions!E285,"_",Instructions!F285)</f>
        <v>TBSRVY_20190924_1_0291_1_06_027</v>
      </c>
      <c r="B278" t="str" cm="1">
        <f t="array" ref="B278">_xlfn.CONCAT(Instructions!C285,Instructions!A285,"_",TEXT(Instructions!B285,"YYYYMMDD"),"_1_",INDEX(Table1[], MATCH(1,(Table1[Estuary]=Instructions!C285)*(Table1[StationNumber]=Instructions!D285)*(Instructions!B285&gt;Table1[StartDate])*(Instructions!B285&lt;Table1[EndDate]),0),1),"_1_",Instructions!E285)</f>
        <v>TBSRVY_20190924_1_0291_1_06</v>
      </c>
      <c r="C278">
        <f>Instructions!G285</f>
        <v>20</v>
      </c>
      <c r="D278" t="str">
        <f>IF(ISBLANK(Instructions!H285),"",Instructions!H285)</f>
        <v>Entered</v>
      </c>
      <c r="E278" s="1">
        <f>IF(ISBLANK(Instructions!I285),"",Instructions!I285)</f>
        <v>45646</v>
      </c>
      <c r="F278" t="str">
        <f>IF(ISBLANK(Instructions!J285),"",Instructions!J285)</f>
        <v>Erica Williams</v>
      </c>
      <c r="G278" s="1" t="str">
        <f>IF(ISBLANK(Instructions!K285),"",Instructions!K285)</f>
        <v/>
      </c>
      <c r="H278" t="str">
        <f>IF(ISBLANK(Instructions!L285),"",Instructions!L285)</f>
        <v/>
      </c>
      <c r="I278" t="str">
        <f t="shared" si="10"/>
        <v>NULL</v>
      </c>
      <c r="J278" t="str">
        <f t="shared" si="10"/>
        <v>NULL</v>
      </c>
      <c r="K278" t="str">
        <f>Instructions!M285</f>
        <v>Added via SMSS</v>
      </c>
      <c r="L278" t="str">
        <f t="shared" si="9"/>
        <v>NULL</v>
      </c>
    </row>
    <row r="279" spans="1:12" x14ac:dyDescent="0.25">
      <c r="A279" t="str" cm="1">
        <f t="array" ref="A279">_xlfn.CONCAT(Instructions!C286,Instructions!A286,"_",TEXT(Instructions!B286,"YYYYMMDD"),"_1_",INDEX(Table1[], MATCH(1,(Table1[Estuary]=Instructions!C286)*(Table1[StationNumber]=Instructions!D286)*(Instructions!B286&gt;Table1[StartDate])*(Instructions!B286&lt;Table1[EndDate]),0),1),"_1_",Instructions!E286,"_",Instructions!F286)</f>
        <v>TBSRVY_20190924_1_0291_1_06_028</v>
      </c>
      <c r="B279" t="str" cm="1">
        <f t="array" ref="B279">_xlfn.CONCAT(Instructions!C286,Instructions!A286,"_",TEXT(Instructions!B286,"YYYYMMDD"),"_1_",INDEX(Table1[], MATCH(1,(Table1[Estuary]=Instructions!C286)*(Table1[StationNumber]=Instructions!D286)*(Instructions!B286&gt;Table1[StartDate])*(Instructions!B286&lt;Table1[EndDate]),0),1),"_1_",Instructions!E286)</f>
        <v>TBSRVY_20190924_1_0291_1_06</v>
      </c>
      <c r="C279">
        <f>Instructions!G286</f>
        <v>12</v>
      </c>
      <c r="D279" t="str">
        <f>IF(ISBLANK(Instructions!H286),"",Instructions!H286)</f>
        <v>Entered</v>
      </c>
      <c r="E279" s="1">
        <f>IF(ISBLANK(Instructions!I286),"",Instructions!I286)</f>
        <v>45646</v>
      </c>
      <c r="F279" t="str">
        <f>IF(ISBLANK(Instructions!J286),"",Instructions!J286)</f>
        <v>Erica Williams</v>
      </c>
      <c r="G279" s="1" t="str">
        <f>IF(ISBLANK(Instructions!K286),"",Instructions!K286)</f>
        <v/>
      </c>
      <c r="H279" t="str">
        <f>IF(ISBLANK(Instructions!L286),"",Instructions!L286)</f>
        <v/>
      </c>
      <c r="I279" t="str">
        <f t="shared" si="10"/>
        <v>NULL</v>
      </c>
      <c r="J279" t="str">
        <f t="shared" si="10"/>
        <v>NULL</v>
      </c>
      <c r="K279" t="str">
        <f>Instructions!M286</f>
        <v>Added via SMSS</v>
      </c>
      <c r="L279" t="str">
        <f t="shared" si="9"/>
        <v>NULL</v>
      </c>
    </row>
    <row r="280" spans="1:12" x14ac:dyDescent="0.25">
      <c r="A280" t="str" cm="1">
        <f t="array" ref="A280">_xlfn.CONCAT(Instructions!C287,Instructions!A287,"_",TEXT(Instructions!B287,"YYYYMMDD"),"_1_",INDEX(Table1[], MATCH(1,(Table1[Estuary]=Instructions!C287)*(Table1[StationNumber]=Instructions!D287)*(Instructions!B287&gt;Table1[StartDate])*(Instructions!B287&lt;Table1[EndDate]),0),1),"_1_",Instructions!E287,"_",Instructions!F287)</f>
        <v>TBSRVY_20190924_1_0291_1_06_029</v>
      </c>
      <c r="B280" t="str" cm="1">
        <f t="array" ref="B280">_xlfn.CONCAT(Instructions!C287,Instructions!A287,"_",TEXT(Instructions!B287,"YYYYMMDD"),"_1_",INDEX(Table1[], MATCH(1,(Table1[Estuary]=Instructions!C287)*(Table1[StationNumber]=Instructions!D287)*(Instructions!B287&gt;Table1[StartDate])*(Instructions!B287&lt;Table1[EndDate]),0),1),"_1_",Instructions!E287)</f>
        <v>TBSRVY_20190924_1_0291_1_06</v>
      </c>
      <c r="C280">
        <f>Instructions!G287</f>
        <v>17</v>
      </c>
      <c r="D280" t="str">
        <f>IF(ISBLANK(Instructions!H287),"",Instructions!H287)</f>
        <v>Entered</v>
      </c>
      <c r="E280" s="1">
        <f>IF(ISBLANK(Instructions!I287),"",Instructions!I287)</f>
        <v>45646</v>
      </c>
      <c r="F280" t="str">
        <f>IF(ISBLANK(Instructions!J287),"",Instructions!J287)</f>
        <v>Erica Williams</v>
      </c>
      <c r="G280" s="1" t="str">
        <f>IF(ISBLANK(Instructions!K287),"",Instructions!K287)</f>
        <v/>
      </c>
      <c r="H280" t="str">
        <f>IF(ISBLANK(Instructions!L287),"",Instructions!L287)</f>
        <v/>
      </c>
      <c r="I280" t="str">
        <f t="shared" si="10"/>
        <v>NULL</v>
      </c>
      <c r="J280" t="str">
        <f t="shared" si="10"/>
        <v>NULL</v>
      </c>
      <c r="K280" t="str">
        <f>Instructions!M287</f>
        <v>Added via SMSS</v>
      </c>
      <c r="L280" t="str">
        <f t="shared" si="9"/>
        <v>NULL</v>
      </c>
    </row>
    <row r="281" spans="1:12" x14ac:dyDescent="0.25">
      <c r="A281" t="str" cm="1">
        <f t="array" ref="A281">_xlfn.CONCAT(Instructions!C288,Instructions!A288,"_",TEXT(Instructions!B288,"YYYYMMDD"),"_1_",INDEX(Table1[], MATCH(1,(Table1[Estuary]=Instructions!C288)*(Table1[StationNumber]=Instructions!D288)*(Instructions!B288&gt;Table1[StartDate])*(Instructions!B288&lt;Table1[EndDate]),0),1),"_1_",Instructions!E288,"_",Instructions!F288)</f>
        <v>TBSRVY_20190924_1_0291_1_06_030</v>
      </c>
      <c r="B281" t="str" cm="1">
        <f t="array" ref="B281">_xlfn.CONCAT(Instructions!C288,Instructions!A288,"_",TEXT(Instructions!B288,"YYYYMMDD"),"_1_",INDEX(Table1[], MATCH(1,(Table1[Estuary]=Instructions!C288)*(Table1[StationNumber]=Instructions!D288)*(Instructions!B288&gt;Table1[StartDate])*(Instructions!B288&lt;Table1[EndDate]),0),1),"_1_",Instructions!E288)</f>
        <v>TBSRVY_20190924_1_0291_1_06</v>
      </c>
      <c r="C281">
        <f>Instructions!G288</f>
        <v>12</v>
      </c>
      <c r="D281" t="str">
        <f>IF(ISBLANK(Instructions!H288),"",Instructions!H288)</f>
        <v>Entered</v>
      </c>
      <c r="E281" s="1">
        <f>IF(ISBLANK(Instructions!I288),"",Instructions!I288)</f>
        <v>45646</v>
      </c>
      <c r="F281" t="str">
        <f>IF(ISBLANK(Instructions!J288),"",Instructions!J288)</f>
        <v>Erica Williams</v>
      </c>
      <c r="G281" s="1" t="str">
        <f>IF(ISBLANK(Instructions!K288),"",Instructions!K288)</f>
        <v/>
      </c>
      <c r="H281" t="str">
        <f>IF(ISBLANK(Instructions!L288),"",Instructions!L288)</f>
        <v/>
      </c>
      <c r="I281" t="str">
        <f t="shared" si="10"/>
        <v>NULL</v>
      </c>
      <c r="J281" t="str">
        <f t="shared" si="10"/>
        <v>NULL</v>
      </c>
      <c r="K281" t="str">
        <f>Instructions!M288</f>
        <v>Added via SMSS</v>
      </c>
      <c r="L281" t="str">
        <f t="shared" si="9"/>
        <v>NULL</v>
      </c>
    </row>
    <row r="282" spans="1:12" x14ac:dyDescent="0.25">
      <c r="A282" t="str" cm="1">
        <f t="array" ref="A282">_xlfn.CONCAT(Instructions!C289,Instructions!A289,"_",TEXT(Instructions!B289,"YYYYMMDD"),"_1_",INDEX(Table1[], MATCH(1,(Table1[Estuary]=Instructions!C289)*(Table1[StationNumber]=Instructions!D289)*(Instructions!B289&gt;Table1[StartDate])*(Instructions!B289&lt;Table1[EndDate]),0),1),"_1_",Instructions!E289,"_",Instructions!F289)</f>
        <v>TBSRVY_20190924_1_0291_1_06_031</v>
      </c>
      <c r="B282" t="str" cm="1">
        <f t="array" ref="B282">_xlfn.CONCAT(Instructions!C289,Instructions!A289,"_",TEXT(Instructions!B289,"YYYYMMDD"),"_1_",INDEX(Table1[], MATCH(1,(Table1[Estuary]=Instructions!C289)*(Table1[StationNumber]=Instructions!D289)*(Instructions!B289&gt;Table1[StartDate])*(Instructions!B289&lt;Table1[EndDate]),0),1),"_1_",Instructions!E289)</f>
        <v>TBSRVY_20190924_1_0291_1_06</v>
      </c>
      <c r="C282">
        <f>Instructions!G289</f>
        <v>10</v>
      </c>
      <c r="D282" t="str">
        <f>IF(ISBLANK(Instructions!H289),"",Instructions!H289)</f>
        <v>Entered</v>
      </c>
      <c r="E282" s="1">
        <f>IF(ISBLANK(Instructions!I289),"",Instructions!I289)</f>
        <v>45646</v>
      </c>
      <c r="F282" t="str">
        <f>IF(ISBLANK(Instructions!J289),"",Instructions!J289)</f>
        <v>Erica Williams</v>
      </c>
      <c r="G282" s="1" t="str">
        <f>IF(ISBLANK(Instructions!K289),"",Instructions!K289)</f>
        <v/>
      </c>
      <c r="H282" t="str">
        <f>IF(ISBLANK(Instructions!L289),"",Instructions!L289)</f>
        <v/>
      </c>
      <c r="I282" t="str">
        <f t="shared" si="10"/>
        <v>NULL</v>
      </c>
      <c r="J282" t="str">
        <f t="shared" si="10"/>
        <v>NULL</v>
      </c>
      <c r="K282" t="str">
        <f>Instructions!M289</f>
        <v>Added via SMSS</v>
      </c>
      <c r="L282" t="str">
        <f t="shared" si="9"/>
        <v>NULL</v>
      </c>
    </row>
    <row r="283" spans="1:12" x14ac:dyDescent="0.25">
      <c r="A283" t="str" cm="1">
        <f t="array" ref="A283">_xlfn.CONCAT(Instructions!C290,Instructions!A290,"_",TEXT(Instructions!B290,"YYYYMMDD"),"_1_",INDEX(Table1[], MATCH(1,(Table1[Estuary]=Instructions!C290)*(Table1[StationNumber]=Instructions!D290)*(Instructions!B290&gt;Table1[StartDate])*(Instructions!B290&lt;Table1[EndDate]),0),1),"_1_",Instructions!E290,"_",Instructions!F290)</f>
        <v>TBSRVY_20190924_1_0291_1_06_032</v>
      </c>
      <c r="B283" t="str" cm="1">
        <f t="array" ref="B283">_xlfn.CONCAT(Instructions!C290,Instructions!A290,"_",TEXT(Instructions!B290,"YYYYMMDD"),"_1_",INDEX(Table1[], MATCH(1,(Table1[Estuary]=Instructions!C290)*(Table1[StationNumber]=Instructions!D290)*(Instructions!B290&gt;Table1[StartDate])*(Instructions!B290&lt;Table1[EndDate]),0),1),"_1_",Instructions!E290)</f>
        <v>TBSRVY_20190924_1_0291_1_06</v>
      </c>
      <c r="C283">
        <f>Instructions!G290</f>
        <v>23</v>
      </c>
      <c r="D283" t="str">
        <f>IF(ISBLANK(Instructions!H290),"",Instructions!H290)</f>
        <v>Entered</v>
      </c>
      <c r="E283" s="1">
        <f>IF(ISBLANK(Instructions!I290),"",Instructions!I290)</f>
        <v>45646</v>
      </c>
      <c r="F283" t="str">
        <f>IF(ISBLANK(Instructions!J290),"",Instructions!J290)</f>
        <v>Erica Williams</v>
      </c>
      <c r="G283" s="1" t="str">
        <f>IF(ISBLANK(Instructions!K290),"",Instructions!K290)</f>
        <v/>
      </c>
      <c r="H283" t="str">
        <f>IF(ISBLANK(Instructions!L290),"",Instructions!L290)</f>
        <v/>
      </c>
      <c r="I283" t="str">
        <f t="shared" si="10"/>
        <v>NULL</v>
      </c>
      <c r="J283" t="str">
        <f t="shared" si="10"/>
        <v>NULL</v>
      </c>
      <c r="K283" t="str">
        <f>Instructions!M290</f>
        <v>Added via SMSS</v>
      </c>
      <c r="L283" t="str">
        <f t="shared" si="9"/>
        <v>NULL</v>
      </c>
    </row>
    <row r="284" spans="1:12" x14ac:dyDescent="0.25">
      <c r="A284" t="str" cm="1">
        <f t="array" ref="A284">_xlfn.CONCAT(Instructions!C291,Instructions!A291,"_",TEXT(Instructions!B291,"YYYYMMDD"),"_1_",INDEX(Table1[], MATCH(1,(Table1[Estuary]=Instructions!C291)*(Table1[StationNumber]=Instructions!D291)*(Instructions!B291&gt;Table1[StartDate])*(Instructions!B291&lt;Table1[EndDate]),0),1),"_1_",Instructions!E291,"_",Instructions!F291)</f>
        <v>TBSRVY_20190924_1_0291_1_06_033</v>
      </c>
      <c r="B284" t="str" cm="1">
        <f t="array" ref="B284">_xlfn.CONCAT(Instructions!C291,Instructions!A291,"_",TEXT(Instructions!B291,"YYYYMMDD"),"_1_",INDEX(Table1[], MATCH(1,(Table1[Estuary]=Instructions!C291)*(Table1[StationNumber]=Instructions!D291)*(Instructions!B291&gt;Table1[StartDate])*(Instructions!B291&lt;Table1[EndDate]),0),1),"_1_",Instructions!E291)</f>
        <v>TBSRVY_20190924_1_0291_1_06</v>
      </c>
      <c r="C284">
        <f>Instructions!G291</f>
        <v>8</v>
      </c>
      <c r="D284" t="str">
        <f>IF(ISBLANK(Instructions!H291),"",Instructions!H291)</f>
        <v>Entered</v>
      </c>
      <c r="E284" s="1">
        <f>IF(ISBLANK(Instructions!I291),"",Instructions!I291)</f>
        <v>45646</v>
      </c>
      <c r="F284" t="str">
        <f>IF(ISBLANK(Instructions!J291),"",Instructions!J291)</f>
        <v>Erica Williams</v>
      </c>
      <c r="G284" s="1" t="str">
        <f>IF(ISBLANK(Instructions!K291),"",Instructions!K291)</f>
        <v/>
      </c>
      <c r="H284" t="str">
        <f>IF(ISBLANK(Instructions!L291),"",Instructions!L291)</f>
        <v/>
      </c>
      <c r="I284" t="str">
        <f t="shared" si="10"/>
        <v>NULL</v>
      </c>
      <c r="J284" t="str">
        <f t="shared" si="10"/>
        <v>NULL</v>
      </c>
      <c r="K284" t="str">
        <f>Instructions!M291</f>
        <v>Added via SMSS</v>
      </c>
      <c r="L284" t="str">
        <f t="shared" si="9"/>
        <v>NULL</v>
      </c>
    </row>
    <row r="285" spans="1:12" x14ac:dyDescent="0.25">
      <c r="A285" t="str" cm="1">
        <f t="array" ref="A285">_xlfn.CONCAT(Instructions!C292,Instructions!A292,"_",TEXT(Instructions!B292,"YYYYMMDD"),"_1_",INDEX(Table1[], MATCH(1,(Table1[Estuary]=Instructions!C292)*(Table1[StationNumber]=Instructions!D292)*(Instructions!B292&gt;Table1[StartDate])*(Instructions!B292&lt;Table1[EndDate]),0),1),"_1_",Instructions!E292,"_",Instructions!F292)</f>
        <v>TBSRVY_20190924_1_0291_1_06_034</v>
      </c>
      <c r="B285" t="str" cm="1">
        <f t="array" ref="B285">_xlfn.CONCAT(Instructions!C292,Instructions!A292,"_",TEXT(Instructions!B292,"YYYYMMDD"),"_1_",INDEX(Table1[], MATCH(1,(Table1[Estuary]=Instructions!C292)*(Table1[StationNumber]=Instructions!D292)*(Instructions!B292&gt;Table1[StartDate])*(Instructions!B292&lt;Table1[EndDate]),0),1),"_1_",Instructions!E292)</f>
        <v>TBSRVY_20190924_1_0291_1_06</v>
      </c>
      <c r="C285">
        <f>Instructions!G292</f>
        <v>11</v>
      </c>
      <c r="D285" t="str">
        <f>IF(ISBLANK(Instructions!H292),"",Instructions!H292)</f>
        <v>Entered</v>
      </c>
      <c r="E285" s="1">
        <f>IF(ISBLANK(Instructions!I292),"",Instructions!I292)</f>
        <v>45646</v>
      </c>
      <c r="F285" t="str">
        <f>IF(ISBLANK(Instructions!J292),"",Instructions!J292)</f>
        <v>Erica Williams</v>
      </c>
      <c r="G285" s="1" t="str">
        <f>IF(ISBLANK(Instructions!K292),"",Instructions!K292)</f>
        <v/>
      </c>
      <c r="H285" t="str">
        <f>IF(ISBLANK(Instructions!L292),"",Instructions!L292)</f>
        <v/>
      </c>
      <c r="I285" t="str">
        <f t="shared" si="10"/>
        <v>NULL</v>
      </c>
      <c r="J285" t="str">
        <f t="shared" si="10"/>
        <v>NULL</v>
      </c>
      <c r="K285" t="str">
        <f>Instructions!M292</f>
        <v>Added via SMSS</v>
      </c>
      <c r="L285" t="str">
        <f t="shared" si="9"/>
        <v>NULL</v>
      </c>
    </row>
    <row r="286" spans="1:12" x14ac:dyDescent="0.25">
      <c r="A286" t="str" cm="1">
        <f t="array" ref="A286">_xlfn.CONCAT(Instructions!C293,Instructions!A293,"_",TEXT(Instructions!B293,"YYYYMMDD"),"_1_",INDEX(Table1[], MATCH(1,(Table1[Estuary]=Instructions!C293)*(Table1[StationNumber]=Instructions!D293)*(Instructions!B293&gt;Table1[StartDate])*(Instructions!B293&lt;Table1[EndDate]),0),1),"_1_",Instructions!E293,"_",Instructions!F293)</f>
        <v>TBSRVY_20190924_1_0291_1_06_035</v>
      </c>
      <c r="B286" t="str" cm="1">
        <f t="array" ref="B286">_xlfn.CONCAT(Instructions!C293,Instructions!A293,"_",TEXT(Instructions!B293,"YYYYMMDD"),"_1_",INDEX(Table1[], MATCH(1,(Table1[Estuary]=Instructions!C293)*(Table1[StationNumber]=Instructions!D293)*(Instructions!B293&gt;Table1[StartDate])*(Instructions!B293&lt;Table1[EndDate]),0),1),"_1_",Instructions!E293)</f>
        <v>TBSRVY_20190924_1_0291_1_06</v>
      </c>
      <c r="C286">
        <f>Instructions!G293</f>
        <v>20</v>
      </c>
      <c r="D286" t="str">
        <f>IF(ISBLANK(Instructions!H293),"",Instructions!H293)</f>
        <v>Entered</v>
      </c>
      <c r="E286" s="1">
        <f>IF(ISBLANK(Instructions!I293),"",Instructions!I293)</f>
        <v>45646</v>
      </c>
      <c r="F286" t="str">
        <f>IF(ISBLANK(Instructions!J293),"",Instructions!J293)</f>
        <v>Erica Williams</v>
      </c>
      <c r="G286" s="1" t="str">
        <f>IF(ISBLANK(Instructions!K293),"",Instructions!K293)</f>
        <v/>
      </c>
      <c r="H286" t="str">
        <f>IF(ISBLANK(Instructions!L293),"",Instructions!L293)</f>
        <v/>
      </c>
      <c r="I286" t="str">
        <f t="shared" si="10"/>
        <v>NULL</v>
      </c>
      <c r="J286" t="str">
        <f t="shared" si="10"/>
        <v>NULL</v>
      </c>
      <c r="K286" t="str">
        <f>Instructions!M293</f>
        <v>Added via SMSS</v>
      </c>
      <c r="L286" t="str">
        <f t="shared" si="9"/>
        <v>NULL</v>
      </c>
    </row>
    <row r="287" spans="1:12" x14ac:dyDescent="0.25">
      <c r="A287" t="str" cm="1">
        <f t="array" ref="A287">_xlfn.CONCAT(Instructions!C294,Instructions!A294,"_",TEXT(Instructions!B294,"YYYYMMDD"),"_1_",INDEX(Table1[], MATCH(1,(Table1[Estuary]=Instructions!C294)*(Table1[StationNumber]=Instructions!D294)*(Instructions!B294&gt;Table1[StartDate])*(Instructions!B294&lt;Table1[EndDate]),0),1),"_1_",Instructions!E294,"_",Instructions!F294)</f>
        <v>TBSRVY_20190924_1_0291_1_06_036</v>
      </c>
      <c r="B287" t="str" cm="1">
        <f t="array" ref="B287">_xlfn.CONCAT(Instructions!C294,Instructions!A294,"_",TEXT(Instructions!B294,"YYYYMMDD"),"_1_",INDEX(Table1[], MATCH(1,(Table1[Estuary]=Instructions!C294)*(Table1[StationNumber]=Instructions!D294)*(Instructions!B294&gt;Table1[StartDate])*(Instructions!B294&lt;Table1[EndDate]),0),1),"_1_",Instructions!E294)</f>
        <v>TBSRVY_20190924_1_0291_1_06</v>
      </c>
      <c r="C287">
        <f>Instructions!G294</f>
        <v>23</v>
      </c>
      <c r="D287" t="str">
        <f>IF(ISBLANK(Instructions!H294),"",Instructions!H294)</f>
        <v>Entered</v>
      </c>
      <c r="E287" s="1">
        <f>IF(ISBLANK(Instructions!I294),"",Instructions!I294)</f>
        <v>45646</v>
      </c>
      <c r="F287" t="str">
        <f>IF(ISBLANK(Instructions!J294),"",Instructions!J294)</f>
        <v>Erica Williams</v>
      </c>
      <c r="G287" s="1" t="str">
        <f>IF(ISBLANK(Instructions!K294),"",Instructions!K294)</f>
        <v/>
      </c>
      <c r="H287" t="str">
        <f>IF(ISBLANK(Instructions!L294),"",Instructions!L294)</f>
        <v/>
      </c>
      <c r="I287" t="str">
        <f t="shared" si="10"/>
        <v>NULL</v>
      </c>
      <c r="J287" t="str">
        <f t="shared" si="10"/>
        <v>NULL</v>
      </c>
      <c r="K287" t="str">
        <f>Instructions!M294</f>
        <v>Added via SMSS</v>
      </c>
      <c r="L287" t="str">
        <f t="shared" si="9"/>
        <v>NULL</v>
      </c>
    </row>
    <row r="288" spans="1:12" x14ac:dyDescent="0.25">
      <c r="A288" t="str" cm="1">
        <f t="array" ref="A288">_xlfn.CONCAT(Instructions!C295,Instructions!A295,"_",TEXT(Instructions!B295,"YYYYMMDD"),"_1_",INDEX(Table1[], MATCH(1,(Table1[Estuary]=Instructions!C295)*(Table1[StationNumber]=Instructions!D295)*(Instructions!B295&gt;Table1[StartDate])*(Instructions!B295&lt;Table1[EndDate]),0),1),"_1_",Instructions!E295,"_",Instructions!F295)</f>
        <v>TBSRVY_20190924_1_0291_1_06_037</v>
      </c>
      <c r="B288" t="str" cm="1">
        <f t="array" ref="B288">_xlfn.CONCAT(Instructions!C295,Instructions!A295,"_",TEXT(Instructions!B295,"YYYYMMDD"),"_1_",INDEX(Table1[], MATCH(1,(Table1[Estuary]=Instructions!C295)*(Table1[StationNumber]=Instructions!D295)*(Instructions!B295&gt;Table1[StartDate])*(Instructions!B295&lt;Table1[EndDate]),0),1),"_1_",Instructions!E295)</f>
        <v>TBSRVY_20190924_1_0291_1_06</v>
      </c>
      <c r="C288">
        <f>Instructions!G295</f>
        <v>34</v>
      </c>
      <c r="D288" t="str">
        <f>IF(ISBLANK(Instructions!H295),"",Instructions!H295)</f>
        <v>Entered</v>
      </c>
      <c r="E288" s="1">
        <f>IF(ISBLANK(Instructions!I295),"",Instructions!I295)</f>
        <v>45646</v>
      </c>
      <c r="F288" t="str">
        <f>IF(ISBLANK(Instructions!J295),"",Instructions!J295)</f>
        <v>Erica Williams</v>
      </c>
      <c r="G288" s="1" t="str">
        <f>IF(ISBLANK(Instructions!K295),"",Instructions!K295)</f>
        <v/>
      </c>
      <c r="H288" t="str">
        <f>IF(ISBLANK(Instructions!L295),"",Instructions!L295)</f>
        <v/>
      </c>
      <c r="I288" t="str">
        <f t="shared" si="10"/>
        <v>NULL</v>
      </c>
      <c r="J288" t="str">
        <f t="shared" si="10"/>
        <v>NULL</v>
      </c>
      <c r="K288" t="str">
        <f>Instructions!M295</f>
        <v>Added via SMSS</v>
      </c>
      <c r="L288" t="str">
        <f t="shared" si="9"/>
        <v>NULL</v>
      </c>
    </row>
    <row r="289" spans="1:12" x14ac:dyDescent="0.25">
      <c r="A289" t="str" cm="1">
        <f t="array" ref="A289">_xlfn.CONCAT(Instructions!C296,Instructions!A296,"_",TEXT(Instructions!B296,"YYYYMMDD"),"_1_",INDEX(Table1[], MATCH(1,(Table1[Estuary]=Instructions!C296)*(Table1[StationNumber]=Instructions!D296)*(Instructions!B296&gt;Table1[StartDate])*(Instructions!B296&lt;Table1[EndDate]),0),1),"_1_",Instructions!E296,"_",Instructions!F296)</f>
        <v>TBSRVY_20190924_1_0291_1_06_038</v>
      </c>
      <c r="B289" t="str" cm="1">
        <f t="array" ref="B289">_xlfn.CONCAT(Instructions!C296,Instructions!A296,"_",TEXT(Instructions!B296,"YYYYMMDD"),"_1_",INDEX(Table1[], MATCH(1,(Table1[Estuary]=Instructions!C296)*(Table1[StationNumber]=Instructions!D296)*(Instructions!B296&gt;Table1[StartDate])*(Instructions!B296&lt;Table1[EndDate]),0),1),"_1_",Instructions!E296)</f>
        <v>TBSRVY_20190924_1_0291_1_06</v>
      </c>
      <c r="C289">
        <f>Instructions!G296</f>
        <v>14</v>
      </c>
      <c r="D289" t="str">
        <f>IF(ISBLANK(Instructions!H296),"",Instructions!H296)</f>
        <v>Entered</v>
      </c>
      <c r="E289" s="1">
        <f>IF(ISBLANK(Instructions!I296),"",Instructions!I296)</f>
        <v>45646</v>
      </c>
      <c r="F289" t="str">
        <f>IF(ISBLANK(Instructions!J296),"",Instructions!J296)</f>
        <v>Erica Williams</v>
      </c>
      <c r="G289" s="1" t="str">
        <f>IF(ISBLANK(Instructions!K296),"",Instructions!K296)</f>
        <v/>
      </c>
      <c r="H289" t="str">
        <f>IF(ISBLANK(Instructions!L296),"",Instructions!L296)</f>
        <v/>
      </c>
      <c r="I289" t="str">
        <f t="shared" si="10"/>
        <v>NULL</v>
      </c>
      <c r="J289" t="str">
        <f t="shared" si="10"/>
        <v>NULL</v>
      </c>
      <c r="K289" t="str">
        <f>Instructions!M296</f>
        <v>Added via SMSS</v>
      </c>
      <c r="L289" t="str">
        <f t="shared" si="9"/>
        <v>NULL</v>
      </c>
    </row>
    <row r="290" spans="1:12" x14ac:dyDescent="0.25">
      <c r="A290" t="str" cm="1">
        <f t="array" ref="A290">_xlfn.CONCAT(Instructions!C297,Instructions!A297,"_",TEXT(Instructions!B297,"YYYYMMDD"),"_1_",INDEX(Table1[], MATCH(1,(Table1[Estuary]=Instructions!C297)*(Table1[StationNumber]=Instructions!D297)*(Instructions!B297&gt;Table1[StartDate])*(Instructions!B297&lt;Table1[EndDate]),0),1),"_1_",Instructions!E297,"_",Instructions!F297)</f>
        <v>TBSRVY_20190924_1_0291_1_06_039</v>
      </c>
      <c r="B290" t="str" cm="1">
        <f t="array" ref="B290">_xlfn.CONCAT(Instructions!C297,Instructions!A297,"_",TEXT(Instructions!B297,"YYYYMMDD"),"_1_",INDEX(Table1[], MATCH(1,(Table1[Estuary]=Instructions!C297)*(Table1[StationNumber]=Instructions!D297)*(Instructions!B297&gt;Table1[StartDate])*(Instructions!B297&lt;Table1[EndDate]),0),1),"_1_",Instructions!E297)</f>
        <v>TBSRVY_20190924_1_0291_1_06</v>
      </c>
      <c r="C290">
        <f>Instructions!G297</f>
        <v>15</v>
      </c>
      <c r="D290" t="str">
        <f>IF(ISBLANK(Instructions!H297),"",Instructions!H297)</f>
        <v>Entered</v>
      </c>
      <c r="E290" s="1">
        <f>IF(ISBLANK(Instructions!I297),"",Instructions!I297)</f>
        <v>45646</v>
      </c>
      <c r="F290" t="str">
        <f>IF(ISBLANK(Instructions!J297),"",Instructions!J297)</f>
        <v>Erica Williams</v>
      </c>
      <c r="G290" s="1" t="str">
        <f>IF(ISBLANK(Instructions!K297),"",Instructions!K297)</f>
        <v/>
      </c>
      <c r="H290" t="str">
        <f>IF(ISBLANK(Instructions!L297),"",Instructions!L297)</f>
        <v/>
      </c>
      <c r="I290" t="str">
        <f t="shared" si="10"/>
        <v>NULL</v>
      </c>
      <c r="J290" t="str">
        <f t="shared" si="10"/>
        <v>NULL</v>
      </c>
      <c r="K290" t="str">
        <f>Instructions!M297</f>
        <v>Added via SMSS</v>
      </c>
      <c r="L290" t="str">
        <f t="shared" si="9"/>
        <v>NULL</v>
      </c>
    </row>
    <row r="291" spans="1:12" x14ac:dyDescent="0.25">
      <c r="A291" t="str" cm="1">
        <f t="array" ref="A291">_xlfn.CONCAT(Instructions!C298,Instructions!A298,"_",TEXT(Instructions!B298,"YYYYMMDD"),"_1_",INDEX(Table1[], MATCH(1,(Table1[Estuary]=Instructions!C298)*(Table1[StationNumber]=Instructions!D298)*(Instructions!B298&gt;Table1[StartDate])*(Instructions!B298&lt;Table1[EndDate]),0),1),"_1_",Instructions!E298,"_",Instructions!F298)</f>
        <v>TBSRVY_20190924_1_0291_1_06_040</v>
      </c>
      <c r="B291" t="str" cm="1">
        <f t="array" ref="B291">_xlfn.CONCAT(Instructions!C298,Instructions!A298,"_",TEXT(Instructions!B298,"YYYYMMDD"),"_1_",INDEX(Table1[], MATCH(1,(Table1[Estuary]=Instructions!C298)*(Table1[StationNumber]=Instructions!D298)*(Instructions!B298&gt;Table1[StartDate])*(Instructions!B298&lt;Table1[EndDate]),0),1),"_1_",Instructions!E298)</f>
        <v>TBSRVY_20190924_1_0291_1_06</v>
      </c>
      <c r="C291">
        <f>Instructions!G298</f>
        <v>34</v>
      </c>
      <c r="D291" t="str">
        <f>IF(ISBLANK(Instructions!H298),"",Instructions!H298)</f>
        <v>Entered</v>
      </c>
      <c r="E291" s="1">
        <f>IF(ISBLANK(Instructions!I298),"",Instructions!I298)</f>
        <v>45646</v>
      </c>
      <c r="F291" t="str">
        <f>IF(ISBLANK(Instructions!J298),"",Instructions!J298)</f>
        <v>Erica Williams</v>
      </c>
      <c r="G291" s="1" t="str">
        <f>IF(ISBLANK(Instructions!K298),"",Instructions!K298)</f>
        <v/>
      </c>
      <c r="H291" t="str">
        <f>IF(ISBLANK(Instructions!L298),"",Instructions!L298)</f>
        <v/>
      </c>
      <c r="I291" t="str">
        <f t="shared" si="10"/>
        <v>NULL</v>
      </c>
      <c r="J291" t="str">
        <f t="shared" si="10"/>
        <v>NULL</v>
      </c>
      <c r="K291" t="str">
        <f>Instructions!M298</f>
        <v>Added via SMSS</v>
      </c>
      <c r="L291" t="str">
        <f t="shared" si="9"/>
        <v>NULL</v>
      </c>
    </row>
    <row r="292" spans="1:12" x14ac:dyDescent="0.25">
      <c r="A292" t="str" cm="1">
        <f t="array" ref="A292">_xlfn.CONCAT(Instructions!C299,Instructions!A299,"_",TEXT(Instructions!B299,"YYYYMMDD"),"_1_",INDEX(Table1[], MATCH(1,(Table1[Estuary]=Instructions!C299)*(Table1[StationNumber]=Instructions!D299)*(Instructions!B299&gt;Table1[StartDate])*(Instructions!B299&lt;Table1[EndDate]),0),1),"_1_",Instructions!E299,"_",Instructions!F299)</f>
        <v>TBSRVY_20190924_1_0291_1_06_041</v>
      </c>
      <c r="B292" t="str" cm="1">
        <f t="array" ref="B292">_xlfn.CONCAT(Instructions!C299,Instructions!A299,"_",TEXT(Instructions!B299,"YYYYMMDD"),"_1_",INDEX(Table1[], MATCH(1,(Table1[Estuary]=Instructions!C299)*(Table1[StationNumber]=Instructions!D299)*(Instructions!B299&gt;Table1[StartDate])*(Instructions!B299&lt;Table1[EndDate]),0),1),"_1_",Instructions!E299)</f>
        <v>TBSRVY_20190924_1_0291_1_06</v>
      </c>
      <c r="C292">
        <f>Instructions!G299</f>
        <v>27</v>
      </c>
      <c r="D292" t="str">
        <f>IF(ISBLANK(Instructions!H299),"",Instructions!H299)</f>
        <v>Entered</v>
      </c>
      <c r="E292" s="1">
        <f>IF(ISBLANK(Instructions!I299),"",Instructions!I299)</f>
        <v>45646</v>
      </c>
      <c r="F292" t="str">
        <f>IF(ISBLANK(Instructions!J299),"",Instructions!J299)</f>
        <v>Erica Williams</v>
      </c>
      <c r="G292" s="1" t="str">
        <f>IF(ISBLANK(Instructions!K299),"",Instructions!K299)</f>
        <v/>
      </c>
      <c r="H292" t="str">
        <f>IF(ISBLANK(Instructions!L299),"",Instructions!L299)</f>
        <v/>
      </c>
      <c r="I292" t="str">
        <f t="shared" si="10"/>
        <v>NULL</v>
      </c>
      <c r="J292" t="str">
        <f t="shared" si="10"/>
        <v>NULL</v>
      </c>
      <c r="K292" t="str">
        <f>Instructions!M299</f>
        <v>Added via SMSS</v>
      </c>
      <c r="L292" t="str">
        <f t="shared" si="9"/>
        <v>NULL</v>
      </c>
    </row>
    <row r="293" spans="1:12" x14ac:dyDescent="0.25">
      <c r="A293" t="str" cm="1">
        <f t="array" ref="A293">_xlfn.CONCAT(Instructions!C300,Instructions!A300,"_",TEXT(Instructions!B300,"YYYYMMDD"),"_1_",INDEX(Table1[], MATCH(1,(Table1[Estuary]=Instructions!C300)*(Table1[StationNumber]=Instructions!D300)*(Instructions!B300&gt;Table1[StartDate])*(Instructions!B300&lt;Table1[EndDate]),0),1),"_1_",Instructions!E300,"_",Instructions!F300)</f>
        <v>TBSRVY_20190924_1_0291_1_06_042</v>
      </c>
      <c r="B293" t="str" cm="1">
        <f t="array" ref="B293">_xlfn.CONCAT(Instructions!C300,Instructions!A300,"_",TEXT(Instructions!B300,"YYYYMMDD"),"_1_",INDEX(Table1[], MATCH(1,(Table1[Estuary]=Instructions!C300)*(Table1[StationNumber]=Instructions!D300)*(Instructions!B300&gt;Table1[StartDate])*(Instructions!B300&lt;Table1[EndDate]),0),1),"_1_",Instructions!E300)</f>
        <v>TBSRVY_20190924_1_0291_1_06</v>
      </c>
      <c r="C293">
        <f>Instructions!G300</f>
        <v>33</v>
      </c>
      <c r="D293" t="str">
        <f>IF(ISBLANK(Instructions!H300),"",Instructions!H300)</f>
        <v>Entered</v>
      </c>
      <c r="E293" s="1">
        <f>IF(ISBLANK(Instructions!I300),"",Instructions!I300)</f>
        <v>45646</v>
      </c>
      <c r="F293" t="str">
        <f>IF(ISBLANK(Instructions!J300),"",Instructions!J300)</f>
        <v>Erica Williams</v>
      </c>
      <c r="G293" s="1" t="str">
        <f>IF(ISBLANK(Instructions!K300),"",Instructions!K300)</f>
        <v/>
      </c>
      <c r="H293" t="str">
        <f>IF(ISBLANK(Instructions!L300),"",Instructions!L300)</f>
        <v/>
      </c>
      <c r="I293" t="str">
        <f t="shared" si="10"/>
        <v>NULL</v>
      </c>
      <c r="J293" t="str">
        <f t="shared" si="10"/>
        <v>NULL</v>
      </c>
      <c r="K293" t="str">
        <f>Instructions!M300</f>
        <v>Added via SMSS</v>
      </c>
      <c r="L293" t="str">
        <f t="shared" si="9"/>
        <v>NULL</v>
      </c>
    </row>
    <row r="294" spans="1:12" x14ac:dyDescent="0.25">
      <c r="A294" t="str" cm="1">
        <f t="array" ref="A294">_xlfn.CONCAT(Instructions!C301,Instructions!A301,"_",TEXT(Instructions!B301,"YYYYMMDD"),"_1_",INDEX(Table1[], MATCH(1,(Table1[Estuary]=Instructions!C301)*(Table1[StationNumber]=Instructions!D301)*(Instructions!B301&gt;Table1[StartDate])*(Instructions!B301&lt;Table1[EndDate]),0),1),"_1_",Instructions!E301,"_",Instructions!F301)</f>
        <v>TBSRVY_20190924_1_0291_1_06_043</v>
      </c>
      <c r="B294" t="str" cm="1">
        <f t="array" ref="B294">_xlfn.CONCAT(Instructions!C301,Instructions!A301,"_",TEXT(Instructions!B301,"YYYYMMDD"),"_1_",INDEX(Table1[], MATCH(1,(Table1[Estuary]=Instructions!C301)*(Table1[StationNumber]=Instructions!D301)*(Instructions!B301&gt;Table1[StartDate])*(Instructions!B301&lt;Table1[EndDate]),0),1),"_1_",Instructions!E301)</f>
        <v>TBSRVY_20190924_1_0291_1_06</v>
      </c>
      <c r="C294">
        <f>Instructions!G301</f>
        <v>30</v>
      </c>
      <c r="D294" t="str">
        <f>IF(ISBLANK(Instructions!H301),"",Instructions!H301)</f>
        <v>Entered</v>
      </c>
      <c r="E294" s="1">
        <f>IF(ISBLANK(Instructions!I301),"",Instructions!I301)</f>
        <v>45646</v>
      </c>
      <c r="F294" t="str">
        <f>IF(ISBLANK(Instructions!J301),"",Instructions!J301)</f>
        <v>Erica Williams</v>
      </c>
      <c r="G294" s="1" t="str">
        <f>IF(ISBLANK(Instructions!K301),"",Instructions!K301)</f>
        <v/>
      </c>
      <c r="H294" t="str">
        <f>IF(ISBLANK(Instructions!L301),"",Instructions!L301)</f>
        <v/>
      </c>
      <c r="I294" t="str">
        <f t="shared" si="10"/>
        <v>NULL</v>
      </c>
      <c r="J294" t="str">
        <f t="shared" si="10"/>
        <v>NULL</v>
      </c>
      <c r="K294" t="str">
        <f>Instructions!M301</f>
        <v>Added via SMSS</v>
      </c>
      <c r="L294" t="str">
        <f t="shared" si="9"/>
        <v>NULL</v>
      </c>
    </row>
    <row r="295" spans="1:12" x14ac:dyDescent="0.25">
      <c r="A295" t="str" cm="1">
        <f t="array" ref="A295">_xlfn.CONCAT(Instructions!C302,Instructions!A302,"_",TEXT(Instructions!B302,"YYYYMMDD"),"_1_",INDEX(Table1[], MATCH(1,(Table1[Estuary]=Instructions!C302)*(Table1[StationNumber]=Instructions!D302)*(Instructions!B302&gt;Table1[StartDate])*(Instructions!B302&lt;Table1[EndDate]),0),1),"_1_",Instructions!E302,"_",Instructions!F302)</f>
        <v>TBSRVY_20190924_1_0291_1_06_044</v>
      </c>
      <c r="B295" t="str" cm="1">
        <f t="array" ref="B295">_xlfn.CONCAT(Instructions!C302,Instructions!A302,"_",TEXT(Instructions!B302,"YYYYMMDD"),"_1_",INDEX(Table1[], MATCH(1,(Table1[Estuary]=Instructions!C302)*(Table1[StationNumber]=Instructions!D302)*(Instructions!B302&gt;Table1[StartDate])*(Instructions!B302&lt;Table1[EndDate]),0),1),"_1_",Instructions!E302)</f>
        <v>TBSRVY_20190924_1_0291_1_06</v>
      </c>
      <c r="C295">
        <f>Instructions!G302</f>
        <v>34</v>
      </c>
      <c r="D295" t="str">
        <f>IF(ISBLANK(Instructions!H302),"",Instructions!H302)</f>
        <v>Entered</v>
      </c>
      <c r="E295" s="1">
        <f>IF(ISBLANK(Instructions!I302),"",Instructions!I302)</f>
        <v>45646</v>
      </c>
      <c r="F295" t="str">
        <f>IF(ISBLANK(Instructions!J302),"",Instructions!J302)</f>
        <v>Erica Williams</v>
      </c>
      <c r="G295" s="1" t="str">
        <f>IF(ISBLANK(Instructions!K302),"",Instructions!K302)</f>
        <v/>
      </c>
      <c r="H295" t="str">
        <f>IF(ISBLANK(Instructions!L302),"",Instructions!L302)</f>
        <v/>
      </c>
      <c r="I295" t="str">
        <f t="shared" si="10"/>
        <v>NULL</v>
      </c>
      <c r="J295" t="str">
        <f t="shared" si="10"/>
        <v>NULL</v>
      </c>
      <c r="K295" t="str">
        <f>Instructions!M302</f>
        <v>Added via SMSS</v>
      </c>
      <c r="L295" t="str">
        <f t="shared" si="9"/>
        <v>NULL</v>
      </c>
    </row>
    <row r="296" spans="1:12" x14ac:dyDescent="0.25">
      <c r="A296" t="str" cm="1">
        <f t="array" ref="A296">_xlfn.CONCAT(Instructions!C303,Instructions!A303,"_",TEXT(Instructions!B303,"YYYYMMDD"),"_1_",INDEX(Table1[], MATCH(1,(Table1[Estuary]=Instructions!C303)*(Table1[StationNumber]=Instructions!D303)*(Instructions!B303&gt;Table1[StartDate])*(Instructions!B303&lt;Table1[EndDate]),0),1),"_1_",Instructions!E303,"_",Instructions!F303)</f>
        <v>TBSRVY_20190924_1_0291_1_06_045</v>
      </c>
      <c r="B296" t="str" cm="1">
        <f t="array" ref="B296">_xlfn.CONCAT(Instructions!C303,Instructions!A303,"_",TEXT(Instructions!B303,"YYYYMMDD"),"_1_",INDEX(Table1[], MATCH(1,(Table1[Estuary]=Instructions!C303)*(Table1[StationNumber]=Instructions!D303)*(Instructions!B303&gt;Table1[StartDate])*(Instructions!B303&lt;Table1[EndDate]),0),1),"_1_",Instructions!E303)</f>
        <v>TBSRVY_20190924_1_0291_1_06</v>
      </c>
      <c r="C296">
        <f>Instructions!G303</f>
        <v>24</v>
      </c>
      <c r="D296" t="str">
        <f>IF(ISBLANK(Instructions!H303),"",Instructions!H303)</f>
        <v>Entered</v>
      </c>
      <c r="E296" s="1">
        <f>IF(ISBLANK(Instructions!I303),"",Instructions!I303)</f>
        <v>45646</v>
      </c>
      <c r="F296" t="str">
        <f>IF(ISBLANK(Instructions!J303),"",Instructions!J303)</f>
        <v>Erica Williams</v>
      </c>
      <c r="G296" s="1" t="str">
        <f>IF(ISBLANK(Instructions!K303),"",Instructions!K303)</f>
        <v/>
      </c>
      <c r="H296" t="str">
        <f>IF(ISBLANK(Instructions!L303),"",Instructions!L303)</f>
        <v/>
      </c>
      <c r="I296" t="str">
        <f t="shared" si="10"/>
        <v>NULL</v>
      </c>
      <c r="J296" t="str">
        <f t="shared" si="10"/>
        <v>NULL</v>
      </c>
      <c r="K296" t="str">
        <f>Instructions!M303</f>
        <v>Added via SMSS</v>
      </c>
      <c r="L296" t="str">
        <f t="shared" si="9"/>
        <v>NULL</v>
      </c>
    </row>
    <row r="297" spans="1:12" x14ac:dyDescent="0.25">
      <c r="A297" t="str" cm="1">
        <f t="array" ref="A297">_xlfn.CONCAT(Instructions!C304,Instructions!A304,"_",TEXT(Instructions!B304,"YYYYMMDD"),"_1_",INDEX(Table1[], MATCH(1,(Table1[Estuary]=Instructions!C304)*(Table1[StationNumber]=Instructions!D304)*(Instructions!B304&gt;Table1[StartDate])*(Instructions!B304&lt;Table1[EndDate]),0),1),"_1_",Instructions!E304,"_",Instructions!F304)</f>
        <v>TBSRVY_20190924_1_0291_1_06_046</v>
      </c>
      <c r="B297" t="str" cm="1">
        <f t="array" ref="B297">_xlfn.CONCAT(Instructions!C304,Instructions!A304,"_",TEXT(Instructions!B304,"YYYYMMDD"),"_1_",INDEX(Table1[], MATCH(1,(Table1[Estuary]=Instructions!C304)*(Table1[StationNumber]=Instructions!D304)*(Instructions!B304&gt;Table1[StartDate])*(Instructions!B304&lt;Table1[EndDate]),0),1),"_1_",Instructions!E304)</f>
        <v>TBSRVY_20190924_1_0291_1_06</v>
      </c>
      <c r="C297">
        <f>Instructions!G304</f>
        <v>12</v>
      </c>
      <c r="D297" t="str">
        <f>IF(ISBLANK(Instructions!H304),"",Instructions!H304)</f>
        <v>Entered</v>
      </c>
      <c r="E297" s="1">
        <f>IF(ISBLANK(Instructions!I304),"",Instructions!I304)</f>
        <v>45646</v>
      </c>
      <c r="F297" t="str">
        <f>IF(ISBLANK(Instructions!J304),"",Instructions!J304)</f>
        <v>Erica Williams</v>
      </c>
      <c r="G297" s="1" t="str">
        <f>IF(ISBLANK(Instructions!K304),"",Instructions!K304)</f>
        <v/>
      </c>
      <c r="H297" t="str">
        <f>IF(ISBLANK(Instructions!L304),"",Instructions!L304)</f>
        <v/>
      </c>
      <c r="I297" t="str">
        <f t="shared" si="10"/>
        <v>NULL</v>
      </c>
      <c r="J297" t="str">
        <f t="shared" si="10"/>
        <v>NULL</v>
      </c>
      <c r="K297" t="str">
        <f>Instructions!M304</f>
        <v>Added via SMSS</v>
      </c>
      <c r="L297" t="str">
        <f t="shared" si="9"/>
        <v>NULL</v>
      </c>
    </row>
    <row r="298" spans="1:12" x14ac:dyDescent="0.25">
      <c r="A298" t="str" cm="1">
        <f t="array" ref="A298">_xlfn.CONCAT(Instructions!C305,Instructions!A305,"_",TEXT(Instructions!B305,"YYYYMMDD"),"_1_",INDEX(Table1[], MATCH(1,(Table1[Estuary]=Instructions!C305)*(Table1[StationNumber]=Instructions!D305)*(Instructions!B305&gt;Table1[StartDate])*(Instructions!B305&lt;Table1[EndDate]),0),1),"_1_",Instructions!E305,"_",Instructions!F305)</f>
        <v>TBSRVY_20190924_1_0291_1_06_047</v>
      </c>
      <c r="B298" t="str" cm="1">
        <f t="array" ref="B298">_xlfn.CONCAT(Instructions!C305,Instructions!A305,"_",TEXT(Instructions!B305,"YYYYMMDD"),"_1_",INDEX(Table1[], MATCH(1,(Table1[Estuary]=Instructions!C305)*(Table1[StationNumber]=Instructions!D305)*(Instructions!B305&gt;Table1[StartDate])*(Instructions!B305&lt;Table1[EndDate]),0),1),"_1_",Instructions!E305)</f>
        <v>TBSRVY_20190924_1_0291_1_06</v>
      </c>
      <c r="C298">
        <f>Instructions!G305</f>
        <v>14</v>
      </c>
      <c r="D298" t="str">
        <f>IF(ISBLANK(Instructions!H305),"",Instructions!H305)</f>
        <v>Entered</v>
      </c>
      <c r="E298" s="1">
        <f>IF(ISBLANK(Instructions!I305),"",Instructions!I305)</f>
        <v>45646</v>
      </c>
      <c r="F298" t="str">
        <f>IF(ISBLANK(Instructions!J305),"",Instructions!J305)</f>
        <v>Erica Williams</v>
      </c>
      <c r="G298" s="1" t="str">
        <f>IF(ISBLANK(Instructions!K305),"",Instructions!K305)</f>
        <v/>
      </c>
      <c r="H298" t="str">
        <f>IF(ISBLANK(Instructions!L305),"",Instructions!L305)</f>
        <v/>
      </c>
      <c r="I298" t="str">
        <f t="shared" si="10"/>
        <v>NULL</v>
      </c>
      <c r="J298" t="str">
        <f t="shared" si="10"/>
        <v>NULL</v>
      </c>
      <c r="K298" t="str">
        <f>Instructions!M305</f>
        <v>Added via SMSS</v>
      </c>
      <c r="L298" t="str">
        <f t="shared" si="9"/>
        <v>NULL</v>
      </c>
    </row>
    <row r="299" spans="1:12" x14ac:dyDescent="0.25">
      <c r="A299" t="str" cm="1">
        <f t="array" ref="A299">_xlfn.CONCAT(Instructions!C306,Instructions!A306,"_",TEXT(Instructions!B306,"YYYYMMDD"),"_1_",INDEX(Table1[], MATCH(1,(Table1[Estuary]=Instructions!C306)*(Table1[StationNumber]=Instructions!D306)*(Instructions!B306&gt;Table1[StartDate])*(Instructions!B306&lt;Table1[EndDate]),0),1),"_1_",Instructions!E306,"_",Instructions!F306)</f>
        <v>TBSRVY_20190924_1_0291_1_06_048</v>
      </c>
      <c r="B299" t="str" cm="1">
        <f t="array" ref="B299">_xlfn.CONCAT(Instructions!C306,Instructions!A306,"_",TEXT(Instructions!B306,"YYYYMMDD"),"_1_",INDEX(Table1[], MATCH(1,(Table1[Estuary]=Instructions!C306)*(Table1[StationNumber]=Instructions!D306)*(Instructions!B306&gt;Table1[StartDate])*(Instructions!B306&lt;Table1[EndDate]),0),1),"_1_",Instructions!E306)</f>
        <v>TBSRVY_20190924_1_0291_1_06</v>
      </c>
      <c r="C299">
        <f>Instructions!G306</f>
        <v>9</v>
      </c>
      <c r="D299" t="str">
        <f>IF(ISBLANK(Instructions!H306),"",Instructions!H306)</f>
        <v>Entered</v>
      </c>
      <c r="E299" s="1">
        <f>IF(ISBLANK(Instructions!I306),"",Instructions!I306)</f>
        <v>45646</v>
      </c>
      <c r="F299" t="str">
        <f>IF(ISBLANK(Instructions!J306),"",Instructions!J306)</f>
        <v>Erica Williams</v>
      </c>
      <c r="G299" s="1" t="str">
        <f>IF(ISBLANK(Instructions!K306),"",Instructions!K306)</f>
        <v/>
      </c>
      <c r="H299" t="str">
        <f>IF(ISBLANK(Instructions!L306),"",Instructions!L306)</f>
        <v/>
      </c>
      <c r="I299" t="str">
        <f t="shared" si="10"/>
        <v>NULL</v>
      </c>
      <c r="J299" t="str">
        <f t="shared" si="10"/>
        <v>NULL</v>
      </c>
      <c r="K299" t="str">
        <f>Instructions!M306</f>
        <v>Added via SMSS</v>
      </c>
      <c r="L299" t="str">
        <f t="shared" si="9"/>
        <v>NULL</v>
      </c>
    </row>
    <row r="300" spans="1:12" x14ac:dyDescent="0.25">
      <c r="A300" t="str" cm="1">
        <f t="array" ref="A300">_xlfn.CONCAT(Instructions!C307,Instructions!A307,"_",TEXT(Instructions!B307,"YYYYMMDD"),"_1_",INDEX(Table1[], MATCH(1,(Table1[Estuary]=Instructions!C307)*(Table1[StationNumber]=Instructions!D307)*(Instructions!B307&gt;Table1[StartDate])*(Instructions!B307&lt;Table1[EndDate]),0),1),"_1_",Instructions!E307,"_",Instructions!F307)</f>
        <v>TBSRVY_20190924_1_0291_1_06_049</v>
      </c>
      <c r="B300" t="str" cm="1">
        <f t="array" ref="B300">_xlfn.CONCAT(Instructions!C307,Instructions!A307,"_",TEXT(Instructions!B307,"YYYYMMDD"),"_1_",INDEX(Table1[], MATCH(1,(Table1[Estuary]=Instructions!C307)*(Table1[StationNumber]=Instructions!D307)*(Instructions!B307&gt;Table1[StartDate])*(Instructions!B307&lt;Table1[EndDate]),0),1),"_1_",Instructions!E307)</f>
        <v>TBSRVY_20190924_1_0291_1_06</v>
      </c>
      <c r="C300">
        <f>Instructions!G307</f>
        <v>4</v>
      </c>
      <c r="D300" t="str">
        <f>IF(ISBLANK(Instructions!H307),"",Instructions!H307)</f>
        <v>Entered</v>
      </c>
      <c r="E300" s="1">
        <f>IF(ISBLANK(Instructions!I307),"",Instructions!I307)</f>
        <v>45646</v>
      </c>
      <c r="F300" t="str">
        <f>IF(ISBLANK(Instructions!J307),"",Instructions!J307)</f>
        <v>Erica Williams</v>
      </c>
      <c r="G300" s="1" t="str">
        <f>IF(ISBLANK(Instructions!K307),"",Instructions!K307)</f>
        <v/>
      </c>
      <c r="H300" t="str">
        <f>IF(ISBLANK(Instructions!L307),"",Instructions!L307)</f>
        <v/>
      </c>
      <c r="I300" t="str">
        <f t="shared" si="10"/>
        <v>NULL</v>
      </c>
      <c r="J300" t="str">
        <f t="shared" si="10"/>
        <v>NULL</v>
      </c>
      <c r="K300" t="str">
        <f>Instructions!M307</f>
        <v>Added via SMSS</v>
      </c>
      <c r="L300" t="str">
        <f t="shared" si="9"/>
        <v>NULL</v>
      </c>
    </row>
    <row r="301" spans="1:12" x14ac:dyDescent="0.25">
      <c r="A301" t="str" cm="1">
        <f t="array" ref="A301">_xlfn.CONCAT(Instructions!C308,Instructions!A308,"_",TEXT(Instructions!B308,"YYYYMMDD"),"_1_",INDEX(Table1[], MATCH(1,(Table1[Estuary]=Instructions!C308)*(Table1[StationNumber]=Instructions!D308)*(Instructions!B308&gt;Table1[StartDate])*(Instructions!B308&lt;Table1[EndDate]),0),1),"_1_",Instructions!E308,"_",Instructions!F308)</f>
        <v>TBSRVY_20190924_1_0291_1_06_050</v>
      </c>
      <c r="B301" t="str" cm="1">
        <f t="array" ref="B301">_xlfn.CONCAT(Instructions!C308,Instructions!A308,"_",TEXT(Instructions!B308,"YYYYMMDD"),"_1_",INDEX(Table1[], MATCH(1,(Table1[Estuary]=Instructions!C308)*(Table1[StationNumber]=Instructions!D308)*(Instructions!B308&gt;Table1[StartDate])*(Instructions!B308&lt;Table1[EndDate]),0),1),"_1_",Instructions!E308)</f>
        <v>TBSRVY_20190924_1_0291_1_06</v>
      </c>
      <c r="C301">
        <f>Instructions!G308</f>
        <v>4</v>
      </c>
      <c r="D301" t="str">
        <f>IF(ISBLANK(Instructions!H308),"",Instructions!H308)</f>
        <v>Entered</v>
      </c>
      <c r="E301" s="1">
        <f>IF(ISBLANK(Instructions!I308),"",Instructions!I308)</f>
        <v>45646</v>
      </c>
      <c r="F301" t="str">
        <f>IF(ISBLANK(Instructions!J308),"",Instructions!J308)</f>
        <v>Erica Williams</v>
      </c>
      <c r="G301" s="1" t="str">
        <f>IF(ISBLANK(Instructions!K308),"",Instructions!K308)</f>
        <v/>
      </c>
      <c r="H301" t="str">
        <f>IF(ISBLANK(Instructions!L308),"",Instructions!L308)</f>
        <v/>
      </c>
      <c r="I301" t="str">
        <f t="shared" si="10"/>
        <v>NULL</v>
      </c>
      <c r="J301" t="str">
        <f t="shared" si="10"/>
        <v>NULL</v>
      </c>
      <c r="K301" t="str">
        <f>Instructions!M308</f>
        <v>Added via SMSS</v>
      </c>
      <c r="L301" t="str">
        <f t="shared" si="9"/>
        <v>NULL</v>
      </c>
    </row>
    <row r="302" spans="1:12" x14ac:dyDescent="0.25">
      <c r="A302" t="str" cm="1">
        <f t="array" ref="A302">_xlfn.CONCAT(Instructions!C309,Instructions!A309,"_",TEXT(Instructions!B309,"YYYYMMDD"),"_1_",INDEX(Table1[], MATCH(1,(Table1[Estuary]=Instructions!C309)*(Table1[StationNumber]=Instructions!D309)*(Instructions!B309&gt;Table1[StartDate])*(Instructions!B309&lt;Table1[EndDate]),0),1),"_1_",Instructions!E309,"_",Instructions!F309)</f>
        <v>TBSRVY_20190924_1_0291_1_07_001</v>
      </c>
      <c r="B302" t="str" cm="1">
        <f t="array" ref="B302">_xlfn.CONCAT(Instructions!C309,Instructions!A309,"_",TEXT(Instructions!B309,"YYYYMMDD"),"_1_",INDEX(Table1[], MATCH(1,(Table1[Estuary]=Instructions!C309)*(Table1[StationNumber]=Instructions!D309)*(Instructions!B309&gt;Table1[StartDate])*(Instructions!B309&lt;Table1[EndDate]),0),1),"_1_",Instructions!E309)</f>
        <v>TBSRVY_20190924_1_0291_1_07</v>
      </c>
      <c r="C302">
        <f>Instructions!G309</f>
        <v>43</v>
      </c>
      <c r="D302" t="str">
        <f>IF(ISBLANK(Instructions!H309),"",Instructions!H309)</f>
        <v>Entered</v>
      </c>
      <c r="E302" s="1">
        <f>IF(ISBLANK(Instructions!I309),"",Instructions!I309)</f>
        <v>45646</v>
      </c>
      <c r="F302" t="str">
        <f>IF(ISBLANK(Instructions!J309),"",Instructions!J309)</f>
        <v>Erica Williams</v>
      </c>
      <c r="G302" s="1" t="str">
        <f>IF(ISBLANK(Instructions!K309),"",Instructions!K309)</f>
        <v/>
      </c>
      <c r="H302" t="str">
        <f>IF(ISBLANK(Instructions!L309),"",Instructions!L309)</f>
        <v/>
      </c>
      <c r="I302" t="str">
        <f t="shared" si="10"/>
        <v>NULL</v>
      </c>
      <c r="J302" t="str">
        <f t="shared" si="10"/>
        <v>NULL</v>
      </c>
      <c r="K302" t="str">
        <f>Instructions!M309</f>
        <v>Added via SMSS</v>
      </c>
      <c r="L302" t="str">
        <f t="shared" si="9"/>
        <v>NULL</v>
      </c>
    </row>
    <row r="303" spans="1:12" x14ac:dyDescent="0.25">
      <c r="A303" t="str" cm="1">
        <f t="array" ref="A303">_xlfn.CONCAT(Instructions!C310,Instructions!A310,"_",TEXT(Instructions!B310,"YYYYMMDD"),"_1_",INDEX(Table1[], MATCH(1,(Table1[Estuary]=Instructions!C310)*(Table1[StationNumber]=Instructions!D310)*(Instructions!B310&gt;Table1[StartDate])*(Instructions!B310&lt;Table1[EndDate]),0),1),"_1_",Instructions!E310,"_",Instructions!F310)</f>
        <v>TBSRVY_20190924_1_0291_1_07_002</v>
      </c>
      <c r="B303" t="str" cm="1">
        <f t="array" ref="B303">_xlfn.CONCAT(Instructions!C310,Instructions!A310,"_",TEXT(Instructions!B310,"YYYYMMDD"),"_1_",INDEX(Table1[], MATCH(1,(Table1[Estuary]=Instructions!C310)*(Table1[StationNumber]=Instructions!D310)*(Instructions!B310&gt;Table1[StartDate])*(Instructions!B310&lt;Table1[EndDate]),0),1),"_1_",Instructions!E310)</f>
        <v>TBSRVY_20190924_1_0291_1_07</v>
      </c>
      <c r="C303">
        <f>Instructions!G310</f>
        <v>62</v>
      </c>
      <c r="D303" t="str">
        <f>IF(ISBLANK(Instructions!H310),"",Instructions!H310)</f>
        <v>Entered</v>
      </c>
      <c r="E303" s="1">
        <f>IF(ISBLANK(Instructions!I310),"",Instructions!I310)</f>
        <v>45646</v>
      </c>
      <c r="F303" t="str">
        <f>IF(ISBLANK(Instructions!J310),"",Instructions!J310)</f>
        <v>Erica Williams</v>
      </c>
      <c r="G303" s="1" t="str">
        <f>IF(ISBLANK(Instructions!K310),"",Instructions!K310)</f>
        <v/>
      </c>
      <c r="H303" t="str">
        <f>IF(ISBLANK(Instructions!L310),"",Instructions!L310)</f>
        <v/>
      </c>
      <c r="I303" t="str">
        <f t="shared" si="10"/>
        <v>NULL</v>
      </c>
      <c r="J303" t="str">
        <f t="shared" si="10"/>
        <v>NULL</v>
      </c>
      <c r="K303" t="str">
        <f>Instructions!M310</f>
        <v>Added via SMSS</v>
      </c>
      <c r="L303" t="str">
        <f t="shared" si="9"/>
        <v>NULL</v>
      </c>
    </row>
    <row r="304" spans="1:12" x14ac:dyDescent="0.25">
      <c r="A304" t="str" cm="1">
        <f t="array" ref="A304">_xlfn.CONCAT(Instructions!C311,Instructions!A311,"_",TEXT(Instructions!B311,"YYYYMMDD"),"_1_",INDEX(Table1[], MATCH(1,(Table1[Estuary]=Instructions!C311)*(Table1[StationNumber]=Instructions!D311)*(Instructions!B311&gt;Table1[StartDate])*(Instructions!B311&lt;Table1[EndDate]),0),1),"_1_",Instructions!E311,"_",Instructions!F311)</f>
        <v>TBSRVY_20190924_1_0291_1_07_003</v>
      </c>
      <c r="B304" t="str" cm="1">
        <f t="array" ref="B304">_xlfn.CONCAT(Instructions!C311,Instructions!A311,"_",TEXT(Instructions!B311,"YYYYMMDD"),"_1_",INDEX(Table1[], MATCH(1,(Table1[Estuary]=Instructions!C311)*(Table1[StationNumber]=Instructions!D311)*(Instructions!B311&gt;Table1[StartDate])*(Instructions!B311&lt;Table1[EndDate]),0),1),"_1_",Instructions!E311)</f>
        <v>TBSRVY_20190924_1_0291_1_07</v>
      </c>
      <c r="C304">
        <f>Instructions!G311</f>
        <v>66</v>
      </c>
      <c r="D304" t="str">
        <f>IF(ISBLANK(Instructions!H311),"",Instructions!H311)</f>
        <v>Entered</v>
      </c>
      <c r="E304" s="1">
        <f>IF(ISBLANK(Instructions!I311),"",Instructions!I311)</f>
        <v>45646</v>
      </c>
      <c r="F304" t="str">
        <f>IF(ISBLANK(Instructions!J311),"",Instructions!J311)</f>
        <v>Erica Williams</v>
      </c>
      <c r="G304" s="1" t="str">
        <f>IF(ISBLANK(Instructions!K311),"",Instructions!K311)</f>
        <v/>
      </c>
      <c r="H304" t="str">
        <f>IF(ISBLANK(Instructions!L311),"",Instructions!L311)</f>
        <v/>
      </c>
      <c r="I304" t="str">
        <f t="shared" si="10"/>
        <v>NULL</v>
      </c>
      <c r="J304" t="str">
        <f t="shared" si="10"/>
        <v>NULL</v>
      </c>
      <c r="K304" t="str">
        <f>Instructions!M311</f>
        <v>Added via SMSS</v>
      </c>
      <c r="L304" t="str">
        <f t="shared" si="9"/>
        <v>NULL</v>
      </c>
    </row>
    <row r="305" spans="1:12" x14ac:dyDescent="0.25">
      <c r="A305" t="str" cm="1">
        <f t="array" ref="A305">_xlfn.CONCAT(Instructions!C312,Instructions!A312,"_",TEXT(Instructions!B312,"YYYYMMDD"),"_1_",INDEX(Table1[], MATCH(1,(Table1[Estuary]=Instructions!C312)*(Table1[StationNumber]=Instructions!D312)*(Instructions!B312&gt;Table1[StartDate])*(Instructions!B312&lt;Table1[EndDate]),0),1),"_1_",Instructions!E312,"_",Instructions!F312)</f>
        <v>TBSRVY_20190924_1_0291_1_07_004</v>
      </c>
      <c r="B305" t="str" cm="1">
        <f t="array" ref="B305">_xlfn.CONCAT(Instructions!C312,Instructions!A312,"_",TEXT(Instructions!B312,"YYYYMMDD"),"_1_",INDEX(Table1[], MATCH(1,(Table1[Estuary]=Instructions!C312)*(Table1[StationNumber]=Instructions!D312)*(Instructions!B312&gt;Table1[StartDate])*(Instructions!B312&lt;Table1[EndDate]),0),1),"_1_",Instructions!E312)</f>
        <v>TBSRVY_20190924_1_0291_1_07</v>
      </c>
      <c r="C305">
        <f>Instructions!G312</f>
        <v>11</v>
      </c>
      <c r="D305" t="str">
        <f>IF(ISBLANK(Instructions!H312),"",Instructions!H312)</f>
        <v>Entered</v>
      </c>
      <c r="E305" s="1">
        <f>IF(ISBLANK(Instructions!I312),"",Instructions!I312)</f>
        <v>45646</v>
      </c>
      <c r="F305" t="str">
        <f>IF(ISBLANK(Instructions!J312),"",Instructions!J312)</f>
        <v>Erica Williams</v>
      </c>
      <c r="G305" s="1" t="str">
        <f>IF(ISBLANK(Instructions!K312),"",Instructions!K312)</f>
        <v/>
      </c>
      <c r="H305" t="str">
        <f>IF(ISBLANK(Instructions!L312),"",Instructions!L312)</f>
        <v/>
      </c>
      <c r="I305" t="str">
        <f t="shared" si="10"/>
        <v>NULL</v>
      </c>
      <c r="J305" t="str">
        <f t="shared" si="10"/>
        <v>NULL</v>
      </c>
      <c r="K305" t="str">
        <f>Instructions!M312</f>
        <v>Added via SMSS</v>
      </c>
      <c r="L305" t="str">
        <f t="shared" si="9"/>
        <v>NULL</v>
      </c>
    </row>
    <row r="306" spans="1:12" x14ac:dyDescent="0.25">
      <c r="A306" t="str" cm="1">
        <f t="array" ref="A306">_xlfn.CONCAT(Instructions!C313,Instructions!A313,"_",TEXT(Instructions!B313,"YYYYMMDD"),"_1_",INDEX(Table1[], MATCH(1,(Table1[Estuary]=Instructions!C313)*(Table1[StationNumber]=Instructions!D313)*(Instructions!B313&gt;Table1[StartDate])*(Instructions!B313&lt;Table1[EndDate]),0),1),"_1_",Instructions!E313,"_",Instructions!F313)</f>
        <v>TBSRVY_20190924_1_0291_1_07_005</v>
      </c>
      <c r="B306" t="str" cm="1">
        <f t="array" ref="B306">_xlfn.CONCAT(Instructions!C313,Instructions!A313,"_",TEXT(Instructions!B313,"YYYYMMDD"),"_1_",INDEX(Table1[], MATCH(1,(Table1[Estuary]=Instructions!C313)*(Table1[StationNumber]=Instructions!D313)*(Instructions!B313&gt;Table1[StartDate])*(Instructions!B313&lt;Table1[EndDate]),0),1),"_1_",Instructions!E313)</f>
        <v>TBSRVY_20190924_1_0291_1_07</v>
      </c>
      <c r="C306">
        <f>Instructions!G313</f>
        <v>37</v>
      </c>
      <c r="D306" t="str">
        <f>IF(ISBLANK(Instructions!H313),"",Instructions!H313)</f>
        <v>Entered</v>
      </c>
      <c r="E306" s="1">
        <f>IF(ISBLANK(Instructions!I313),"",Instructions!I313)</f>
        <v>45646</v>
      </c>
      <c r="F306" t="str">
        <f>IF(ISBLANK(Instructions!J313),"",Instructions!J313)</f>
        <v>Erica Williams</v>
      </c>
      <c r="G306" s="1" t="str">
        <f>IF(ISBLANK(Instructions!K313),"",Instructions!K313)</f>
        <v/>
      </c>
      <c r="H306" t="str">
        <f>IF(ISBLANK(Instructions!L313),"",Instructions!L313)</f>
        <v/>
      </c>
      <c r="I306" t="str">
        <f t="shared" si="10"/>
        <v>NULL</v>
      </c>
      <c r="J306" t="str">
        <f t="shared" si="10"/>
        <v>NULL</v>
      </c>
      <c r="K306" t="str">
        <f>Instructions!M313</f>
        <v>Added via SMSS</v>
      </c>
      <c r="L306" t="str">
        <f t="shared" si="9"/>
        <v>NULL</v>
      </c>
    </row>
    <row r="307" spans="1:12" x14ac:dyDescent="0.25">
      <c r="A307" t="str" cm="1">
        <f t="array" ref="A307">_xlfn.CONCAT(Instructions!C314,Instructions!A314,"_",TEXT(Instructions!B314,"YYYYMMDD"),"_1_",INDEX(Table1[], MATCH(1,(Table1[Estuary]=Instructions!C314)*(Table1[StationNumber]=Instructions!D314)*(Instructions!B314&gt;Table1[StartDate])*(Instructions!B314&lt;Table1[EndDate]),0),1),"_1_",Instructions!E314,"_",Instructions!F314)</f>
        <v>TBSRVY_20190924_1_0291_1_07_006</v>
      </c>
      <c r="B307" t="str" cm="1">
        <f t="array" ref="B307">_xlfn.CONCAT(Instructions!C314,Instructions!A314,"_",TEXT(Instructions!B314,"YYYYMMDD"),"_1_",INDEX(Table1[], MATCH(1,(Table1[Estuary]=Instructions!C314)*(Table1[StationNumber]=Instructions!D314)*(Instructions!B314&gt;Table1[StartDate])*(Instructions!B314&lt;Table1[EndDate]),0),1),"_1_",Instructions!E314)</f>
        <v>TBSRVY_20190924_1_0291_1_07</v>
      </c>
      <c r="C307">
        <f>Instructions!G314</f>
        <v>35</v>
      </c>
      <c r="D307" t="str">
        <f>IF(ISBLANK(Instructions!H314),"",Instructions!H314)</f>
        <v>Entered</v>
      </c>
      <c r="E307" s="1">
        <f>IF(ISBLANK(Instructions!I314),"",Instructions!I314)</f>
        <v>45646</v>
      </c>
      <c r="F307" t="str">
        <f>IF(ISBLANK(Instructions!J314),"",Instructions!J314)</f>
        <v>Erica Williams</v>
      </c>
      <c r="G307" s="1" t="str">
        <f>IF(ISBLANK(Instructions!K314),"",Instructions!K314)</f>
        <v/>
      </c>
      <c r="H307" t="str">
        <f>IF(ISBLANK(Instructions!L314),"",Instructions!L314)</f>
        <v/>
      </c>
      <c r="I307" t="str">
        <f t="shared" si="10"/>
        <v>NULL</v>
      </c>
      <c r="J307" t="str">
        <f t="shared" si="10"/>
        <v>NULL</v>
      </c>
      <c r="K307" t="str">
        <f>Instructions!M314</f>
        <v>Added via SMSS</v>
      </c>
      <c r="L307" t="str">
        <f t="shared" si="9"/>
        <v>NULL</v>
      </c>
    </row>
    <row r="308" spans="1:12" x14ac:dyDescent="0.25">
      <c r="A308" t="str" cm="1">
        <f t="array" ref="A308">_xlfn.CONCAT(Instructions!C315,Instructions!A315,"_",TEXT(Instructions!B315,"YYYYMMDD"),"_1_",INDEX(Table1[], MATCH(1,(Table1[Estuary]=Instructions!C315)*(Table1[StationNumber]=Instructions!D315)*(Instructions!B315&gt;Table1[StartDate])*(Instructions!B315&lt;Table1[EndDate]),0),1),"_1_",Instructions!E315,"_",Instructions!F315)</f>
        <v>TBSRVY_20190924_1_0291_1_07_007</v>
      </c>
      <c r="B308" t="str" cm="1">
        <f t="array" ref="B308">_xlfn.CONCAT(Instructions!C315,Instructions!A315,"_",TEXT(Instructions!B315,"YYYYMMDD"),"_1_",INDEX(Table1[], MATCH(1,(Table1[Estuary]=Instructions!C315)*(Table1[StationNumber]=Instructions!D315)*(Instructions!B315&gt;Table1[StartDate])*(Instructions!B315&lt;Table1[EndDate]),0),1),"_1_",Instructions!E315)</f>
        <v>TBSRVY_20190924_1_0291_1_07</v>
      </c>
      <c r="C308">
        <f>Instructions!G315</f>
        <v>35</v>
      </c>
      <c r="D308" t="str">
        <f>IF(ISBLANK(Instructions!H315),"",Instructions!H315)</f>
        <v>Entered</v>
      </c>
      <c r="E308" s="1">
        <f>IF(ISBLANK(Instructions!I315),"",Instructions!I315)</f>
        <v>45646</v>
      </c>
      <c r="F308" t="str">
        <f>IF(ISBLANK(Instructions!J315),"",Instructions!J315)</f>
        <v>Erica Williams</v>
      </c>
      <c r="G308" s="1" t="str">
        <f>IF(ISBLANK(Instructions!K315),"",Instructions!K315)</f>
        <v/>
      </c>
      <c r="H308" t="str">
        <f>IF(ISBLANK(Instructions!L315),"",Instructions!L315)</f>
        <v/>
      </c>
      <c r="I308" t="str">
        <f t="shared" si="10"/>
        <v>NULL</v>
      </c>
      <c r="J308" t="str">
        <f t="shared" si="10"/>
        <v>NULL</v>
      </c>
      <c r="K308" t="str">
        <f>Instructions!M315</f>
        <v>Added via SMSS</v>
      </c>
      <c r="L308" t="str">
        <f t="shared" si="9"/>
        <v>NULL</v>
      </c>
    </row>
    <row r="309" spans="1:12" x14ac:dyDescent="0.25">
      <c r="A309" t="str" cm="1">
        <f t="array" ref="A309">_xlfn.CONCAT(Instructions!C316,Instructions!A316,"_",TEXT(Instructions!B316,"YYYYMMDD"),"_1_",INDEX(Table1[], MATCH(1,(Table1[Estuary]=Instructions!C316)*(Table1[StationNumber]=Instructions!D316)*(Instructions!B316&gt;Table1[StartDate])*(Instructions!B316&lt;Table1[EndDate]),0),1),"_1_",Instructions!E316,"_",Instructions!F316)</f>
        <v>TBSRVY_20190924_1_0291_1_07_008</v>
      </c>
      <c r="B309" t="str" cm="1">
        <f t="array" ref="B309">_xlfn.CONCAT(Instructions!C316,Instructions!A316,"_",TEXT(Instructions!B316,"YYYYMMDD"),"_1_",INDEX(Table1[], MATCH(1,(Table1[Estuary]=Instructions!C316)*(Table1[StationNumber]=Instructions!D316)*(Instructions!B316&gt;Table1[StartDate])*(Instructions!B316&lt;Table1[EndDate]),0),1),"_1_",Instructions!E316)</f>
        <v>TBSRVY_20190924_1_0291_1_07</v>
      </c>
      <c r="C309">
        <f>Instructions!G316</f>
        <v>38</v>
      </c>
      <c r="D309" t="str">
        <f>IF(ISBLANK(Instructions!H316),"",Instructions!H316)</f>
        <v>Entered</v>
      </c>
      <c r="E309" s="1">
        <f>IF(ISBLANK(Instructions!I316),"",Instructions!I316)</f>
        <v>45646</v>
      </c>
      <c r="F309" t="str">
        <f>IF(ISBLANK(Instructions!J316),"",Instructions!J316)</f>
        <v>Erica Williams</v>
      </c>
      <c r="G309" s="1" t="str">
        <f>IF(ISBLANK(Instructions!K316),"",Instructions!K316)</f>
        <v/>
      </c>
      <c r="H309" t="str">
        <f>IF(ISBLANK(Instructions!L316),"",Instructions!L316)</f>
        <v/>
      </c>
      <c r="I309" t="str">
        <f t="shared" si="10"/>
        <v>NULL</v>
      </c>
      <c r="J309" t="str">
        <f t="shared" si="10"/>
        <v>NULL</v>
      </c>
      <c r="K309" t="str">
        <f>Instructions!M316</f>
        <v>Added via SMSS</v>
      </c>
      <c r="L309" t="str">
        <f t="shared" si="9"/>
        <v>NULL</v>
      </c>
    </row>
    <row r="310" spans="1:12" x14ac:dyDescent="0.25">
      <c r="A310" t="str" cm="1">
        <f t="array" ref="A310">_xlfn.CONCAT(Instructions!C317,Instructions!A317,"_",TEXT(Instructions!B317,"YYYYMMDD"),"_1_",INDEX(Table1[], MATCH(1,(Table1[Estuary]=Instructions!C317)*(Table1[StationNumber]=Instructions!D317)*(Instructions!B317&gt;Table1[StartDate])*(Instructions!B317&lt;Table1[EndDate]),0),1),"_1_",Instructions!E317,"_",Instructions!F317)</f>
        <v>TBSRVY_20190924_1_0291_1_07_009</v>
      </c>
      <c r="B310" t="str" cm="1">
        <f t="array" ref="B310">_xlfn.CONCAT(Instructions!C317,Instructions!A317,"_",TEXT(Instructions!B317,"YYYYMMDD"),"_1_",INDEX(Table1[], MATCH(1,(Table1[Estuary]=Instructions!C317)*(Table1[StationNumber]=Instructions!D317)*(Instructions!B317&gt;Table1[StartDate])*(Instructions!B317&lt;Table1[EndDate]),0),1),"_1_",Instructions!E317)</f>
        <v>TBSRVY_20190924_1_0291_1_07</v>
      </c>
      <c r="C310">
        <f>Instructions!G317</f>
        <v>18</v>
      </c>
      <c r="D310" t="str">
        <f>IF(ISBLANK(Instructions!H317),"",Instructions!H317)</f>
        <v>Entered</v>
      </c>
      <c r="E310" s="1">
        <f>IF(ISBLANK(Instructions!I317),"",Instructions!I317)</f>
        <v>45646</v>
      </c>
      <c r="F310" t="str">
        <f>IF(ISBLANK(Instructions!J317),"",Instructions!J317)</f>
        <v>Erica Williams</v>
      </c>
      <c r="G310" s="1" t="str">
        <f>IF(ISBLANK(Instructions!K317),"",Instructions!K317)</f>
        <v/>
      </c>
      <c r="H310" t="str">
        <f>IF(ISBLANK(Instructions!L317),"",Instructions!L317)</f>
        <v/>
      </c>
      <c r="I310" t="str">
        <f t="shared" si="10"/>
        <v>NULL</v>
      </c>
      <c r="J310" t="str">
        <f t="shared" si="10"/>
        <v>NULL</v>
      </c>
      <c r="K310" t="str">
        <f>Instructions!M317</f>
        <v>Added via SMSS</v>
      </c>
      <c r="L310" t="str">
        <f t="shared" si="9"/>
        <v>NULL</v>
      </c>
    </row>
    <row r="311" spans="1:12" x14ac:dyDescent="0.25">
      <c r="A311" t="str" cm="1">
        <f t="array" ref="A311">_xlfn.CONCAT(Instructions!C318,Instructions!A318,"_",TEXT(Instructions!B318,"YYYYMMDD"),"_1_",INDEX(Table1[], MATCH(1,(Table1[Estuary]=Instructions!C318)*(Table1[StationNumber]=Instructions!D318)*(Instructions!B318&gt;Table1[StartDate])*(Instructions!B318&lt;Table1[EndDate]),0),1),"_1_",Instructions!E318,"_",Instructions!F318)</f>
        <v>TBSRVY_20190924_1_0291_1_07_010</v>
      </c>
      <c r="B311" t="str" cm="1">
        <f t="array" ref="B311">_xlfn.CONCAT(Instructions!C318,Instructions!A318,"_",TEXT(Instructions!B318,"YYYYMMDD"),"_1_",INDEX(Table1[], MATCH(1,(Table1[Estuary]=Instructions!C318)*(Table1[StationNumber]=Instructions!D318)*(Instructions!B318&gt;Table1[StartDate])*(Instructions!B318&lt;Table1[EndDate]),0),1),"_1_",Instructions!E318)</f>
        <v>TBSRVY_20190924_1_0291_1_07</v>
      </c>
      <c r="C311">
        <f>Instructions!G318</f>
        <v>18</v>
      </c>
      <c r="D311" t="str">
        <f>IF(ISBLANK(Instructions!H318),"",Instructions!H318)</f>
        <v>Entered</v>
      </c>
      <c r="E311" s="1">
        <f>IF(ISBLANK(Instructions!I318),"",Instructions!I318)</f>
        <v>45646</v>
      </c>
      <c r="F311" t="str">
        <f>IF(ISBLANK(Instructions!J318),"",Instructions!J318)</f>
        <v>Erica Williams</v>
      </c>
      <c r="G311" s="1" t="str">
        <f>IF(ISBLANK(Instructions!K318),"",Instructions!K318)</f>
        <v/>
      </c>
      <c r="H311" t="str">
        <f>IF(ISBLANK(Instructions!L318),"",Instructions!L318)</f>
        <v/>
      </c>
      <c r="I311" t="str">
        <f t="shared" si="10"/>
        <v>NULL</v>
      </c>
      <c r="J311" t="str">
        <f t="shared" si="10"/>
        <v>NULL</v>
      </c>
      <c r="K311" t="str">
        <f>Instructions!M318</f>
        <v>Added via SMSS</v>
      </c>
      <c r="L311" t="str">
        <f t="shared" si="9"/>
        <v>NULL</v>
      </c>
    </row>
    <row r="312" spans="1:12" x14ac:dyDescent="0.25">
      <c r="A312" t="str" cm="1">
        <f t="array" ref="A312">_xlfn.CONCAT(Instructions!C319,Instructions!A319,"_",TEXT(Instructions!B319,"YYYYMMDD"),"_1_",INDEX(Table1[], MATCH(1,(Table1[Estuary]=Instructions!C319)*(Table1[StationNumber]=Instructions!D319)*(Instructions!B319&gt;Table1[StartDate])*(Instructions!B319&lt;Table1[EndDate]),0),1),"_1_",Instructions!E319,"_",Instructions!F319)</f>
        <v>TBSRVY_20190924_1_0291_1_07_011</v>
      </c>
      <c r="B312" t="str" cm="1">
        <f t="array" ref="B312">_xlfn.CONCAT(Instructions!C319,Instructions!A319,"_",TEXT(Instructions!B319,"YYYYMMDD"),"_1_",INDEX(Table1[], MATCH(1,(Table1[Estuary]=Instructions!C319)*(Table1[StationNumber]=Instructions!D319)*(Instructions!B319&gt;Table1[StartDate])*(Instructions!B319&lt;Table1[EndDate]),0),1),"_1_",Instructions!E319)</f>
        <v>TBSRVY_20190924_1_0291_1_07</v>
      </c>
      <c r="C312">
        <f>Instructions!G319</f>
        <v>40</v>
      </c>
      <c r="D312" t="str">
        <f>IF(ISBLANK(Instructions!H319),"",Instructions!H319)</f>
        <v>Entered</v>
      </c>
      <c r="E312" s="1">
        <f>IF(ISBLANK(Instructions!I319),"",Instructions!I319)</f>
        <v>45646</v>
      </c>
      <c r="F312" t="str">
        <f>IF(ISBLANK(Instructions!J319),"",Instructions!J319)</f>
        <v>Erica Williams</v>
      </c>
      <c r="G312" s="1" t="str">
        <f>IF(ISBLANK(Instructions!K319),"",Instructions!K319)</f>
        <v/>
      </c>
      <c r="H312" t="str">
        <f>IF(ISBLANK(Instructions!L319),"",Instructions!L319)</f>
        <v/>
      </c>
      <c r="I312" t="str">
        <f t="shared" si="10"/>
        <v>NULL</v>
      </c>
      <c r="J312" t="str">
        <f t="shared" si="10"/>
        <v>NULL</v>
      </c>
      <c r="K312" t="str">
        <f>Instructions!M319</f>
        <v>Added via SMSS</v>
      </c>
      <c r="L312" t="str">
        <f t="shared" si="9"/>
        <v>NULL</v>
      </c>
    </row>
    <row r="313" spans="1:12" x14ac:dyDescent="0.25">
      <c r="A313" t="str" cm="1">
        <f t="array" ref="A313">_xlfn.CONCAT(Instructions!C320,Instructions!A320,"_",TEXT(Instructions!B320,"YYYYMMDD"),"_1_",INDEX(Table1[], MATCH(1,(Table1[Estuary]=Instructions!C320)*(Table1[StationNumber]=Instructions!D320)*(Instructions!B320&gt;Table1[StartDate])*(Instructions!B320&lt;Table1[EndDate]),0),1),"_1_",Instructions!E320,"_",Instructions!F320)</f>
        <v>TBSRVY_20190924_1_0291_1_07_012</v>
      </c>
      <c r="B313" t="str" cm="1">
        <f t="array" ref="B313">_xlfn.CONCAT(Instructions!C320,Instructions!A320,"_",TEXT(Instructions!B320,"YYYYMMDD"),"_1_",INDEX(Table1[], MATCH(1,(Table1[Estuary]=Instructions!C320)*(Table1[StationNumber]=Instructions!D320)*(Instructions!B320&gt;Table1[StartDate])*(Instructions!B320&lt;Table1[EndDate]),0),1),"_1_",Instructions!E320)</f>
        <v>TBSRVY_20190924_1_0291_1_07</v>
      </c>
      <c r="C313">
        <f>Instructions!G320</f>
        <v>14</v>
      </c>
      <c r="D313" t="str">
        <f>IF(ISBLANK(Instructions!H320),"",Instructions!H320)</f>
        <v>Entered</v>
      </c>
      <c r="E313" s="1">
        <f>IF(ISBLANK(Instructions!I320),"",Instructions!I320)</f>
        <v>45646</v>
      </c>
      <c r="F313" t="str">
        <f>IF(ISBLANK(Instructions!J320),"",Instructions!J320)</f>
        <v>Erica Williams</v>
      </c>
      <c r="G313" s="1" t="str">
        <f>IF(ISBLANK(Instructions!K320),"",Instructions!K320)</f>
        <v/>
      </c>
      <c r="H313" t="str">
        <f>IF(ISBLANK(Instructions!L320),"",Instructions!L320)</f>
        <v/>
      </c>
      <c r="I313" t="str">
        <f t="shared" si="10"/>
        <v>NULL</v>
      </c>
      <c r="J313" t="str">
        <f t="shared" si="10"/>
        <v>NULL</v>
      </c>
      <c r="K313" t="str">
        <f>Instructions!M320</f>
        <v>Added via SMSS</v>
      </c>
      <c r="L313" t="str">
        <f t="shared" si="9"/>
        <v>NULL</v>
      </c>
    </row>
    <row r="314" spans="1:12" x14ac:dyDescent="0.25">
      <c r="A314" t="str" cm="1">
        <f t="array" ref="A314">_xlfn.CONCAT(Instructions!C321,Instructions!A321,"_",TEXT(Instructions!B321,"YYYYMMDD"),"_1_",INDEX(Table1[], MATCH(1,(Table1[Estuary]=Instructions!C321)*(Table1[StationNumber]=Instructions!D321)*(Instructions!B321&gt;Table1[StartDate])*(Instructions!B321&lt;Table1[EndDate]),0),1),"_1_",Instructions!E321,"_",Instructions!F321)</f>
        <v>TBSRVY_20190924_1_0291_1_07_013</v>
      </c>
      <c r="B314" t="str" cm="1">
        <f t="array" ref="B314">_xlfn.CONCAT(Instructions!C321,Instructions!A321,"_",TEXT(Instructions!B321,"YYYYMMDD"),"_1_",INDEX(Table1[], MATCH(1,(Table1[Estuary]=Instructions!C321)*(Table1[StationNumber]=Instructions!D321)*(Instructions!B321&gt;Table1[StartDate])*(Instructions!B321&lt;Table1[EndDate]),0),1),"_1_",Instructions!E321)</f>
        <v>TBSRVY_20190924_1_0291_1_07</v>
      </c>
      <c r="C314">
        <f>Instructions!G321</f>
        <v>48</v>
      </c>
      <c r="D314" t="str">
        <f>IF(ISBLANK(Instructions!H321),"",Instructions!H321)</f>
        <v>Entered</v>
      </c>
      <c r="E314" s="1">
        <f>IF(ISBLANK(Instructions!I321),"",Instructions!I321)</f>
        <v>45646</v>
      </c>
      <c r="F314" t="str">
        <f>IF(ISBLANK(Instructions!J321),"",Instructions!J321)</f>
        <v>Erica Williams</v>
      </c>
      <c r="G314" s="1" t="str">
        <f>IF(ISBLANK(Instructions!K321),"",Instructions!K321)</f>
        <v/>
      </c>
      <c r="H314" t="str">
        <f>IF(ISBLANK(Instructions!L321),"",Instructions!L321)</f>
        <v/>
      </c>
      <c r="I314" t="str">
        <f t="shared" si="10"/>
        <v>NULL</v>
      </c>
      <c r="J314" t="str">
        <f t="shared" si="10"/>
        <v>NULL</v>
      </c>
      <c r="K314" t="str">
        <f>Instructions!M321</f>
        <v>Added via SMSS</v>
      </c>
      <c r="L314" t="str">
        <f t="shared" si="9"/>
        <v>NULL</v>
      </c>
    </row>
    <row r="315" spans="1:12" x14ac:dyDescent="0.25">
      <c r="A315" t="str" cm="1">
        <f t="array" ref="A315">_xlfn.CONCAT(Instructions!C322,Instructions!A322,"_",TEXT(Instructions!B322,"YYYYMMDD"),"_1_",INDEX(Table1[], MATCH(1,(Table1[Estuary]=Instructions!C322)*(Table1[StationNumber]=Instructions!D322)*(Instructions!B322&gt;Table1[StartDate])*(Instructions!B322&lt;Table1[EndDate]),0),1),"_1_",Instructions!E322,"_",Instructions!F322)</f>
        <v>TBSRVY_20190924_1_0291_1_07_014</v>
      </c>
      <c r="B315" t="str" cm="1">
        <f t="array" ref="B315">_xlfn.CONCAT(Instructions!C322,Instructions!A322,"_",TEXT(Instructions!B322,"YYYYMMDD"),"_1_",INDEX(Table1[], MATCH(1,(Table1[Estuary]=Instructions!C322)*(Table1[StationNumber]=Instructions!D322)*(Instructions!B322&gt;Table1[StartDate])*(Instructions!B322&lt;Table1[EndDate]),0),1),"_1_",Instructions!E322)</f>
        <v>TBSRVY_20190924_1_0291_1_07</v>
      </c>
      <c r="C315">
        <f>Instructions!G322</f>
        <v>33</v>
      </c>
      <c r="D315" t="str">
        <f>IF(ISBLANK(Instructions!H322),"",Instructions!H322)</f>
        <v>Entered</v>
      </c>
      <c r="E315" s="1">
        <f>IF(ISBLANK(Instructions!I322),"",Instructions!I322)</f>
        <v>45646</v>
      </c>
      <c r="F315" t="str">
        <f>IF(ISBLANK(Instructions!J322),"",Instructions!J322)</f>
        <v>Erica Williams</v>
      </c>
      <c r="G315" s="1" t="str">
        <f>IF(ISBLANK(Instructions!K322),"",Instructions!K322)</f>
        <v/>
      </c>
      <c r="H315" t="str">
        <f>IF(ISBLANK(Instructions!L322),"",Instructions!L322)</f>
        <v/>
      </c>
      <c r="I315" t="str">
        <f t="shared" si="10"/>
        <v>NULL</v>
      </c>
      <c r="J315" t="str">
        <f t="shared" si="10"/>
        <v>NULL</v>
      </c>
      <c r="K315" t="str">
        <f>Instructions!M322</f>
        <v>Added via SMSS</v>
      </c>
      <c r="L315" t="str">
        <f t="shared" si="9"/>
        <v>NULL</v>
      </c>
    </row>
    <row r="316" spans="1:12" x14ac:dyDescent="0.25">
      <c r="A316" t="str" cm="1">
        <f t="array" ref="A316">_xlfn.CONCAT(Instructions!C323,Instructions!A323,"_",TEXT(Instructions!B323,"YYYYMMDD"),"_1_",INDEX(Table1[], MATCH(1,(Table1[Estuary]=Instructions!C323)*(Table1[StationNumber]=Instructions!D323)*(Instructions!B323&gt;Table1[StartDate])*(Instructions!B323&lt;Table1[EndDate]),0),1),"_1_",Instructions!E323,"_",Instructions!F323)</f>
        <v>TBSRVY_20190924_1_0291_1_07_015</v>
      </c>
      <c r="B316" t="str" cm="1">
        <f t="array" ref="B316">_xlfn.CONCAT(Instructions!C323,Instructions!A323,"_",TEXT(Instructions!B323,"YYYYMMDD"),"_1_",INDEX(Table1[], MATCH(1,(Table1[Estuary]=Instructions!C323)*(Table1[StationNumber]=Instructions!D323)*(Instructions!B323&gt;Table1[StartDate])*(Instructions!B323&lt;Table1[EndDate]),0),1),"_1_",Instructions!E323)</f>
        <v>TBSRVY_20190924_1_0291_1_07</v>
      </c>
      <c r="C316">
        <f>Instructions!G323</f>
        <v>36</v>
      </c>
      <c r="D316" t="str">
        <f>IF(ISBLANK(Instructions!H323),"",Instructions!H323)</f>
        <v>Entered</v>
      </c>
      <c r="E316" s="1">
        <f>IF(ISBLANK(Instructions!I323),"",Instructions!I323)</f>
        <v>45646</v>
      </c>
      <c r="F316" t="str">
        <f>IF(ISBLANK(Instructions!J323),"",Instructions!J323)</f>
        <v>Erica Williams</v>
      </c>
      <c r="G316" s="1" t="str">
        <f>IF(ISBLANK(Instructions!K323),"",Instructions!K323)</f>
        <v/>
      </c>
      <c r="H316" t="str">
        <f>IF(ISBLANK(Instructions!L323),"",Instructions!L323)</f>
        <v/>
      </c>
      <c r="I316" t="str">
        <f t="shared" si="10"/>
        <v>NULL</v>
      </c>
      <c r="J316" t="str">
        <f t="shared" si="10"/>
        <v>NULL</v>
      </c>
      <c r="K316" t="str">
        <f>Instructions!M323</f>
        <v>Added via SMSS</v>
      </c>
      <c r="L316" t="str">
        <f t="shared" si="9"/>
        <v>NULL</v>
      </c>
    </row>
    <row r="317" spans="1:12" x14ac:dyDescent="0.25">
      <c r="A317" t="str" cm="1">
        <f t="array" ref="A317">_xlfn.CONCAT(Instructions!C324,Instructions!A324,"_",TEXT(Instructions!B324,"YYYYMMDD"),"_1_",INDEX(Table1[], MATCH(1,(Table1[Estuary]=Instructions!C324)*(Table1[StationNumber]=Instructions!D324)*(Instructions!B324&gt;Table1[StartDate])*(Instructions!B324&lt;Table1[EndDate]),0),1),"_1_",Instructions!E324,"_",Instructions!F324)</f>
        <v>TBSRVY_20190924_1_0291_1_07_016</v>
      </c>
      <c r="B317" t="str" cm="1">
        <f t="array" ref="B317">_xlfn.CONCAT(Instructions!C324,Instructions!A324,"_",TEXT(Instructions!B324,"YYYYMMDD"),"_1_",INDEX(Table1[], MATCH(1,(Table1[Estuary]=Instructions!C324)*(Table1[StationNumber]=Instructions!D324)*(Instructions!B324&gt;Table1[StartDate])*(Instructions!B324&lt;Table1[EndDate]),0),1),"_1_",Instructions!E324)</f>
        <v>TBSRVY_20190924_1_0291_1_07</v>
      </c>
      <c r="C317">
        <f>Instructions!G324</f>
        <v>30</v>
      </c>
      <c r="D317" t="str">
        <f>IF(ISBLANK(Instructions!H324),"",Instructions!H324)</f>
        <v>Entered</v>
      </c>
      <c r="E317" s="1">
        <f>IF(ISBLANK(Instructions!I324),"",Instructions!I324)</f>
        <v>45646</v>
      </c>
      <c r="F317" t="str">
        <f>IF(ISBLANK(Instructions!J324),"",Instructions!J324)</f>
        <v>Erica Williams</v>
      </c>
      <c r="G317" s="1" t="str">
        <f>IF(ISBLANK(Instructions!K324),"",Instructions!K324)</f>
        <v/>
      </c>
      <c r="H317" t="str">
        <f>IF(ISBLANK(Instructions!L324),"",Instructions!L324)</f>
        <v/>
      </c>
      <c r="I317" t="str">
        <f t="shared" si="10"/>
        <v>NULL</v>
      </c>
      <c r="J317" t="str">
        <f t="shared" si="10"/>
        <v>NULL</v>
      </c>
      <c r="K317" t="str">
        <f>Instructions!M324</f>
        <v>Added via SMSS</v>
      </c>
      <c r="L317" t="str">
        <f t="shared" si="9"/>
        <v>NULL</v>
      </c>
    </row>
    <row r="318" spans="1:12" x14ac:dyDescent="0.25">
      <c r="A318" t="str" cm="1">
        <f t="array" ref="A318">_xlfn.CONCAT(Instructions!C325,Instructions!A325,"_",TEXT(Instructions!B325,"YYYYMMDD"),"_1_",INDEX(Table1[], MATCH(1,(Table1[Estuary]=Instructions!C325)*(Table1[StationNumber]=Instructions!D325)*(Instructions!B325&gt;Table1[StartDate])*(Instructions!B325&lt;Table1[EndDate]),0),1),"_1_",Instructions!E325,"_",Instructions!F325)</f>
        <v>TBSRVY_20190924_1_0291_1_07_017</v>
      </c>
      <c r="B318" t="str" cm="1">
        <f t="array" ref="B318">_xlfn.CONCAT(Instructions!C325,Instructions!A325,"_",TEXT(Instructions!B325,"YYYYMMDD"),"_1_",INDEX(Table1[], MATCH(1,(Table1[Estuary]=Instructions!C325)*(Table1[StationNumber]=Instructions!D325)*(Instructions!B325&gt;Table1[StartDate])*(Instructions!B325&lt;Table1[EndDate]),0),1),"_1_",Instructions!E325)</f>
        <v>TBSRVY_20190924_1_0291_1_07</v>
      </c>
      <c r="C318">
        <f>Instructions!G325</f>
        <v>22</v>
      </c>
      <c r="D318" t="str">
        <f>IF(ISBLANK(Instructions!H325),"",Instructions!H325)</f>
        <v>Entered</v>
      </c>
      <c r="E318" s="1">
        <f>IF(ISBLANK(Instructions!I325),"",Instructions!I325)</f>
        <v>45646</v>
      </c>
      <c r="F318" t="str">
        <f>IF(ISBLANK(Instructions!J325),"",Instructions!J325)</f>
        <v>Erica Williams</v>
      </c>
      <c r="G318" s="1" t="str">
        <f>IF(ISBLANK(Instructions!K325),"",Instructions!K325)</f>
        <v/>
      </c>
      <c r="H318" t="str">
        <f>IF(ISBLANK(Instructions!L325),"",Instructions!L325)</f>
        <v/>
      </c>
      <c r="I318" t="str">
        <f t="shared" si="10"/>
        <v>NULL</v>
      </c>
      <c r="J318" t="str">
        <f t="shared" si="10"/>
        <v>NULL</v>
      </c>
      <c r="K318" t="str">
        <f>Instructions!M325</f>
        <v>Added via SMSS</v>
      </c>
      <c r="L318" t="str">
        <f t="shared" si="9"/>
        <v>NULL</v>
      </c>
    </row>
    <row r="319" spans="1:12" x14ac:dyDescent="0.25">
      <c r="A319" t="str" cm="1">
        <f t="array" ref="A319">_xlfn.CONCAT(Instructions!C326,Instructions!A326,"_",TEXT(Instructions!B326,"YYYYMMDD"),"_1_",INDEX(Table1[], MATCH(1,(Table1[Estuary]=Instructions!C326)*(Table1[StationNumber]=Instructions!D326)*(Instructions!B326&gt;Table1[StartDate])*(Instructions!B326&lt;Table1[EndDate]),0),1),"_1_",Instructions!E326,"_",Instructions!F326)</f>
        <v>TBSRVY_20190924_1_0291_1_07_018</v>
      </c>
      <c r="B319" t="str" cm="1">
        <f t="array" ref="B319">_xlfn.CONCAT(Instructions!C326,Instructions!A326,"_",TEXT(Instructions!B326,"YYYYMMDD"),"_1_",INDEX(Table1[], MATCH(1,(Table1[Estuary]=Instructions!C326)*(Table1[StationNumber]=Instructions!D326)*(Instructions!B326&gt;Table1[StartDate])*(Instructions!B326&lt;Table1[EndDate]),0),1),"_1_",Instructions!E326)</f>
        <v>TBSRVY_20190924_1_0291_1_07</v>
      </c>
      <c r="C319">
        <f>Instructions!G326</f>
        <v>18</v>
      </c>
      <c r="D319" t="str">
        <f>IF(ISBLANK(Instructions!H326),"",Instructions!H326)</f>
        <v>Entered</v>
      </c>
      <c r="E319" s="1">
        <f>IF(ISBLANK(Instructions!I326),"",Instructions!I326)</f>
        <v>45646</v>
      </c>
      <c r="F319" t="str">
        <f>IF(ISBLANK(Instructions!J326),"",Instructions!J326)</f>
        <v>Erica Williams</v>
      </c>
      <c r="G319" s="1" t="str">
        <f>IF(ISBLANK(Instructions!K326),"",Instructions!K326)</f>
        <v/>
      </c>
      <c r="H319" t="str">
        <f>IF(ISBLANK(Instructions!L326),"",Instructions!L326)</f>
        <v/>
      </c>
      <c r="I319" t="str">
        <f t="shared" si="10"/>
        <v>NULL</v>
      </c>
      <c r="J319" t="str">
        <f t="shared" si="10"/>
        <v>NULL</v>
      </c>
      <c r="K319" t="str">
        <f>Instructions!M326</f>
        <v>Added via SMSS</v>
      </c>
      <c r="L319" t="str">
        <f t="shared" si="9"/>
        <v>NULL</v>
      </c>
    </row>
    <row r="320" spans="1:12" x14ac:dyDescent="0.25">
      <c r="A320" t="str" cm="1">
        <f t="array" ref="A320">_xlfn.CONCAT(Instructions!C327,Instructions!A327,"_",TEXT(Instructions!B327,"YYYYMMDD"),"_1_",INDEX(Table1[], MATCH(1,(Table1[Estuary]=Instructions!C327)*(Table1[StationNumber]=Instructions!D327)*(Instructions!B327&gt;Table1[StartDate])*(Instructions!B327&lt;Table1[EndDate]),0),1),"_1_",Instructions!E327,"_",Instructions!F327)</f>
        <v>TBSRVY_20190924_1_0291_1_07_019</v>
      </c>
      <c r="B320" t="str" cm="1">
        <f t="array" ref="B320">_xlfn.CONCAT(Instructions!C327,Instructions!A327,"_",TEXT(Instructions!B327,"YYYYMMDD"),"_1_",INDEX(Table1[], MATCH(1,(Table1[Estuary]=Instructions!C327)*(Table1[StationNumber]=Instructions!D327)*(Instructions!B327&gt;Table1[StartDate])*(Instructions!B327&lt;Table1[EndDate]),0),1),"_1_",Instructions!E327)</f>
        <v>TBSRVY_20190924_1_0291_1_07</v>
      </c>
      <c r="C320">
        <f>Instructions!G327</f>
        <v>43</v>
      </c>
      <c r="D320" t="str">
        <f>IF(ISBLANK(Instructions!H327),"",Instructions!H327)</f>
        <v>Entered</v>
      </c>
      <c r="E320" s="1">
        <f>IF(ISBLANK(Instructions!I327),"",Instructions!I327)</f>
        <v>45646</v>
      </c>
      <c r="F320" t="str">
        <f>IF(ISBLANK(Instructions!J327),"",Instructions!J327)</f>
        <v>Erica Williams</v>
      </c>
      <c r="G320" s="1" t="str">
        <f>IF(ISBLANK(Instructions!K327),"",Instructions!K327)</f>
        <v/>
      </c>
      <c r="H320" t="str">
        <f>IF(ISBLANK(Instructions!L327),"",Instructions!L327)</f>
        <v/>
      </c>
      <c r="I320" t="str">
        <f t="shared" si="10"/>
        <v>NULL</v>
      </c>
      <c r="J320" t="str">
        <f t="shared" si="10"/>
        <v>NULL</v>
      </c>
      <c r="K320" t="str">
        <f>Instructions!M327</f>
        <v>Added via SMSS</v>
      </c>
      <c r="L320" t="str">
        <f t="shared" si="9"/>
        <v>NULL</v>
      </c>
    </row>
    <row r="321" spans="1:12" x14ac:dyDescent="0.25">
      <c r="A321" t="str" cm="1">
        <f t="array" ref="A321">_xlfn.CONCAT(Instructions!C328,Instructions!A328,"_",TEXT(Instructions!B328,"YYYYMMDD"),"_1_",INDEX(Table1[], MATCH(1,(Table1[Estuary]=Instructions!C328)*(Table1[StationNumber]=Instructions!D328)*(Instructions!B328&gt;Table1[StartDate])*(Instructions!B328&lt;Table1[EndDate]),0),1),"_1_",Instructions!E328,"_",Instructions!F328)</f>
        <v>TBSRVY_20190924_1_0291_1_07_020</v>
      </c>
      <c r="B321" t="str" cm="1">
        <f t="array" ref="B321">_xlfn.CONCAT(Instructions!C328,Instructions!A328,"_",TEXT(Instructions!B328,"YYYYMMDD"),"_1_",INDEX(Table1[], MATCH(1,(Table1[Estuary]=Instructions!C328)*(Table1[StationNumber]=Instructions!D328)*(Instructions!B328&gt;Table1[StartDate])*(Instructions!B328&lt;Table1[EndDate]),0),1),"_1_",Instructions!E328)</f>
        <v>TBSRVY_20190924_1_0291_1_07</v>
      </c>
      <c r="C321">
        <f>Instructions!G328</f>
        <v>18</v>
      </c>
      <c r="D321" t="str">
        <f>IF(ISBLANK(Instructions!H328),"",Instructions!H328)</f>
        <v>Entered</v>
      </c>
      <c r="E321" s="1">
        <f>IF(ISBLANK(Instructions!I328),"",Instructions!I328)</f>
        <v>45646</v>
      </c>
      <c r="F321" t="str">
        <f>IF(ISBLANK(Instructions!J328),"",Instructions!J328)</f>
        <v>Erica Williams</v>
      </c>
      <c r="G321" s="1" t="str">
        <f>IF(ISBLANK(Instructions!K328),"",Instructions!K328)</f>
        <v/>
      </c>
      <c r="H321" t="str">
        <f>IF(ISBLANK(Instructions!L328),"",Instructions!L328)</f>
        <v/>
      </c>
      <c r="I321" t="str">
        <f t="shared" si="10"/>
        <v>NULL</v>
      </c>
      <c r="J321" t="str">
        <f t="shared" si="10"/>
        <v>NULL</v>
      </c>
      <c r="K321" t="str">
        <f>Instructions!M328</f>
        <v>Added via SMSS</v>
      </c>
      <c r="L321" t="str">
        <f t="shared" si="9"/>
        <v>NULL</v>
      </c>
    </row>
    <row r="322" spans="1:12" x14ac:dyDescent="0.25">
      <c r="A322" t="str" cm="1">
        <f t="array" ref="A322">_xlfn.CONCAT(Instructions!C329,Instructions!A329,"_",TEXT(Instructions!B329,"YYYYMMDD"),"_1_",INDEX(Table1[], MATCH(1,(Table1[Estuary]=Instructions!C329)*(Table1[StationNumber]=Instructions!D329)*(Instructions!B329&gt;Table1[StartDate])*(Instructions!B329&lt;Table1[EndDate]),0),1),"_1_",Instructions!E329,"_",Instructions!F329)</f>
        <v>TBSRVY_20190924_1_0291_1_07_021</v>
      </c>
      <c r="B322" t="str" cm="1">
        <f t="array" ref="B322">_xlfn.CONCAT(Instructions!C329,Instructions!A329,"_",TEXT(Instructions!B329,"YYYYMMDD"),"_1_",INDEX(Table1[], MATCH(1,(Table1[Estuary]=Instructions!C329)*(Table1[StationNumber]=Instructions!D329)*(Instructions!B329&gt;Table1[StartDate])*(Instructions!B329&lt;Table1[EndDate]),0),1),"_1_",Instructions!E329)</f>
        <v>TBSRVY_20190924_1_0291_1_07</v>
      </c>
      <c r="C322">
        <f>Instructions!G329</f>
        <v>7</v>
      </c>
      <c r="D322" t="str">
        <f>IF(ISBLANK(Instructions!H329),"",Instructions!H329)</f>
        <v>Entered</v>
      </c>
      <c r="E322" s="1">
        <f>IF(ISBLANK(Instructions!I329),"",Instructions!I329)</f>
        <v>45646</v>
      </c>
      <c r="F322" t="str">
        <f>IF(ISBLANK(Instructions!J329),"",Instructions!J329)</f>
        <v>Erica Williams</v>
      </c>
      <c r="G322" s="1" t="str">
        <f>IF(ISBLANK(Instructions!K329),"",Instructions!K329)</f>
        <v/>
      </c>
      <c r="H322" t="str">
        <f>IF(ISBLANK(Instructions!L329),"",Instructions!L329)</f>
        <v/>
      </c>
      <c r="I322" t="str">
        <f t="shared" si="10"/>
        <v>NULL</v>
      </c>
      <c r="J322" t="str">
        <f t="shared" ref="J322" si="11">"NULL"</f>
        <v>NULL</v>
      </c>
      <c r="K322" t="str">
        <f>Instructions!M329</f>
        <v>Added via SMSS</v>
      </c>
      <c r="L322" t="str">
        <f t="shared" ref="L322:L385" si="12">"NULL"</f>
        <v>NULL</v>
      </c>
    </row>
    <row r="323" spans="1:12" x14ac:dyDescent="0.25">
      <c r="A323" t="str" cm="1">
        <f t="array" ref="A323">_xlfn.CONCAT(Instructions!C330,Instructions!A330,"_",TEXT(Instructions!B330,"YYYYMMDD"),"_1_",INDEX(Table1[], MATCH(1,(Table1[Estuary]=Instructions!C330)*(Table1[StationNumber]=Instructions!D330)*(Instructions!B330&gt;Table1[StartDate])*(Instructions!B330&lt;Table1[EndDate]),0),1),"_1_",Instructions!E330,"_",Instructions!F330)</f>
        <v>TBSRVY_20190924_1_0291_1_07_022</v>
      </c>
      <c r="B323" t="str" cm="1">
        <f t="array" ref="B323">_xlfn.CONCAT(Instructions!C330,Instructions!A330,"_",TEXT(Instructions!B330,"YYYYMMDD"),"_1_",INDEX(Table1[], MATCH(1,(Table1[Estuary]=Instructions!C330)*(Table1[StationNumber]=Instructions!D330)*(Instructions!B330&gt;Table1[StartDate])*(Instructions!B330&lt;Table1[EndDate]),0),1),"_1_",Instructions!E330)</f>
        <v>TBSRVY_20190924_1_0291_1_07</v>
      </c>
      <c r="C323">
        <f>Instructions!G330</f>
        <v>4</v>
      </c>
      <c r="D323" t="str">
        <f>IF(ISBLANK(Instructions!H330),"",Instructions!H330)</f>
        <v>Entered</v>
      </c>
      <c r="E323" s="1">
        <f>IF(ISBLANK(Instructions!I330),"",Instructions!I330)</f>
        <v>45646</v>
      </c>
      <c r="F323" t="str">
        <f>IF(ISBLANK(Instructions!J330),"",Instructions!J330)</f>
        <v>Erica Williams</v>
      </c>
      <c r="G323" s="1" t="str">
        <f>IF(ISBLANK(Instructions!K330),"",Instructions!K330)</f>
        <v/>
      </c>
      <c r="H323" t="str">
        <f>IF(ISBLANK(Instructions!L330),"",Instructions!L330)</f>
        <v/>
      </c>
      <c r="I323" t="str">
        <f t="shared" ref="I323:J357" si="13">"NULL"</f>
        <v>NULL</v>
      </c>
      <c r="J323" t="str">
        <f t="shared" si="13"/>
        <v>NULL</v>
      </c>
      <c r="K323" t="str">
        <f>Instructions!M330</f>
        <v>Added via SMSS</v>
      </c>
      <c r="L323" t="str">
        <f t="shared" si="12"/>
        <v>NULL</v>
      </c>
    </row>
    <row r="324" spans="1:12" x14ac:dyDescent="0.25">
      <c r="A324" t="str" cm="1">
        <f t="array" ref="A324">_xlfn.CONCAT(Instructions!C331,Instructions!A331,"_",TEXT(Instructions!B331,"YYYYMMDD"),"_1_",INDEX(Table1[], MATCH(1,(Table1[Estuary]=Instructions!C331)*(Table1[StationNumber]=Instructions!D331)*(Instructions!B331&gt;Table1[StartDate])*(Instructions!B331&lt;Table1[EndDate]),0),1),"_1_",Instructions!E331,"_",Instructions!F331)</f>
        <v>TBSRVY_20190924_1_0291_1_07_023</v>
      </c>
      <c r="B324" t="str" cm="1">
        <f t="array" ref="B324">_xlfn.CONCAT(Instructions!C331,Instructions!A331,"_",TEXT(Instructions!B331,"YYYYMMDD"),"_1_",INDEX(Table1[], MATCH(1,(Table1[Estuary]=Instructions!C331)*(Table1[StationNumber]=Instructions!D331)*(Instructions!B331&gt;Table1[StartDate])*(Instructions!B331&lt;Table1[EndDate]),0),1),"_1_",Instructions!E331)</f>
        <v>TBSRVY_20190924_1_0291_1_07</v>
      </c>
      <c r="C324">
        <f>Instructions!G331</f>
        <v>33</v>
      </c>
      <c r="D324" t="str">
        <f>IF(ISBLANK(Instructions!H331),"",Instructions!H331)</f>
        <v>Entered</v>
      </c>
      <c r="E324" s="1">
        <f>IF(ISBLANK(Instructions!I331),"",Instructions!I331)</f>
        <v>45646</v>
      </c>
      <c r="F324" t="str">
        <f>IF(ISBLANK(Instructions!J331),"",Instructions!J331)</f>
        <v>Erica Williams</v>
      </c>
      <c r="G324" s="1" t="str">
        <f>IF(ISBLANK(Instructions!K331),"",Instructions!K331)</f>
        <v/>
      </c>
      <c r="H324" t="str">
        <f>IF(ISBLANK(Instructions!L331),"",Instructions!L331)</f>
        <v/>
      </c>
      <c r="I324" t="str">
        <f t="shared" si="13"/>
        <v>NULL</v>
      </c>
      <c r="J324" t="str">
        <f t="shared" si="13"/>
        <v>NULL</v>
      </c>
      <c r="K324" t="str">
        <f>Instructions!M331</f>
        <v>Added via SMSS</v>
      </c>
      <c r="L324" t="str">
        <f t="shared" si="12"/>
        <v>NULL</v>
      </c>
    </row>
    <row r="325" spans="1:12" x14ac:dyDescent="0.25">
      <c r="A325" t="str" cm="1">
        <f t="array" ref="A325">_xlfn.CONCAT(Instructions!C332,Instructions!A332,"_",TEXT(Instructions!B332,"YYYYMMDD"),"_1_",INDEX(Table1[], MATCH(1,(Table1[Estuary]=Instructions!C332)*(Table1[StationNumber]=Instructions!D332)*(Instructions!B332&gt;Table1[StartDate])*(Instructions!B332&lt;Table1[EndDate]),0),1),"_1_",Instructions!E332,"_",Instructions!F332)</f>
        <v>TBSRVY_20190924_1_0291_1_07_024</v>
      </c>
      <c r="B325" t="str" cm="1">
        <f t="array" ref="B325">_xlfn.CONCAT(Instructions!C332,Instructions!A332,"_",TEXT(Instructions!B332,"YYYYMMDD"),"_1_",INDEX(Table1[], MATCH(1,(Table1[Estuary]=Instructions!C332)*(Table1[StationNumber]=Instructions!D332)*(Instructions!B332&gt;Table1[StartDate])*(Instructions!B332&lt;Table1[EndDate]),0),1),"_1_",Instructions!E332)</f>
        <v>TBSRVY_20190924_1_0291_1_07</v>
      </c>
      <c r="C325">
        <f>Instructions!G332</f>
        <v>23</v>
      </c>
      <c r="D325" t="str">
        <f>IF(ISBLANK(Instructions!H332),"",Instructions!H332)</f>
        <v>Entered</v>
      </c>
      <c r="E325" s="1">
        <f>IF(ISBLANK(Instructions!I332),"",Instructions!I332)</f>
        <v>45646</v>
      </c>
      <c r="F325" t="str">
        <f>IF(ISBLANK(Instructions!J332),"",Instructions!J332)</f>
        <v>Erica Williams</v>
      </c>
      <c r="G325" s="1" t="str">
        <f>IF(ISBLANK(Instructions!K332),"",Instructions!K332)</f>
        <v/>
      </c>
      <c r="H325" t="str">
        <f>IF(ISBLANK(Instructions!L332),"",Instructions!L332)</f>
        <v/>
      </c>
      <c r="I325" t="str">
        <f t="shared" si="13"/>
        <v>NULL</v>
      </c>
      <c r="J325" t="str">
        <f t="shared" si="13"/>
        <v>NULL</v>
      </c>
      <c r="K325" t="str">
        <f>Instructions!M332</f>
        <v>Added via SMSS</v>
      </c>
      <c r="L325" t="str">
        <f t="shared" si="12"/>
        <v>NULL</v>
      </c>
    </row>
    <row r="326" spans="1:12" x14ac:dyDescent="0.25">
      <c r="A326" t="str" cm="1">
        <f t="array" ref="A326">_xlfn.CONCAT(Instructions!C333,Instructions!A333,"_",TEXT(Instructions!B333,"YYYYMMDD"),"_1_",INDEX(Table1[], MATCH(1,(Table1[Estuary]=Instructions!C333)*(Table1[StationNumber]=Instructions!D333)*(Instructions!B333&gt;Table1[StartDate])*(Instructions!B333&lt;Table1[EndDate]),0),1),"_1_",Instructions!E333,"_",Instructions!F333)</f>
        <v>TBSRVY_20190924_1_0291_1_07_025</v>
      </c>
      <c r="B326" t="str" cm="1">
        <f t="array" ref="B326">_xlfn.CONCAT(Instructions!C333,Instructions!A333,"_",TEXT(Instructions!B333,"YYYYMMDD"),"_1_",INDEX(Table1[], MATCH(1,(Table1[Estuary]=Instructions!C333)*(Table1[StationNumber]=Instructions!D333)*(Instructions!B333&gt;Table1[StartDate])*(Instructions!B333&lt;Table1[EndDate]),0),1),"_1_",Instructions!E333)</f>
        <v>TBSRVY_20190924_1_0291_1_07</v>
      </c>
      <c r="C326">
        <f>Instructions!G333</f>
        <v>25</v>
      </c>
      <c r="D326" t="str">
        <f>IF(ISBLANK(Instructions!H333),"",Instructions!H333)</f>
        <v>Entered</v>
      </c>
      <c r="E326" s="1">
        <f>IF(ISBLANK(Instructions!I333),"",Instructions!I333)</f>
        <v>45646</v>
      </c>
      <c r="F326" t="str">
        <f>IF(ISBLANK(Instructions!J333),"",Instructions!J333)</f>
        <v>Erica Williams</v>
      </c>
      <c r="G326" s="1" t="str">
        <f>IF(ISBLANK(Instructions!K333),"",Instructions!K333)</f>
        <v/>
      </c>
      <c r="H326" t="str">
        <f>IF(ISBLANK(Instructions!L333),"",Instructions!L333)</f>
        <v/>
      </c>
      <c r="I326" t="str">
        <f t="shared" si="13"/>
        <v>NULL</v>
      </c>
      <c r="J326" t="str">
        <f t="shared" si="13"/>
        <v>NULL</v>
      </c>
      <c r="K326" t="str">
        <f>Instructions!M333</f>
        <v>Added via SMSS</v>
      </c>
      <c r="L326" t="str">
        <f t="shared" si="12"/>
        <v>NULL</v>
      </c>
    </row>
    <row r="327" spans="1:12" x14ac:dyDescent="0.25">
      <c r="A327" t="str" cm="1">
        <f t="array" ref="A327">_xlfn.CONCAT(Instructions!C334,Instructions!A334,"_",TEXT(Instructions!B334,"YYYYMMDD"),"_1_",INDEX(Table1[], MATCH(1,(Table1[Estuary]=Instructions!C334)*(Table1[StationNumber]=Instructions!D334)*(Instructions!B334&gt;Table1[StartDate])*(Instructions!B334&lt;Table1[EndDate]),0),1),"_1_",Instructions!E334,"_",Instructions!F334)</f>
        <v>TBSRVY_20190924_1_0291_1_07_026</v>
      </c>
      <c r="B327" t="str" cm="1">
        <f t="array" ref="B327">_xlfn.CONCAT(Instructions!C334,Instructions!A334,"_",TEXT(Instructions!B334,"YYYYMMDD"),"_1_",INDEX(Table1[], MATCH(1,(Table1[Estuary]=Instructions!C334)*(Table1[StationNumber]=Instructions!D334)*(Instructions!B334&gt;Table1[StartDate])*(Instructions!B334&lt;Table1[EndDate]),0),1),"_1_",Instructions!E334)</f>
        <v>TBSRVY_20190924_1_0291_1_07</v>
      </c>
      <c r="C327">
        <f>Instructions!G334</f>
        <v>36</v>
      </c>
      <c r="D327" t="str">
        <f>IF(ISBLANK(Instructions!H334),"",Instructions!H334)</f>
        <v>Entered</v>
      </c>
      <c r="E327" s="1">
        <f>IF(ISBLANK(Instructions!I334),"",Instructions!I334)</f>
        <v>45646</v>
      </c>
      <c r="F327" t="str">
        <f>IF(ISBLANK(Instructions!J334),"",Instructions!J334)</f>
        <v>Erica Williams</v>
      </c>
      <c r="G327" s="1" t="str">
        <f>IF(ISBLANK(Instructions!K334),"",Instructions!K334)</f>
        <v/>
      </c>
      <c r="H327" t="str">
        <f>IF(ISBLANK(Instructions!L334),"",Instructions!L334)</f>
        <v/>
      </c>
      <c r="I327" t="str">
        <f t="shared" si="13"/>
        <v>NULL</v>
      </c>
      <c r="J327" t="str">
        <f t="shared" si="13"/>
        <v>NULL</v>
      </c>
      <c r="K327" t="str">
        <f>Instructions!M334</f>
        <v>Added via SMSS</v>
      </c>
      <c r="L327" t="str">
        <f t="shared" si="12"/>
        <v>NULL</v>
      </c>
    </row>
    <row r="328" spans="1:12" x14ac:dyDescent="0.25">
      <c r="A328" t="str" cm="1">
        <f t="array" ref="A328">_xlfn.CONCAT(Instructions!C335,Instructions!A335,"_",TEXT(Instructions!B335,"YYYYMMDD"),"_1_",INDEX(Table1[], MATCH(1,(Table1[Estuary]=Instructions!C335)*(Table1[StationNumber]=Instructions!D335)*(Instructions!B335&gt;Table1[StartDate])*(Instructions!B335&lt;Table1[EndDate]),0),1),"_1_",Instructions!E335,"_",Instructions!F335)</f>
        <v>TBSRVY_20190924_1_0291_1_07_027</v>
      </c>
      <c r="B328" t="str" cm="1">
        <f t="array" ref="B328">_xlfn.CONCAT(Instructions!C335,Instructions!A335,"_",TEXT(Instructions!B335,"YYYYMMDD"),"_1_",INDEX(Table1[], MATCH(1,(Table1[Estuary]=Instructions!C335)*(Table1[StationNumber]=Instructions!D335)*(Instructions!B335&gt;Table1[StartDate])*(Instructions!B335&lt;Table1[EndDate]),0),1),"_1_",Instructions!E335)</f>
        <v>TBSRVY_20190924_1_0291_1_07</v>
      </c>
      <c r="C328">
        <f>Instructions!G335</f>
        <v>30</v>
      </c>
      <c r="D328" t="str">
        <f>IF(ISBLANK(Instructions!H335),"",Instructions!H335)</f>
        <v>Entered</v>
      </c>
      <c r="E328" s="1">
        <f>IF(ISBLANK(Instructions!I335),"",Instructions!I335)</f>
        <v>45646</v>
      </c>
      <c r="F328" t="str">
        <f>IF(ISBLANK(Instructions!J335),"",Instructions!J335)</f>
        <v>Erica Williams</v>
      </c>
      <c r="G328" s="1" t="str">
        <f>IF(ISBLANK(Instructions!K335),"",Instructions!K335)</f>
        <v/>
      </c>
      <c r="H328" t="str">
        <f>IF(ISBLANK(Instructions!L335),"",Instructions!L335)</f>
        <v/>
      </c>
      <c r="I328" t="str">
        <f t="shared" si="13"/>
        <v>NULL</v>
      </c>
      <c r="J328" t="str">
        <f t="shared" si="13"/>
        <v>NULL</v>
      </c>
      <c r="K328" t="str">
        <f>Instructions!M335</f>
        <v>Added via SMSS</v>
      </c>
      <c r="L328" t="str">
        <f t="shared" si="12"/>
        <v>NULL</v>
      </c>
    </row>
    <row r="329" spans="1:12" x14ac:dyDescent="0.25">
      <c r="A329" t="str" cm="1">
        <f t="array" ref="A329">_xlfn.CONCAT(Instructions!C336,Instructions!A336,"_",TEXT(Instructions!B336,"YYYYMMDD"),"_1_",INDEX(Table1[], MATCH(1,(Table1[Estuary]=Instructions!C336)*(Table1[StationNumber]=Instructions!D336)*(Instructions!B336&gt;Table1[StartDate])*(Instructions!B336&lt;Table1[EndDate]),0),1),"_1_",Instructions!E336,"_",Instructions!F336)</f>
        <v>TBSRVY_20190924_1_0291_1_07_028</v>
      </c>
      <c r="B329" t="str" cm="1">
        <f t="array" ref="B329">_xlfn.CONCAT(Instructions!C336,Instructions!A336,"_",TEXT(Instructions!B336,"YYYYMMDD"),"_1_",INDEX(Table1[], MATCH(1,(Table1[Estuary]=Instructions!C336)*(Table1[StationNumber]=Instructions!D336)*(Instructions!B336&gt;Table1[StartDate])*(Instructions!B336&lt;Table1[EndDate]),0),1),"_1_",Instructions!E336)</f>
        <v>TBSRVY_20190924_1_0291_1_07</v>
      </c>
      <c r="C329">
        <f>Instructions!G336</f>
        <v>38</v>
      </c>
      <c r="D329" t="str">
        <f>IF(ISBLANK(Instructions!H336),"",Instructions!H336)</f>
        <v>Entered</v>
      </c>
      <c r="E329" s="1">
        <f>IF(ISBLANK(Instructions!I336),"",Instructions!I336)</f>
        <v>45646</v>
      </c>
      <c r="F329" t="str">
        <f>IF(ISBLANK(Instructions!J336),"",Instructions!J336)</f>
        <v>Erica Williams</v>
      </c>
      <c r="G329" s="1" t="str">
        <f>IF(ISBLANK(Instructions!K336),"",Instructions!K336)</f>
        <v/>
      </c>
      <c r="H329" t="str">
        <f>IF(ISBLANK(Instructions!L336),"",Instructions!L336)</f>
        <v/>
      </c>
      <c r="I329" t="str">
        <f t="shared" si="13"/>
        <v>NULL</v>
      </c>
      <c r="J329" t="str">
        <f t="shared" si="13"/>
        <v>NULL</v>
      </c>
      <c r="K329" t="str">
        <f>Instructions!M336</f>
        <v>Added via SMSS</v>
      </c>
      <c r="L329" t="str">
        <f t="shared" si="12"/>
        <v>NULL</v>
      </c>
    </row>
    <row r="330" spans="1:12" x14ac:dyDescent="0.25">
      <c r="A330" t="str" cm="1">
        <f t="array" ref="A330">_xlfn.CONCAT(Instructions!C337,Instructions!A337,"_",TEXT(Instructions!B337,"YYYYMMDD"),"_1_",INDEX(Table1[], MATCH(1,(Table1[Estuary]=Instructions!C337)*(Table1[StationNumber]=Instructions!D337)*(Instructions!B337&gt;Table1[StartDate])*(Instructions!B337&lt;Table1[EndDate]),0),1),"_1_",Instructions!E337,"_",Instructions!F337)</f>
        <v>TBSRVY_20190924_1_0291_1_07_029</v>
      </c>
      <c r="B330" t="str" cm="1">
        <f t="array" ref="B330">_xlfn.CONCAT(Instructions!C337,Instructions!A337,"_",TEXT(Instructions!B337,"YYYYMMDD"),"_1_",INDEX(Table1[], MATCH(1,(Table1[Estuary]=Instructions!C337)*(Table1[StationNumber]=Instructions!D337)*(Instructions!B337&gt;Table1[StartDate])*(Instructions!B337&lt;Table1[EndDate]),0),1),"_1_",Instructions!E337)</f>
        <v>TBSRVY_20190924_1_0291_1_07</v>
      </c>
      <c r="C330">
        <f>Instructions!G337</f>
        <v>28</v>
      </c>
      <c r="D330" t="str">
        <f>IF(ISBLANK(Instructions!H337),"",Instructions!H337)</f>
        <v>Entered</v>
      </c>
      <c r="E330" s="1">
        <f>IF(ISBLANK(Instructions!I337),"",Instructions!I337)</f>
        <v>45646</v>
      </c>
      <c r="F330" t="str">
        <f>IF(ISBLANK(Instructions!J337),"",Instructions!J337)</f>
        <v>Erica Williams</v>
      </c>
      <c r="G330" s="1" t="str">
        <f>IF(ISBLANK(Instructions!K337),"",Instructions!K337)</f>
        <v/>
      </c>
      <c r="H330" t="str">
        <f>IF(ISBLANK(Instructions!L337),"",Instructions!L337)</f>
        <v/>
      </c>
      <c r="I330" t="str">
        <f t="shared" si="13"/>
        <v>NULL</v>
      </c>
      <c r="J330" t="str">
        <f t="shared" si="13"/>
        <v>NULL</v>
      </c>
      <c r="K330" t="str">
        <f>Instructions!M337</f>
        <v>Added via SMSS</v>
      </c>
      <c r="L330" t="str">
        <f t="shared" si="12"/>
        <v>NULL</v>
      </c>
    </row>
    <row r="331" spans="1:12" x14ac:dyDescent="0.25">
      <c r="A331" t="str" cm="1">
        <f t="array" ref="A331">_xlfn.CONCAT(Instructions!C338,Instructions!A338,"_",TEXT(Instructions!B338,"YYYYMMDD"),"_1_",INDEX(Table1[], MATCH(1,(Table1[Estuary]=Instructions!C338)*(Table1[StationNumber]=Instructions!D338)*(Instructions!B338&gt;Table1[StartDate])*(Instructions!B338&lt;Table1[EndDate]),0),1),"_1_",Instructions!E338,"_",Instructions!F338)</f>
        <v>TBSRVY_20190924_1_0291_1_07_030</v>
      </c>
      <c r="B331" t="str" cm="1">
        <f t="array" ref="B331">_xlfn.CONCAT(Instructions!C338,Instructions!A338,"_",TEXT(Instructions!B338,"YYYYMMDD"),"_1_",INDEX(Table1[], MATCH(1,(Table1[Estuary]=Instructions!C338)*(Table1[StationNumber]=Instructions!D338)*(Instructions!B338&gt;Table1[StartDate])*(Instructions!B338&lt;Table1[EndDate]),0),1),"_1_",Instructions!E338)</f>
        <v>TBSRVY_20190924_1_0291_1_07</v>
      </c>
      <c r="C331">
        <f>Instructions!G338</f>
        <v>74</v>
      </c>
      <c r="D331" t="str">
        <f>IF(ISBLANK(Instructions!H338),"",Instructions!H338)</f>
        <v>Entered</v>
      </c>
      <c r="E331" s="1">
        <f>IF(ISBLANK(Instructions!I338),"",Instructions!I338)</f>
        <v>45646</v>
      </c>
      <c r="F331" t="str">
        <f>IF(ISBLANK(Instructions!J338),"",Instructions!J338)</f>
        <v>Erica Williams</v>
      </c>
      <c r="G331" s="1" t="str">
        <f>IF(ISBLANK(Instructions!K338),"",Instructions!K338)</f>
        <v/>
      </c>
      <c r="H331" t="str">
        <f>IF(ISBLANK(Instructions!L338),"",Instructions!L338)</f>
        <v/>
      </c>
      <c r="I331" t="str">
        <f t="shared" si="13"/>
        <v>NULL</v>
      </c>
      <c r="J331" t="str">
        <f t="shared" si="13"/>
        <v>NULL</v>
      </c>
      <c r="K331" t="str">
        <f>Instructions!M338</f>
        <v>Added via SMSS</v>
      </c>
      <c r="L331" t="str">
        <f t="shared" si="12"/>
        <v>NULL</v>
      </c>
    </row>
    <row r="332" spans="1:12" x14ac:dyDescent="0.25">
      <c r="A332" t="str" cm="1">
        <f t="array" ref="A332">_xlfn.CONCAT(Instructions!C339,Instructions!A339,"_",TEXT(Instructions!B339,"YYYYMMDD"),"_1_",INDEX(Table1[], MATCH(1,(Table1[Estuary]=Instructions!C339)*(Table1[StationNumber]=Instructions!D339)*(Instructions!B339&gt;Table1[StartDate])*(Instructions!B339&lt;Table1[EndDate]),0),1),"_1_",Instructions!E339,"_",Instructions!F339)</f>
        <v>TBSRVY_20190924_1_0291_1_07_031</v>
      </c>
      <c r="B332" t="str" cm="1">
        <f t="array" ref="B332">_xlfn.CONCAT(Instructions!C339,Instructions!A339,"_",TEXT(Instructions!B339,"YYYYMMDD"),"_1_",INDEX(Table1[], MATCH(1,(Table1[Estuary]=Instructions!C339)*(Table1[StationNumber]=Instructions!D339)*(Instructions!B339&gt;Table1[StartDate])*(Instructions!B339&lt;Table1[EndDate]),0),1),"_1_",Instructions!E339)</f>
        <v>TBSRVY_20190924_1_0291_1_07</v>
      </c>
      <c r="C332">
        <f>Instructions!G339</f>
        <v>35</v>
      </c>
      <c r="D332" t="str">
        <f>IF(ISBLANK(Instructions!H339),"",Instructions!H339)</f>
        <v>Entered</v>
      </c>
      <c r="E332" s="1">
        <f>IF(ISBLANK(Instructions!I339),"",Instructions!I339)</f>
        <v>45646</v>
      </c>
      <c r="F332" t="str">
        <f>IF(ISBLANK(Instructions!J339),"",Instructions!J339)</f>
        <v>Erica Williams</v>
      </c>
      <c r="G332" s="1" t="str">
        <f>IF(ISBLANK(Instructions!K339),"",Instructions!K339)</f>
        <v/>
      </c>
      <c r="H332" t="str">
        <f>IF(ISBLANK(Instructions!L339),"",Instructions!L339)</f>
        <v/>
      </c>
      <c r="I332" t="str">
        <f t="shared" si="13"/>
        <v>NULL</v>
      </c>
      <c r="J332" t="str">
        <f t="shared" si="13"/>
        <v>NULL</v>
      </c>
      <c r="K332" t="str">
        <f>Instructions!M339</f>
        <v>Added via SMSS</v>
      </c>
      <c r="L332" t="str">
        <f t="shared" si="12"/>
        <v>NULL</v>
      </c>
    </row>
    <row r="333" spans="1:12" x14ac:dyDescent="0.25">
      <c r="A333" t="str" cm="1">
        <f t="array" ref="A333">_xlfn.CONCAT(Instructions!C340,Instructions!A340,"_",TEXT(Instructions!B340,"YYYYMMDD"),"_1_",INDEX(Table1[], MATCH(1,(Table1[Estuary]=Instructions!C340)*(Table1[StationNumber]=Instructions!D340)*(Instructions!B340&gt;Table1[StartDate])*(Instructions!B340&lt;Table1[EndDate]),0),1),"_1_",Instructions!E340,"_",Instructions!F340)</f>
        <v>TBSRVY_20190924_1_0291_1_07_032</v>
      </c>
      <c r="B333" t="str" cm="1">
        <f t="array" ref="B333">_xlfn.CONCAT(Instructions!C340,Instructions!A340,"_",TEXT(Instructions!B340,"YYYYMMDD"),"_1_",INDEX(Table1[], MATCH(1,(Table1[Estuary]=Instructions!C340)*(Table1[StationNumber]=Instructions!D340)*(Instructions!B340&gt;Table1[StartDate])*(Instructions!B340&lt;Table1[EndDate]),0),1),"_1_",Instructions!E340)</f>
        <v>TBSRVY_20190924_1_0291_1_07</v>
      </c>
      <c r="C333">
        <f>Instructions!G340</f>
        <v>11</v>
      </c>
      <c r="D333" t="str">
        <f>IF(ISBLANK(Instructions!H340),"",Instructions!H340)</f>
        <v>Entered</v>
      </c>
      <c r="E333" s="1">
        <f>IF(ISBLANK(Instructions!I340),"",Instructions!I340)</f>
        <v>45646</v>
      </c>
      <c r="F333" t="str">
        <f>IF(ISBLANK(Instructions!J340),"",Instructions!J340)</f>
        <v>Erica Williams</v>
      </c>
      <c r="G333" s="1" t="str">
        <f>IF(ISBLANK(Instructions!K340),"",Instructions!K340)</f>
        <v/>
      </c>
      <c r="H333" t="str">
        <f>IF(ISBLANK(Instructions!L340),"",Instructions!L340)</f>
        <v/>
      </c>
      <c r="I333" t="str">
        <f t="shared" si="13"/>
        <v>NULL</v>
      </c>
      <c r="J333" t="str">
        <f t="shared" si="13"/>
        <v>NULL</v>
      </c>
      <c r="K333" t="str">
        <f>Instructions!M340</f>
        <v>Added via SMSS</v>
      </c>
      <c r="L333" t="str">
        <f t="shared" si="12"/>
        <v>NULL</v>
      </c>
    </row>
    <row r="334" spans="1:12" x14ac:dyDescent="0.25">
      <c r="A334" t="str" cm="1">
        <f t="array" ref="A334">_xlfn.CONCAT(Instructions!C341,Instructions!A341,"_",TEXT(Instructions!B341,"YYYYMMDD"),"_1_",INDEX(Table1[], MATCH(1,(Table1[Estuary]=Instructions!C341)*(Table1[StationNumber]=Instructions!D341)*(Instructions!B341&gt;Table1[StartDate])*(Instructions!B341&lt;Table1[EndDate]),0),1),"_1_",Instructions!E341,"_",Instructions!F341)</f>
        <v>TBSRVY_20190924_1_0291_1_07_033</v>
      </c>
      <c r="B334" t="str" cm="1">
        <f t="array" ref="B334">_xlfn.CONCAT(Instructions!C341,Instructions!A341,"_",TEXT(Instructions!B341,"YYYYMMDD"),"_1_",INDEX(Table1[], MATCH(1,(Table1[Estuary]=Instructions!C341)*(Table1[StationNumber]=Instructions!D341)*(Instructions!B341&gt;Table1[StartDate])*(Instructions!B341&lt;Table1[EndDate]),0),1),"_1_",Instructions!E341)</f>
        <v>TBSRVY_20190924_1_0291_1_07</v>
      </c>
      <c r="C334">
        <f>Instructions!G341</f>
        <v>23</v>
      </c>
      <c r="D334" t="str">
        <f>IF(ISBLANK(Instructions!H341),"",Instructions!H341)</f>
        <v>Entered</v>
      </c>
      <c r="E334" s="1">
        <f>IF(ISBLANK(Instructions!I341),"",Instructions!I341)</f>
        <v>45646</v>
      </c>
      <c r="F334" t="str">
        <f>IF(ISBLANK(Instructions!J341),"",Instructions!J341)</f>
        <v>Erica Williams</v>
      </c>
      <c r="G334" s="1" t="str">
        <f>IF(ISBLANK(Instructions!K341),"",Instructions!K341)</f>
        <v/>
      </c>
      <c r="H334" t="str">
        <f>IF(ISBLANK(Instructions!L341),"",Instructions!L341)</f>
        <v/>
      </c>
      <c r="I334" t="str">
        <f t="shared" si="13"/>
        <v>NULL</v>
      </c>
      <c r="J334" t="str">
        <f t="shared" si="13"/>
        <v>NULL</v>
      </c>
      <c r="K334" t="str">
        <f>Instructions!M341</f>
        <v>Added via SMSS</v>
      </c>
      <c r="L334" t="str">
        <f t="shared" si="12"/>
        <v>NULL</v>
      </c>
    </row>
    <row r="335" spans="1:12" x14ac:dyDescent="0.25">
      <c r="A335" t="str" cm="1">
        <f t="array" ref="A335">_xlfn.CONCAT(Instructions!C342,Instructions!A342,"_",TEXT(Instructions!B342,"YYYYMMDD"),"_1_",INDEX(Table1[], MATCH(1,(Table1[Estuary]=Instructions!C342)*(Table1[StationNumber]=Instructions!D342)*(Instructions!B342&gt;Table1[StartDate])*(Instructions!B342&lt;Table1[EndDate]),0),1),"_1_",Instructions!E342,"_",Instructions!F342)</f>
        <v>TBSRVY_20190924_1_0291_1_07_034</v>
      </c>
      <c r="B335" t="str" cm="1">
        <f t="array" ref="B335">_xlfn.CONCAT(Instructions!C342,Instructions!A342,"_",TEXT(Instructions!B342,"YYYYMMDD"),"_1_",INDEX(Table1[], MATCH(1,(Table1[Estuary]=Instructions!C342)*(Table1[StationNumber]=Instructions!D342)*(Instructions!B342&gt;Table1[StartDate])*(Instructions!B342&lt;Table1[EndDate]),0),1),"_1_",Instructions!E342)</f>
        <v>TBSRVY_20190924_1_0291_1_07</v>
      </c>
      <c r="C335">
        <f>Instructions!G342</f>
        <v>37</v>
      </c>
      <c r="D335" t="str">
        <f>IF(ISBLANK(Instructions!H342),"",Instructions!H342)</f>
        <v>Entered</v>
      </c>
      <c r="E335" s="1">
        <f>IF(ISBLANK(Instructions!I342),"",Instructions!I342)</f>
        <v>45646</v>
      </c>
      <c r="F335" t="str">
        <f>IF(ISBLANK(Instructions!J342),"",Instructions!J342)</f>
        <v>Erica Williams</v>
      </c>
      <c r="G335" s="1" t="str">
        <f>IF(ISBLANK(Instructions!K342),"",Instructions!K342)</f>
        <v/>
      </c>
      <c r="H335" t="str">
        <f>IF(ISBLANK(Instructions!L342),"",Instructions!L342)</f>
        <v/>
      </c>
      <c r="I335" t="str">
        <f t="shared" si="13"/>
        <v>NULL</v>
      </c>
      <c r="J335" t="str">
        <f t="shared" si="13"/>
        <v>NULL</v>
      </c>
      <c r="K335" t="str">
        <f>Instructions!M342</f>
        <v>Added via SMSS</v>
      </c>
      <c r="L335" t="str">
        <f t="shared" si="12"/>
        <v>NULL</v>
      </c>
    </row>
    <row r="336" spans="1:12" x14ac:dyDescent="0.25">
      <c r="A336" t="str" cm="1">
        <f t="array" ref="A336">_xlfn.CONCAT(Instructions!C343,Instructions!A343,"_",TEXT(Instructions!B343,"YYYYMMDD"),"_1_",INDEX(Table1[], MATCH(1,(Table1[Estuary]=Instructions!C343)*(Table1[StationNumber]=Instructions!D343)*(Instructions!B343&gt;Table1[StartDate])*(Instructions!B343&lt;Table1[EndDate]),0),1),"_1_",Instructions!E343,"_",Instructions!F343)</f>
        <v>TBSRVY_20190924_1_0291_1_07_035</v>
      </c>
      <c r="B336" t="str" cm="1">
        <f t="array" ref="B336">_xlfn.CONCAT(Instructions!C343,Instructions!A343,"_",TEXT(Instructions!B343,"YYYYMMDD"),"_1_",INDEX(Table1[], MATCH(1,(Table1[Estuary]=Instructions!C343)*(Table1[StationNumber]=Instructions!D343)*(Instructions!B343&gt;Table1[StartDate])*(Instructions!B343&lt;Table1[EndDate]),0),1),"_1_",Instructions!E343)</f>
        <v>TBSRVY_20190924_1_0291_1_07</v>
      </c>
      <c r="C336">
        <f>Instructions!G343</f>
        <v>22</v>
      </c>
      <c r="D336" t="str">
        <f>IF(ISBLANK(Instructions!H343),"",Instructions!H343)</f>
        <v>Entered</v>
      </c>
      <c r="E336" s="1">
        <f>IF(ISBLANK(Instructions!I343),"",Instructions!I343)</f>
        <v>45646</v>
      </c>
      <c r="F336" t="str">
        <f>IF(ISBLANK(Instructions!J343),"",Instructions!J343)</f>
        <v>Erica Williams</v>
      </c>
      <c r="G336" s="1" t="str">
        <f>IF(ISBLANK(Instructions!K343),"",Instructions!K343)</f>
        <v/>
      </c>
      <c r="H336" t="str">
        <f>IF(ISBLANK(Instructions!L343),"",Instructions!L343)</f>
        <v/>
      </c>
      <c r="I336" t="str">
        <f t="shared" si="13"/>
        <v>NULL</v>
      </c>
      <c r="J336" t="str">
        <f t="shared" si="13"/>
        <v>NULL</v>
      </c>
      <c r="K336" t="str">
        <f>Instructions!M343</f>
        <v>Added via SMSS</v>
      </c>
      <c r="L336" t="str">
        <f t="shared" si="12"/>
        <v>NULL</v>
      </c>
    </row>
    <row r="337" spans="1:12" x14ac:dyDescent="0.25">
      <c r="A337" t="str" cm="1">
        <f t="array" ref="A337">_xlfn.CONCAT(Instructions!C344,Instructions!A344,"_",TEXT(Instructions!B344,"YYYYMMDD"),"_1_",INDEX(Table1[], MATCH(1,(Table1[Estuary]=Instructions!C344)*(Table1[StationNumber]=Instructions!D344)*(Instructions!B344&gt;Table1[StartDate])*(Instructions!B344&lt;Table1[EndDate]),0),1),"_1_",Instructions!E344,"_",Instructions!F344)</f>
        <v>TBSRVY_20190924_1_0291_1_07_036</v>
      </c>
      <c r="B337" t="str" cm="1">
        <f t="array" ref="B337">_xlfn.CONCAT(Instructions!C344,Instructions!A344,"_",TEXT(Instructions!B344,"YYYYMMDD"),"_1_",INDEX(Table1[], MATCH(1,(Table1[Estuary]=Instructions!C344)*(Table1[StationNumber]=Instructions!D344)*(Instructions!B344&gt;Table1[StartDate])*(Instructions!B344&lt;Table1[EndDate]),0),1),"_1_",Instructions!E344)</f>
        <v>TBSRVY_20190924_1_0291_1_07</v>
      </c>
      <c r="C337">
        <f>Instructions!G344</f>
        <v>24</v>
      </c>
      <c r="D337" t="str">
        <f>IF(ISBLANK(Instructions!H344),"",Instructions!H344)</f>
        <v>Entered</v>
      </c>
      <c r="E337" s="1">
        <f>IF(ISBLANK(Instructions!I344),"",Instructions!I344)</f>
        <v>45646</v>
      </c>
      <c r="F337" t="str">
        <f>IF(ISBLANK(Instructions!J344),"",Instructions!J344)</f>
        <v>Erica Williams</v>
      </c>
      <c r="G337" s="1" t="str">
        <f>IF(ISBLANK(Instructions!K344),"",Instructions!K344)</f>
        <v/>
      </c>
      <c r="H337" t="str">
        <f>IF(ISBLANK(Instructions!L344),"",Instructions!L344)</f>
        <v/>
      </c>
      <c r="I337" t="str">
        <f t="shared" si="13"/>
        <v>NULL</v>
      </c>
      <c r="J337" t="str">
        <f t="shared" si="13"/>
        <v>NULL</v>
      </c>
      <c r="K337" t="str">
        <f>Instructions!M344</f>
        <v>Added via SMSS</v>
      </c>
      <c r="L337" t="str">
        <f t="shared" si="12"/>
        <v>NULL</v>
      </c>
    </row>
    <row r="338" spans="1:12" x14ac:dyDescent="0.25">
      <c r="A338" t="str" cm="1">
        <f t="array" ref="A338">_xlfn.CONCAT(Instructions!C345,Instructions!A345,"_",TEXT(Instructions!B345,"YYYYMMDD"),"_1_",INDEX(Table1[], MATCH(1,(Table1[Estuary]=Instructions!C345)*(Table1[StationNumber]=Instructions!D345)*(Instructions!B345&gt;Table1[StartDate])*(Instructions!B345&lt;Table1[EndDate]),0),1),"_1_",Instructions!E345,"_",Instructions!F345)</f>
        <v>TBSRVY_20190924_1_0291_1_07_037</v>
      </c>
      <c r="B338" t="str" cm="1">
        <f t="array" ref="B338">_xlfn.CONCAT(Instructions!C345,Instructions!A345,"_",TEXT(Instructions!B345,"YYYYMMDD"),"_1_",INDEX(Table1[], MATCH(1,(Table1[Estuary]=Instructions!C345)*(Table1[StationNumber]=Instructions!D345)*(Instructions!B345&gt;Table1[StartDate])*(Instructions!B345&lt;Table1[EndDate]),0),1),"_1_",Instructions!E345)</f>
        <v>TBSRVY_20190924_1_0291_1_07</v>
      </c>
      <c r="C338">
        <f>Instructions!G345</f>
        <v>12</v>
      </c>
      <c r="D338" t="str">
        <f>IF(ISBLANK(Instructions!H345),"",Instructions!H345)</f>
        <v>Entered</v>
      </c>
      <c r="E338" s="1">
        <f>IF(ISBLANK(Instructions!I345),"",Instructions!I345)</f>
        <v>45646</v>
      </c>
      <c r="F338" t="str">
        <f>IF(ISBLANK(Instructions!J345),"",Instructions!J345)</f>
        <v>Erica Williams</v>
      </c>
      <c r="G338" s="1" t="str">
        <f>IF(ISBLANK(Instructions!K345),"",Instructions!K345)</f>
        <v/>
      </c>
      <c r="H338" t="str">
        <f>IF(ISBLANK(Instructions!L345),"",Instructions!L345)</f>
        <v/>
      </c>
      <c r="I338" t="str">
        <f t="shared" si="13"/>
        <v>NULL</v>
      </c>
      <c r="J338" t="str">
        <f t="shared" si="13"/>
        <v>NULL</v>
      </c>
      <c r="K338" t="str">
        <f>Instructions!M345</f>
        <v>Added via SMSS</v>
      </c>
      <c r="L338" t="str">
        <f t="shared" si="12"/>
        <v>NULL</v>
      </c>
    </row>
    <row r="339" spans="1:12" x14ac:dyDescent="0.25">
      <c r="A339" t="str" cm="1">
        <f t="array" ref="A339">_xlfn.CONCAT(Instructions!C346,Instructions!A346,"_",TEXT(Instructions!B346,"YYYYMMDD"),"_1_",INDEX(Table1[], MATCH(1,(Table1[Estuary]=Instructions!C346)*(Table1[StationNumber]=Instructions!D346)*(Instructions!B346&gt;Table1[StartDate])*(Instructions!B346&lt;Table1[EndDate]),0),1),"_1_",Instructions!E346,"_",Instructions!F346)</f>
        <v>TBSRVY_20190924_1_0291_1_07_038</v>
      </c>
      <c r="B339" t="str" cm="1">
        <f t="array" ref="B339">_xlfn.CONCAT(Instructions!C346,Instructions!A346,"_",TEXT(Instructions!B346,"YYYYMMDD"),"_1_",INDEX(Table1[], MATCH(1,(Table1[Estuary]=Instructions!C346)*(Table1[StationNumber]=Instructions!D346)*(Instructions!B346&gt;Table1[StartDate])*(Instructions!B346&lt;Table1[EndDate]),0),1),"_1_",Instructions!E346)</f>
        <v>TBSRVY_20190924_1_0291_1_07</v>
      </c>
      <c r="C339">
        <f>Instructions!G346</f>
        <v>20</v>
      </c>
      <c r="D339" t="str">
        <f>IF(ISBLANK(Instructions!H346),"",Instructions!H346)</f>
        <v>Entered</v>
      </c>
      <c r="E339" s="1">
        <f>IF(ISBLANK(Instructions!I346),"",Instructions!I346)</f>
        <v>45646</v>
      </c>
      <c r="F339" t="str">
        <f>IF(ISBLANK(Instructions!J346),"",Instructions!J346)</f>
        <v>Erica Williams</v>
      </c>
      <c r="G339" s="1" t="str">
        <f>IF(ISBLANK(Instructions!K346),"",Instructions!K346)</f>
        <v/>
      </c>
      <c r="H339" t="str">
        <f>IF(ISBLANK(Instructions!L346),"",Instructions!L346)</f>
        <v/>
      </c>
      <c r="I339" t="str">
        <f t="shared" si="13"/>
        <v>NULL</v>
      </c>
      <c r="J339" t="str">
        <f t="shared" si="13"/>
        <v>NULL</v>
      </c>
      <c r="K339" t="str">
        <f>Instructions!M346</f>
        <v>Added via SMSS</v>
      </c>
      <c r="L339" t="str">
        <f t="shared" si="12"/>
        <v>NULL</v>
      </c>
    </row>
    <row r="340" spans="1:12" x14ac:dyDescent="0.25">
      <c r="A340" t="str" cm="1">
        <f t="array" ref="A340">_xlfn.CONCAT(Instructions!C347,Instructions!A347,"_",TEXT(Instructions!B347,"YYYYMMDD"),"_1_",INDEX(Table1[], MATCH(1,(Table1[Estuary]=Instructions!C347)*(Table1[StationNumber]=Instructions!D347)*(Instructions!B347&gt;Table1[StartDate])*(Instructions!B347&lt;Table1[EndDate]),0),1),"_1_",Instructions!E347,"_",Instructions!F347)</f>
        <v>TBSRVY_20190924_1_0291_1_07_039</v>
      </c>
      <c r="B340" t="str" cm="1">
        <f t="array" ref="B340">_xlfn.CONCAT(Instructions!C347,Instructions!A347,"_",TEXT(Instructions!B347,"YYYYMMDD"),"_1_",INDEX(Table1[], MATCH(1,(Table1[Estuary]=Instructions!C347)*(Table1[StationNumber]=Instructions!D347)*(Instructions!B347&gt;Table1[StartDate])*(Instructions!B347&lt;Table1[EndDate]),0),1),"_1_",Instructions!E347)</f>
        <v>TBSRVY_20190924_1_0291_1_07</v>
      </c>
      <c r="C340">
        <f>Instructions!G347</f>
        <v>9</v>
      </c>
      <c r="D340" t="str">
        <f>IF(ISBLANK(Instructions!H347),"",Instructions!H347)</f>
        <v>Entered</v>
      </c>
      <c r="E340" s="1">
        <f>IF(ISBLANK(Instructions!I347),"",Instructions!I347)</f>
        <v>45646</v>
      </c>
      <c r="F340" t="str">
        <f>IF(ISBLANK(Instructions!J347),"",Instructions!J347)</f>
        <v>Erica Williams</v>
      </c>
      <c r="G340" s="1" t="str">
        <f>IF(ISBLANK(Instructions!K347),"",Instructions!K347)</f>
        <v/>
      </c>
      <c r="H340" t="str">
        <f>IF(ISBLANK(Instructions!L347),"",Instructions!L347)</f>
        <v/>
      </c>
      <c r="I340" t="str">
        <f t="shared" si="13"/>
        <v>NULL</v>
      </c>
      <c r="J340" t="str">
        <f t="shared" si="13"/>
        <v>NULL</v>
      </c>
      <c r="K340" t="str">
        <f>Instructions!M347</f>
        <v>Added via SMSS</v>
      </c>
      <c r="L340" t="str">
        <f t="shared" si="12"/>
        <v>NULL</v>
      </c>
    </row>
    <row r="341" spans="1:12" x14ac:dyDescent="0.25">
      <c r="A341" t="str" cm="1">
        <f t="array" ref="A341">_xlfn.CONCAT(Instructions!C348,Instructions!A348,"_",TEXT(Instructions!B348,"YYYYMMDD"),"_1_",INDEX(Table1[], MATCH(1,(Table1[Estuary]=Instructions!C348)*(Table1[StationNumber]=Instructions!D348)*(Instructions!B348&gt;Table1[StartDate])*(Instructions!B348&lt;Table1[EndDate]),0),1),"_1_",Instructions!E348,"_",Instructions!F348)</f>
        <v>TBSRVY_20190924_1_0291_1_07_040</v>
      </c>
      <c r="B341" t="str" cm="1">
        <f t="array" ref="B341">_xlfn.CONCAT(Instructions!C348,Instructions!A348,"_",TEXT(Instructions!B348,"YYYYMMDD"),"_1_",INDEX(Table1[], MATCH(1,(Table1[Estuary]=Instructions!C348)*(Table1[StationNumber]=Instructions!D348)*(Instructions!B348&gt;Table1[StartDate])*(Instructions!B348&lt;Table1[EndDate]),0),1),"_1_",Instructions!E348)</f>
        <v>TBSRVY_20190924_1_0291_1_07</v>
      </c>
      <c r="C341">
        <f>Instructions!G348</f>
        <v>29</v>
      </c>
      <c r="D341" t="str">
        <f>IF(ISBLANK(Instructions!H348),"",Instructions!H348)</f>
        <v>Entered</v>
      </c>
      <c r="E341" s="1">
        <f>IF(ISBLANK(Instructions!I348),"",Instructions!I348)</f>
        <v>45646</v>
      </c>
      <c r="F341" t="str">
        <f>IF(ISBLANK(Instructions!J348),"",Instructions!J348)</f>
        <v>Erica Williams</v>
      </c>
      <c r="G341" s="1" t="str">
        <f>IF(ISBLANK(Instructions!K348),"",Instructions!K348)</f>
        <v/>
      </c>
      <c r="H341" t="str">
        <f>IF(ISBLANK(Instructions!L348),"",Instructions!L348)</f>
        <v/>
      </c>
      <c r="I341" t="str">
        <f t="shared" si="13"/>
        <v>NULL</v>
      </c>
      <c r="J341" t="str">
        <f t="shared" si="13"/>
        <v>NULL</v>
      </c>
      <c r="K341" t="str">
        <f>Instructions!M348</f>
        <v>Added via SMSS</v>
      </c>
      <c r="L341" t="str">
        <f t="shared" si="12"/>
        <v>NULL</v>
      </c>
    </row>
    <row r="342" spans="1:12" x14ac:dyDescent="0.25">
      <c r="A342" t="str" cm="1">
        <f t="array" ref="A342">_xlfn.CONCAT(Instructions!C349,Instructions!A349,"_",TEXT(Instructions!B349,"YYYYMMDD"),"_1_",INDEX(Table1[], MATCH(1,(Table1[Estuary]=Instructions!C349)*(Table1[StationNumber]=Instructions!D349)*(Instructions!B349&gt;Table1[StartDate])*(Instructions!B349&lt;Table1[EndDate]),0),1),"_1_",Instructions!E349,"_",Instructions!F349)</f>
        <v>TBSRVY_20190924_1_0291_1_07_041</v>
      </c>
      <c r="B342" t="str" cm="1">
        <f t="array" ref="B342">_xlfn.CONCAT(Instructions!C349,Instructions!A349,"_",TEXT(Instructions!B349,"YYYYMMDD"),"_1_",INDEX(Table1[], MATCH(1,(Table1[Estuary]=Instructions!C349)*(Table1[StationNumber]=Instructions!D349)*(Instructions!B349&gt;Table1[StartDate])*(Instructions!B349&lt;Table1[EndDate]),0),1),"_1_",Instructions!E349)</f>
        <v>TBSRVY_20190924_1_0291_1_07</v>
      </c>
      <c r="C342">
        <f>Instructions!G349</f>
        <v>38</v>
      </c>
      <c r="D342" t="str">
        <f>IF(ISBLANK(Instructions!H349),"",Instructions!H349)</f>
        <v>Entered</v>
      </c>
      <c r="E342" s="1">
        <f>IF(ISBLANK(Instructions!I349),"",Instructions!I349)</f>
        <v>45646</v>
      </c>
      <c r="F342" t="str">
        <f>IF(ISBLANK(Instructions!J349),"",Instructions!J349)</f>
        <v>Erica Williams</v>
      </c>
      <c r="G342" s="1" t="str">
        <f>IF(ISBLANK(Instructions!K349),"",Instructions!K349)</f>
        <v/>
      </c>
      <c r="H342" t="str">
        <f>IF(ISBLANK(Instructions!L349),"",Instructions!L349)</f>
        <v/>
      </c>
      <c r="I342" t="str">
        <f t="shared" si="13"/>
        <v>NULL</v>
      </c>
      <c r="J342" t="str">
        <f t="shared" si="13"/>
        <v>NULL</v>
      </c>
      <c r="K342" t="str">
        <f>Instructions!M349</f>
        <v>Added via SMSS</v>
      </c>
      <c r="L342" t="str">
        <f t="shared" si="12"/>
        <v>NULL</v>
      </c>
    </row>
    <row r="343" spans="1:12" x14ac:dyDescent="0.25">
      <c r="A343" t="str" cm="1">
        <f t="array" ref="A343">_xlfn.CONCAT(Instructions!C350,Instructions!A350,"_",TEXT(Instructions!B350,"YYYYMMDD"),"_1_",INDEX(Table1[], MATCH(1,(Table1[Estuary]=Instructions!C350)*(Table1[StationNumber]=Instructions!D350)*(Instructions!B350&gt;Table1[StartDate])*(Instructions!B350&lt;Table1[EndDate]),0),1),"_1_",Instructions!E350,"_",Instructions!F350)</f>
        <v>TBSRVY_20190924_1_0291_1_07_042</v>
      </c>
      <c r="B343" t="str" cm="1">
        <f t="array" ref="B343">_xlfn.CONCAT(Instructions!C350,Instructions!A350,"_",TEXT(Instructions!B350,"YYYYMMDD"),"_1_",INDEX(Table1[], MATCH(1,(Table1[Estuary]=Instructions!C350)*(Table1[StationNumber]=Instructions!D350)*(Instructions!B350&gt;Table1[StartDate])*(Instructions!B350&lt;Table1[EndDate]),0),1),"_1_",Instructions!E350)</f>
        <v>TBSRVY_20190924_1_0291_1_07</v>
      </c>
      <c r="C343">
        <f>Instructions!G350</f>
        <v>21</v>
      </c>
      <c r="D343" t="str">
        <f>IF(ISBLANK(Instructions!H350),"",Instructions!H350)</f>
        <v>Entered</v>
      </c>
      <c r="E343" s="1">
        <f>IF(ISBLANK(Instructions!I350),"",Instructions!I350)</f>
        <v>45646</v>
      </c>
      <c r="F343" t="str">
        <f>IF(ISBLANK(Instructions!J350),"",Instructions!J350)</f>
        <v>Erica Williams</v>
      </c>
      <c r="G343" s="1" t="str">
        <f>IF(ISBLANK(Instructions!K350),"",Instructions!K350)</f>
        <v/>
      </c>
      <c r="H343" t="str">
        <f>IF(ISBLANK(Instructions!L350),"",Instructions!L350)</f>
        <v/>
      </c>
      <c r="I343" t="str">
        <f t="shared" si="13"/>
        <v>NULL</v>
      </c>
      <c r="J343" t="str">
        <f t="shared" si="13"/>
        <v>NULL</v>
      </c>
      <c r="K343" t="str">
        <f>Instructions!M350</f>
        <v>Added via SMSS</v>
      </c>
      <c r="L343" t="str">
        <f t="shared" si="12"/>
        <v>NULL</v>
      </c>
    </row>
    <row r="344" spans="1:12" x14ac:dyDescent="0.25">
      <c r="A344" t="str" cm="1">
        <f t="array" ref="A344">_xlfn.CONCAT(Instructions!C351,Instructions!A351,"_",TEXT(Instructions!B351,"YYYYMMDD"),"_1_",INDEX(Table1[], MATCH(1,(Table1[Estuary]=Instructions!C351)*(Table1[StationNumber]=Instructions!D351)*(Instructions!B351&gt;Table1[StartDate])*(Instructions!B351&lt;Table1[EndDate]),0),1),"_1_",Instructions!E351,"_",Instructions!F351)</f>
        <v>TBSRVY_20190924_1_0291_1_07_043</v>
      </c>
      <c r="B344" t="str" cm="1">
        <f t="array" ref="B344">_xlfn.CONCAT(Instructions!C351,Instructions!A351,"_",TEXT(Instructions!B351,"YYYYMMDD"),"_1_",INDEX(Table1[], MATCH(1,(Table1[Estuary]=Instructions!C351)*(Table1[StationNumber]=Instructions!D351)*(Instructions!B351&gt;Table1[StartDate])*(Instructions!B351&lt;Table1[EndDate]),0),1),"_1_",Instructions!E351)</f>
        <v>TBSRVY_20190924_1_0291_1_07</v>
      </c>
      <c r="C344">
        <f>Instructions!G351</f>
        <v>20</v>
      </c>
      <c r="D344" t="str">
        <f>IF(ISBLANK(Instructions!H351),"",Instructions!H351)</f>
        <v>Entered</v>
      </c>
      <c r="E344" s="1">
        <f>IF(ISBLANK(Instructions!I351),"",Instructions!I351)</f>
        <v>45646</v>
      </c>
      <c r="F344" t="str">
        <f>IF(ISBLANK(Instructions!J351),"",Instructions!J351)</f>
        <v>Erica Williams</v>
      </c>
      <c r="G344" s="1" t="str">
        <f>IF(ISBLANK(Instructions!K351),"",Instructions!K351)</f>
        <v/>
      </c>
      <c r="H344" t="str">
        <f>IF(ISBLANK(Instructions!L351),"",Instructions!L351)</f>
        <v/>
      </c>
      <c r="I344" t="str">
        <f t="shared" si="13"/>
        <v>NULL</v>
      </c>
      <c r="J344" t="str">
        <f t="shared" si="13"/>
        <v>NULL</v>
      </c>
      <c r="K344" t="str">
        <f>Instructions!M351</f>
        <v>Added via SMSS</v>
      </c>
      <c r="L344" t="str">
        <f t="shared" si="12"/>
        <v>NULL</v>
      </c>
    </row>
    <row r="345" spans="1:12" x14ac:dyDescent="0.25">
      <c r="A345" t="str" cm="1">
        <f t="array" ref="A345">_xlfn.CONCAT(Instructions!C352,Instructions!A352,"_",TEXT(Instructions!B352,"YYYYMMDD"),"_1_",INDEX(Table1[], MATCH(1,(Table1[Estuary]=Instructions!C352)*(Table1[StationNumber]=Instructions!D352)*(Instructions!B352&gt;Table1[StartDate])*(Instructions!B352&lt;Table1[EndDate]),0),1),"_1_",Instructions!E352,"_",Instructions!F352)</f>
        <v>TBSRVY_20190924_1_0291_1_07_044</v>
      </c>
      <c r="B345" t="str" cm="1">
        <f t="array" ref="B345">_xlfn.CONCAT(Instructions!C352,Instructions!A352,"_",TEXT(Instructions!B352,"YYYYMMDD"),"_1_",INDEX(Table1[], MATCH(1,(Table1[Estuary]=Instructions!C352)*(Table1[StationNumber]=Instructions!D352)*(Instructions!B352&gt;Table1[StartDate])*(Instructions!B352&lt;Table1[EndDate]),0),1),"_1_",Instructions!E352)</f>
        <v>TBSRVY_20190924_1_0291_1_07</v>
      </c>
      <c r="C345">
        <f>Instructions!G352</f>
        <v>27</v>
      </c>
      <c r="D345" t="str">
        <f>IF(ISBLANK(Instructions!H352),"",Instructions!H352)</f>
        <v>Entered</v>
      </c>
      <c r="E345" s="1">
        <f>IF(ISBLANK(Instructions!I352),"",Instructions!I352)</f>
        <v>45646</v>
      </c>
      <c r="F345" t="str">
        <f>IF(ISBLANK(Instructions!J352),"",Instructions!J352)</f>
        <v>Erica Williams</v>
      </c>
      <c r="G345" s="1" t="str">
        <f>IF(ISBLANK(Instructions!K352),"",Instructions!K352)</f>
        <v/>
      </c>
      <c r="H345" t="str">
        <f>IF(ISBLANK(Instructions!L352),"",Instructions!L352)</f>
        <v/>
      </c>
      <c r="I345" t="str">
        <f t="shared" si="13"/>
        <v>NULL</v>
      </c>
      <c r="J345" t="str">
        <f t="shared" si="13"/>
        <v>NULL</v>
      </c>
      <c r="K345" t="str">
        <f>Instructions!M352</f>
        <v>Added via SMSS</v>
      </c>
      <c r="L345" t="str">
        <f t="shared" si="12"/>
        <v>NULL</v>
      </c>
    </row>
    <row r="346" spans="1:12" x14ac:dyDescent="0.25">
      <c r="A346" t="str" cm="1">
        <f t="array" ref="A346">_xlfn.CONCAT(Instructions!C353,Instructions!A353,"_",TEXT(Instructions!B353,"YYYYMMDD"),"_1_",INDEX(Table1[], MATCH(1,(Table1[Estuary]=Instructions!C353)*(Table1[StationNumber]=Instructions!D353)*(Instructions!B353&gt;Table1[StartDate])*(Instructions!B353&lt;Table1[EndDate]),0),1),"_1_",Instructions!E353,"_",Instructions!F353)</f>
        <v>TBSRVY_20190924_1_0291_1_07_045</v>
      </c>
      <c r="B346" t="str" cm="1">
        <f t="array" ref="B346">_xlfn.CONCAT(Instructions!C353,Instructions!A353,"_",TEXT(Instructions!B353,"YYYYMMDD"),"_1_",INDEX(Table1[], MATCH(1,(Table1[Estuary]=Instructions!C353)*(Table1[StationNumber]=Instructions!D353)*(Instructions!B353&gt;Table1[StartDate])*(Instructions!B353&lt;Table1[EndDate]),0),1),"_1_",Instructions!E353)</f>
        <v>TBSRVY_20190924_1_0291_1_07</v>
      </c>
      <c r="C346">
        <f>Instructions!G353</f>
        <v>27</v>
      </c>
      <c r="D346" t="str">
        <f>IF(ISBLANK(Instructions!H353),"",Instructions!H353)</f>
        <v>Entered</v>
      </c>
      <c r="E346" s="1">
        <f>IF(ISBLANK(Instructions!I353),"",Instructions!I353)</f>
        <v>45646</v>
      </c>
      <c r="F346" t="str">
        <f>IF(ISBLANK(Instructions!J353),"",Instructions!J353)</f>
        <v>Erica Williams</v>
      </c>
      <c r="G346" s="1" t="str">
        <f>IF(ISBLANK(Instructions!K353),"",Instructions!K353)</f>
        <v/>
      </c>
      <c r="H346" t="str">
        <f>IF(ISBLANK(Instructions!L353),"",Instructions!L353)</f>
        <v/>
      </c>
      <c r="I346" t="str">
        <f t="shared" si="13"/>
        <v>NULL</v>
      </c>
      <c r="J346" t="str">
        <f t="shared" si="13"/>
        <v>NULL</v>
      </c>
      <c r="K346" t="str">
        <f>Instructions!M353</f>
        <v>Added via SMSS</v>
      </c>
      <c r="L346" t="str">
        <f t="shared" si="12"/>
        <v>NULL</v>
      </c>
    </row>
    <row r="347" spans="1:12" x14ac:dyDescent="0.25">
      <c r="A347" t="str" cm="1">
        <f t="array" ref="A347">_xlfn.CONCAT(Instructions!C354,Instructions!A354,"_",TEXT(Instructions!B354,"YYYYMMDD"),"_1_",INDEX(Table1[], MATCH(1,(Table1[Estuary]=Instructions!C354)*(Table1[StationNumber]=Instructions!D354)*(Instructions!B354&gt;Table1[StartDate])*(Instructions!B354&lt;Table1[EndDate]),0),1),"_1_",Instructions!E354,"_",Instructions!F354)</f>
        <v>TBSRVY_20190924_1_0291_1_07_046</v>
      </c>
      <c r="B347" t="str" cm="1">
        <f t="array" ref="B347">_xlfn.CONCAT(Instructions!C354,Instructions!A354,"_",TEXT(Instructions!B354,"YYYYMMDD"),"_1_",INDEX(Table1[], MATCH(1,(Table1[Estuary]=Instructions!C354)*(Table1[StationNumber]=Instructions!D354)*(Instructions!B354&gt;Table1[StartDate])*(Instructions!B354&lt;Table1[EndDate]),0),1),"_1_",Instructions!E354)</f>
        <v>TBSRVY_20190924_1_0291_1_07</v>
      </c>
      <c r="C347">
        <f>Instructions!G354</f>
        <v>23</v>
      </c>
      <c r="D347" t="str">
        <f>IF(ISBLANK(Instructions!H354),"",Instructions!H354)</f>
        <v>Entered</v>
      </c>
      <c r="E347" s="1">
        <f>IF(ISBLANK(Instructions!I354),"",Instructions!I354)</f>
        <v>45646</v>
      </c>
      <c r="F347" t="str">
        <f>IF(ISBLANK(Instructions!J354),"",Instructions!J354)</f>
        <v>Erica Williams</v>
      </c>
      <c r="G347" s="1" t="str">
        <f>IF(ISBLANK(Instructions!K354),"",Instructions!K354)</f>
        <v/>
      </c>
      <c r="H347" t="str">
        <f>IF(ISBLANK(Instructions!L354),"",Instructions!L354)</f>
        <v/>
      </c>
      <c r="I347" t="str">
        <f t="shared" si="13"/>
        <v>NULL</v>
      </c>
      <c r="J347" t="str">
        <f t="shared" si="13"/>
        <v>NULL</v>
      </c>
      <c r="K347" t="str">
        <f>Instructions!M354</f>
        <v>Added via SMSS</v>
      </c>
      <c r="L347" t="str">
        <f t="shared" si="12"/>
        <v>NULL</v>
      </c>
    </row>
    <row r="348" spans="1:12" x14ac:dyDescent="0.25">
      <c r="A348" t="str" cm="1">
        <f t="array" ref="A348">_xlfn.CONCAT(Instructions!C355,Instructions!A355,"_",TEXT(Instructions!B355,"YYYYMMDD"),"_1_",INDEX(Table1[], MATCH(1,(Table1[Estuary]=Instructions!C355)*(Table1[StationNumber]=Instructions!D355)*(Instructions!B355&gt;Table1[StartDate])*(Instructions!B355&lt;Table1[EndDate]),0),1),"_1_",Instructions!E355,"_",Instructions!F355)</f>
        <v>TBSRVY_20190924_1_0291_1_07_047</v>
      </c>
      <c r="B348" t="str" cm="1">
        <f t="array" ref="B348">_xlfn.CONCAT(Instructions!C355,Instructions!A355,"_",TEXT(Instructions!B355,"YYYYMMDD"),"_1_",INDEX(Table1[], MATCH(1,(Table1[Estuary]=Instructions!C355)*(Table1[StationNumber]=Instructions!D355)*(Instructions!B355&gt;Table1[StartDate])*(Instructions!B355&lt;Table1[EndDate]),0),1),"_1_",Instructions!E355)</f>
        <v>TBSRVY_20190924_1_0291_1_07</v>
      </c>
      <c r="C348">
        <f>Instructions!G355</f>
        <v>34</v>
      </c>
      <c r="D348" t="str">
        <f>IF(ISBLANK(Instructions!H355),"",Instructions!H355)</f>
        <v>Entered</v>
      </c>
      <c r="E348" s="1">
        <f>IF(ISBLANK(Instructions!I355),"",Instructions!I355)</f>
        <v>45646</v>
      </c>
      <c r="F348" t="str">
        <f>IF(ISBLANK(Instructions!J355),"",Instructions!J355)</f>
        <v>Erica Williams</v>
      </c>
      <c r="G348" s="1" t="str">
        <f>IF(ISBLANK(Instructions!K355),"",Instructions!K355)</f>
        <v/>
      </c>
      <c r="H348" t="str">
        <f>IF(ISBLANK(Instructions!L355),"",Instructions!L355)</f>
        <v/>
      </c>
      <c r="I348" t="str">
        <f t="shared" si="13"/>
        <v>NULL</v>
      </c>
      <c r="J348" t="str">
        <f t="shared" si="13"/>
        <v>NULL</v>
      </c>
      <c r="K348" t="str">
        <f>Instructions!M355</f>
        <v>Added via SMSS</v>
      </c>
      <c r="L348" t="str">
        <f t="shared" si="12"/>
        <v>NULL</v>
      </c>
    </row>
    <row r="349" spans="1:12" x14ac:dyDescent="0.25">
      <c r="A349" t="str" cm="1">
        <f t="array" ref="A349">_xlfn.CONCAT(Instructions!C356,Instructions!A356,"_",TEXT(Instructions!B356,"YYYYMMDD"),"_1_",INDEX(Table1[], MATCH(1,(Table1[Estuary]=Instructions!C356)*(Table1[StationNumber]=Instructions!D356)*(Instructions!B356&gt;Table1[StartDate])*(Instructions!B356&lt;Table1[EndDate]),0),1),"_1_",Instructions!E356,"_",Instructions!F356)</f>
        <v>TBSRVY_20190924_1_0291_1_07_048</v>
      </c>
      <c r="B349" t="str" cm="1">
        <f t="array" ref="B349">_xlfn.CONCAT(Instructions!C356,Instructions!A356,"_",TEXT(Instructions!B356,"YYYYMMDD"),"_1_",INDEX(Table1[], MATCH(1,(Table1[Estuary]=Instructions!C356)*(Table1[StationNumber]=Instructions!D356)*(Instructions!B356&gt;Table1[StartDate])*(Instructions!B356&lt;Table1[EndDate]),0),1),"_1_",Instructions!E356)</f>
        <v>TBSRVY_20190924_1_0291_1_07</v>
      </c>
      <c r="C349">
        <f>Instructions!G356</f>
        <v>21</v>
      </c>
      <c r="D349" t="str">
        <f>IF(ISBLANK(Instructions!H356),"",Instructions!H356)</f>
        <v>Entered</v>
      </c>
      <c r="E349" s="1">
        <f>IF(ISBLANK(Instructions!I356),"",Instructions!I356)</f>
        <v>45646</v>
      </c>
      <c r="F349" t="str">
        <f>IF(ISBLANK(Instructions!J356),"",Instructions!J356)</f>
        <v>Erica Williams</v>
      </c>
      <c r="G349" s="1" t="str">
        <f>IF(ISBLANK(Instructions!K356),"",Instructions!K356)</f>
        <v/>
      </c>
      <c r="H349" t="str">
        <f>IF(ISBLANK(Instructions!L356),"",Instructions!L356)</f>
        <v/>
      </c>
      <c r="I349" t="str">
        <f t="shared" si="13"/>
        <v>NULL</v>
      </c>
      <c r="J349" t="str">
        <f t="shared" si="13"/>
        <v>NULL</v>
      </c>
      <c r="K349" t="str">
        <f>Instructions!M356</f>
        <v>Added via SMSS</v>
      </c>
      <c r="L349" t="str">
        <f t="shared" si="12"/>
        <v>NULL</v>
      </c>
    </row>
    <row r="350" spans="1:12" x14ac:dyDescent="0.25">
      <c r="A350" t="str" cm="1">
        <f t="array" ref="A350">_xlfn.CONCAT(Instructions!C357,Instructions!A357,"_",TEXT(Instructions!B357,"YYYYMMDD"),"_1_",INDEX(Table1[], MATCH(1,(Table1[Estuary]=Instructions!C357)*(Table1[StationNumber]=Instructions!D357)*(Instructions!B357&gt;Table1[StartDate])*(Instructions!B357&lt;Table1[EndDate]),0),1),"_1_",Instructions!E357,"_",Instructions!F357)</f>
        <v>TBSRVY_20190924_1_0291_1_07_049</v>
      </c>
      <c r="B350" t="str" cm="1">
        <f t="array" ref="B350">_xlfn.CONCAT(Instructions!C357,Instructions!A357,"_",TEXT(Instructions!B357,"YYYYMMDD"),"_1_",INDEX(Table1[], MATCH(1,(Table1[Estuary]=Instructions!C357)*(Table1[StationNumber]=Instructions!D357)*(Instructions!B357&gt;Table1[StartDate])*(Instructions!B357&lt;Table1[EndDate]),0),1),"_1_",Instructions!E357)</f>
        <v>TBSRVY_20190924_1_0291_1_07</v>
      </c>
      <c r="C350">
        <f>Instructions!G357</f>
        <v>36</v>
      </c>
      <c r="D350" t="str">
        <f>IF(ISBLANK(Instructions!H357),"",Instructions!H357)</f>
        <v>Entered</v>
      </c>
      <c r="E350" s="1">
        <f>IF(ISBLANK(Instructions!I357),"",Instructions!I357)</f>
        <v>45646</v>
      </c>
      <c r="F350" t="str">
        <f>IF(ISBLANK(Instructions!J357),"",Instructions!J357)</f>
        <v>Erica Williams</v>
      </c>
      <c r="G350" s="1" t="str">
        <f>IF(ISBLANK(Instructions!K357),"",Instructions!K357)</f>
        <v/>
      </c>
      <c r="H350" t="str">
        <f>IF(ISBLANK(Instructions!L357),"",Instructions!L357)</f>
        <v/>
      </c>
      <c r="I350" t="str">
        <f t="shared" si="13"/>
        <v>NULL</v>
      </c>
      <c r="J350" t="str">
        <f t="shared" si="13"/>
        <v>NULL</v>
      </c>
      <c r="K350" t="str">
        <f>Instructions!M357</f>
        <v>Added via SMSS</v>
      </c>
      <c r="L350" t="str">
        <f t="shared" si="12"/>
        <v>NULL</v>
      </c>
    </row>
    <row r="351" spans="1:12" x14ac:dyDescent="0.25">
      <c r="A351" t="str" cm="1">
        <f t="array" ref="A351">_xlfn.CONCAT(Instructions!C358,Instructions!A358,"_",TEXT(Instructions!B358,"YYYYMMDD"),"_1_",INDEX(Table1[], MATCH(1,(Table1[Estuary]=Instructions!C358)*(Table1[StationNumber]=Instructions!D358)*(Instructions!B358&gt;Table1[StartDate])*(Instructions!B358&lt;Table1[EndDate]),0),1),"_1_",Instructions!E358,"_",Instructions!F358)</f>
        <v>TBSRVY_20190924_1_0291_1_07_050</v>
      </c>
      <c r="B351" t="str" cm="1">
        <f t="array" ref="B351">_xlfn.CONCAT(Instructions!C358,Instructions!A358,"_",TEXT(Instructions!B358,"YYYYMMDD"),"_1_",INDEX(Table1[], MATCH(1,(Table1[Estuary]=Instructions!C358)*(Table1[StationNumber]=Instructions!D358)*(Instructions!B358&gt;Table1[StartDate])*(Instructions!B358&lt;Table1[EndDate]),0),1),"_1_",Instructions!E358)</f>
        <v>TBSRVY_20190924_1_0291_1_07</v>
      </c>
      <c r="C351">
        <f>Instructions!G358</f>
        <v>25</v>
      </c>
      <c r="D351" t="str">
        <f>IF(ISBLANK(Instructions!H358),"",Instructions!H358)</f>
        <v>Entered</v>
      </c>
      <c r="E351" s="1">
        <f>IF(ISBLANK(Instructions!I358),"",Instructions!I358)</f>
        <v>45646</v>
      </c>
      <c r="F351" t="str">
        <f>IF(ISBLANK(Instructions!J358),"",Instructions!J358)</f>
        <v>Erica Williams</v>
      </c>
      <c r="G351" s="1" t="str">
        <f>IF(ISBLANK(Instructions!K358),"",Instructions!K358)</f>
        <v/>
      </c>
      <c r="H351" t="str">
        <f>IF(ISBLANK(Instructions!L358),"",Instructions!L358)</f>
        <v/>
      </c>
      <c r="I351" t="str">
        <f t="shared" si="13"/>
        <v>NULL</v>
      </c>
      <c r="J351" t="str">
        <f t="shared" si="13"/>
        <v>NULL</v>
      </c>
      <c r="K351" t="str">
        <f>Instructions!M358</f>
        <v>Added via SMSS</v>
      </c>
      <c r="L351" t="str">
        <f t="shared" si="12"/>
        <v>NULL</v>
      </c>
    </row>
    <row r="352" spans="1:12" x14ac:dyDescent="0.25">
      <c r="A352" t="str" cm="1">
        <f t="array" ref="A352">_xlfn.CONCAT(Instructions!C359,Instructions!A359,"_",TEXT(Instructions!B359,"YYYYMMDD"),"_1_",INDEX(Table1[], MATCH(1,(Table1[Estuary]=Instructions!C359)*(Table1[StationNumber]=Instructions!D359)*(Instructions!B359&gt;Table1[StartDate])*(Instructions!B359&lt;Table1[EndDate]),0),1),"_1_",Instructions!E359,"_",Instructions!F359)</f>
        <v>TBSRVY_20190924_1_0291_1_08_001</v>
      </c>
      <c r="B352" t="str" cm="1">
        <f t="array" ref="B352">_xlfn.CONCAT(Instructions!C359,Instructions!A359,"_",TEXT(Instructions!B359,"YYYYMMDD"),"_1_",INDEX(Table1[], MATCH(1,(Table1[Estuary]=Instructions!C359)*(Table1[StationNumber]=Instructions!D359)*(Instructions!B359&gt;Table1[StartDate])*(Instructions!B359&lt;Table1[EndDate]),0),1),"_1_",Instructions!E359)</f>
        <v>TBSRVY_20190924_1_0291_1_08</v>
      </c>
      <c r="C352">
        <f>Instructions!G359</f>
        <v>25</v>
      </c>
      <c r="D352" t="str">
        <f>IF(ISBLANK(Instructions!H359),"",Instructions!H359)</f>
        <v>Entered</v>
      </c>
      <c r="E352" s="1">
        <f>IF(ISBLANK(Instructions!I359),"",Instructions!I359)</f>
        <v>45646</v>
      </c>
      <c r="F352" t="str">
        <f>IF(ISBLANK(Instructions!J359),"",Instructions!J359)</f>
        <v>Erica Williams</v>
      </c>
      <c r="G352" s="1" t="str">
        <f>IF(ISBLANK(Instructions!K359),"",Instructions!K359)</f>
        <v/>
      </c>
      <c r="H352" t="str">
        <f>IF(ISBLANK(Instructions!L359),"",Instructions!L359)</f>
        <v/>
      </c>
      <c r="I352" t="str">
        <f t="shared" si="13"/>
        <v>NULL</v>
      </c>
      <c r="J352" t="str">
        <f t="shared" si="13"/>
        <v>NULL</v>
      </c>
      <c r="K352" t="str">
        <f>Instructions!M359</f>
        <v>Added via SMSS</v>
      </c>
      <c r="L352" t="str">
        <f t="shared" si="12"/>
        <v>NULL</v>
      </c>
    </row>
    <row r="353" spans="1:12" x14ac:dyDescent="0.25">
      <c r="A353" t="str" cm="1">
        <f t="array" ref="A353">_xlfn.CONCAT(Instructions!C360,Instructions!A360,"_",TEXT(Instructions!B360,"YYYYMMDD"),"_1_",INDEX(Table1[], MATCH(1,(Table1[Estuary]=Instructions!C360)*(Table1[StationNumber]=Instructions!D360)*(Instructions!B360&gt;Table1[StartDate])*(Instructions!B360&lt;Table1[EndDate]),0),1),"_1_",Instructions!E360,"_",Instructions!F360)</f>
        <v>TBSRVY_20190924_1_0291_1_08_002</v>
      </c>
      <c r="B353" t="str" cm="1">
        <f t="array" ref="B353">_xlfn.CONCAT(Instructions!C360,Instructions!A360,"_",TEXT(Instructions!B360,"YYYYMMDD"),"_1_",INDEX(Table1[], MATCH(1,(Table1[Estuary]=Instructions!C360)*(Table1[StationNumber]=Instructions!D360)*(Instructions!B360&gt;Table1[StartDate])*(Instructions!B360&lt;Table1[EndDate]),0),1),"_1_",Instructions!E360)</f>
        <v>TBSRVY_20190924_1_0291_1_08</v>
      </c>
      <c r="C353">
        <f>Instructions!G360</f>
        <v>20</v>
      </c>
      <c r="D353" t="str">
        <f>IF(ISBLANK(Instructions!H360),"",Instructions!H360)</f>
        <v>Entered</v>
      </c>
      <c r="E353" s="1">
        <f>IF(ISBLANK(Instructions!I360),"",Instructions!I360)</f>
        <v>45646</v>
      </c>
      <c r="F353" t="str">
        <f>IF(ISBLANK(Instructions!J360),"",Instructions!J360)</f>
        <v>Erica Williams</v>
      </c>
      <c r="G353" s="1" t="str">
        <f>IF(ISBLANK(Instructions!K360),"",Instructions!K360)</f>
        <v/>
      </c>
      <c r="H353" t="str">
        <f>IF(ISBLANK(Instructions!L360),"",Instructions!L360)</f>
        <v/>
      </c>
      <c r="I353" t="str">
        <f t="shared" si="13"/>
        <v>NULL</v>
      </c>
      <c r="J353" t="str">
        <f t="shared" si="13"/>
        <v>NULL</v>
      </c>
      <c r="K353" t="str">
        <f>Instructions!M360</f>
        <v>Added via SMSS</v>
      </c>
      <c r="L353" t="str">
        <f t="shared" si="12"/>
        <v>NULL</v>
      </c>
    </row>
    <row r="354" spans="1:12" x14ac:dyDescent="0.25">
      <c r="A354" t="str" cm="1">
        <f t="array" ref="A354">_xlfn.CONCAT(Instructions!C361,Instructions!A361,"_",TEXT(Instructions!B361,"YYYYMMDD"),"_1_",INDEX(Table1[], MATCH(1,(Table1[Estuary]=Instructions!C361)*(Table1[StationNumber]=Instructions!D361)*(Instructions!B361&gt;Table1[StartDate])*(Instructions!B361&lt;Table1[EndDate]),0),1),"_1_",Instructions!E361,"_",Instructions!F361)</f>
        <v>TBSRVY_20190924_1_0291_1_08_003</v>
      </c>
      <c r="B354" t="str" cm="1">
        <f t="array" ref="B354">_xlfn.CONCAT(Instructions!C361,Instructions!A361,"_",TEXT(Instructions!B361,"YYYYMMDD"),"_1_",INDEX(Table1[], MATCH(1,(Table1[Estuary]=Instructions!C361)*(Table1[StationNumber]=Instructions!D361)*(Instructions!B361&gt;Table1[StartDate])*(Instructions!B361&lt;Table1[EndDate]),0),1),"_1_",Instructions!E361)</f>
        <v>TBSRVY_20190924_1_0291_1_08</v>
      </c>
      <c r="C354">
        <f>Instructions!G361</f>
        <v>20</v>
      </c>
      <c r="D354" t="str">
        <f>IF(ISBLANK(Instructions!H361),"",Instructions!H361)</f>
        <v>Entered</v>
      </c>
      <c r="E354" s="1">
        <f>IF(ISBLANK(Instructions!I361),"",Instructions!I361)</f>
        <v>45646</v>
      </c>
      <c r="F354" t="str">
        <f>IF(ISBLANK(Instructions!J361),"",Instructions!J361)</f>
        <v>Erica Williams</v>
      </c>
      <c r="G354" s="1" t="str">
        <f>IF(ISBLANK(Instructions!K361),"",Instructions!K361)</f>
        <v/>
      </c>
      <c r="H354" t="str">
        <f>IF(ISBLANK(Instructions!L361),"",Instructions!L361)</f>
        <v/>
      </c>
      <c r="I354" t="str">
        <f t="shared" si="13"/>
        <v>NULL</v>
      </c>
      <c r="J354" t="str">
        <f t="shared" si="13"/>
        <v>NULL</v>
      </c>
      <c r="K354" t="str">
        <f>Instructions!M361</f>
        <v>Added via SMSS</v>
      </c>
      <c r="L354" t="str">
        <f t="shared" si="12"/>
        <v>NULL</v>
      </c>
    </row>
    <row r="355" spans="1:12" x14ac:dyDescent="0.25">
      <c r="A355" t="str" cm="1">
        <f t="array" ref="A355">_xlfn.CONCAT(Instructions!C362,Instructions!A362,"_",TEXT(Instructions!B362,"YYYYMMDD"),"_1_",INDEX(Table1[], MATCH(1,(Table1[Estuary]=Instructions!C362)*(Table1[StationNumber]=Instructions!D362)*(Instructions!B362&gt;Table1[StartDate])*(Instructions!B362&lt;Table1[EndDate]),0),1),"_1_",Instructions!E362,"_",Instructions!F362)</f>
        <v>TBSRVY_20190924_1_0291_1_08_004</v>
      </c>
      <c r="B355" t="str" cm="1">
        <f t="array" ref="B355">_xlfn.CONCAT(Instructions!C362,Instructions!A362,"_",TEXT(Instructions!B362,"YYYYMMDD"),"_1_",INDEX(Table1[], MATCH(1,(Table1[Estuary]=Instructions!C362)*(Table1[StationNumber]=Instructions!D362)*(Instructions!B362&gt;Table1[StartDate])*(Instructions!B362&lt;Table1[EndDate]),0),1),"_1_",Instructions!E362)</f>
        <v>TBSRVY_20190924_1_0291_1_08</v>
      </c>
      <c r="C355">
        <f>Instructions!G362</f>
        <v>10</v>
      </c>
      <c r="D355" t="str">
        <f>IF(ISBLANK(Instructions!H362),"",Instructions!H362)</f>
        <v>Entered</v>
      </c>
      <c r="E355" s="1">
        <f>IF(ISBLANK(Instructions!I362),"",Instructions!I362)</f>
        <v>45646</v>
      </c>
      <c r="F355" t="str">
        <f>IF(ISBLANK(Instructions!J362),"",Instructions!J362)</f>
        <v>Erica Williams</v>
      </c>
      <c r="G355" s="1" t="str">
        <f>IF(ISBLANK(Instructions!K362),"",Instructions!K362)</f>
        <v/>
      </c>
      <c r="H355" t="str">
        <f>IF(ISBLANK(Instructions!L362),"",Instructions!L362)</f>
        <v/>
      </c>
      <c r="I355" t="str">
        <f t="shared" si="13"/>
        <v>NULL</v>
      </c>
      <c r="J355" t="str">
        <f t="shared" si="13"/>
        <v>NULL</v>
      </c>
      <c r="K355" t="str">
        <f>Instructions!M362</f>
        <v>Added via SMSS</v>
      </c>
      <c r="L355" t="str">
        <f t="shared" si="12"/>
        <v>NULL</v>
      </c>
    </row>
    <row r="356" spans="1:12" x14ac:dyDescent="0.25">
      <c r="A356" t="str" cm="1">
        <f t="array" ref="A356">_xlfn.CONCAT(Instructions!C363,Instructions!A363,"_",TEXT(Instructions!B363,"YYYYMMDD"),"_1_",INDEX(Table1[], MATCH(1,(Table1[Estuary]=Instructions!C363)*(Table1[StationNumber]=Instructions!D363)*(Instructions!B363&gt;Table1[StartDate])*(Instructions!B363&lt;Table1[EndDate]),0),1),"_1_",Instructions!E363,"_",Instructions!F363)</f>
        <v>TBSRVY_20190924_1_0291_1_08_005</v>
      </c>
      <c r="B356" t="str" cm="1">
        <f t="array" ref="B356">_xlfn.CONCAT(Instructions!C363,Instructions!A363,"_",TEXT(Instructions!B363,"YYYYMMDD"),"_1_",INDEX(Table1[], MATCH(1,(Table1[Estuary]=Instructions!C363)*(Table1[StationNumber]=Instructions!D363)*(Instructions!B363&gt;Table1[StartDate])*(Instructions!B363&lt;Table1[EndDate]),0),1),"_1_",Instructions!E363)</f>
        <v>TBSRVY_20190924_1_0291_1_08</v>
      </c>
      <c r="C356">
        <f>Instructions!G363</f>
        <v>5</v>
      </c>
      <c r="D356" t="str">
        <f>IF(ISBLANK(Instructions!H363),"",Instructions!H363)</f>
        <v>Entered</v>
      </c>
      <c r="E356" s="1">
        <f>IF(ISBLANK(Instructions!I363),"",Instructions!I363)</f>
        <v>45646</v>
      </c>
      <c r="F356" t="str">
        <f>IF(ISBLANK(Instructions!J363),"",Instructions!J363)</f>
        <v>Erica Williams</v>
      </c>
      <c r="G356" s="1" t="str">
        <f>IF(ISBLANK(Instructions!K363),"",Instructions!K363)</f>
        <v/>
      </c>
      <c r="H356" t="str">
        <f>IF(ISBLANK(Instructions!L363),"",Instructions!L363)</f>
        <v/>
      </c>
      <c r="I356" t="str">
        <f t="shared" si="13"/>
        <v>NULL</v>
      </c>
      <c r="J356" t="str">
        <f t="shared" si="13"/>
        <v>NULL</v>
      </c>
      <c r="K356" t="str">
        <f>Instructions!M363</f>
        <v>Added via SMSS</v>
      </c>
      <c r="L356" t="str">
        <f t="shared" si="12"/>
        <v>NULL</v>
      </c>
    </row>
    <row r="357" spans="1:12" x14ac:dyDescent="0.25">
      <c r="A357" t="str" cm="1">
        <f t="array" ref="A357">_xlfn.CONCAT(Instructions!C364,Instructions!A364,"_",TEXT(Instructions!B364,"YYYYMMDD"),"_1_",INDEX(Table1[], MATCH(1,(Table1[Estuary]=Instructions!C364)*(Table1[StationNumber]=Instructions!D364)*(Instructions!B364&gt;Table1[StartDate])*(Instructions!B364&lt;Table1[EndDate]),0),1),"_1_",Instructions!E364,"_",Instructions!F364)</f>
        <v>TBSRVY_20190924_1_0291_1_08_006</v>
      </c>
      <c r="B357" t="str" cm="1">
        <f t="array" ref="B357">_xlfn.CONCAT(Instructions!C364,Instructions!A364,"_",TEXT(Instructions!B364,"YYYYMMDD"),"_1_",INDEX(Table1[], MATCH(1,(Table1[Estuary]=Instructions!C364)*(Table1[StationNumber]=Instructions!D364)*(Instructions!B364&gt;Table1[StartDate])*(Instructions!B364&lt;Table1[EndDate]),0),1),"_1_",Instructions!E364)</f>
        <v>TBSRVY_20190924_1_0291_1_08</v>
      </c>
      <c r="C357">
        <f>Instructions!G364</f>
        <v>17</v>
      </c>
      <c r="D357" t="str">
        <f>IF(ISBLANK(Instructions!H364),"",Instructions!H364)</f>
        <v>Entered</v>
      </c>
      <c r="E357" s="1">
        <f>IF(ISBLANK(Instructions!I364),"",Instructions!I364)</f>
        <v>45646</v>
      </c>
      <c r="F357" t="str">
        <f>IF(ISBLANK(Instructions!J364),"",Instructions!J364)</f>
        <v>Erica Williams</v>
      </c>
      <c r="G357" s="1" t="str">
        <f>IF(ISBLANK(Instructions!K364),"",Instructions!K364)</f>
        <v/>
      </c>
      <c r="H357" t="str">
        <f>IF(ISBLANK(Instructions!L364),"",Instructions!L364)</f>
        <v/>
      </c>
      <c r="I357" t="str">
        <f t="shared" si="13"/>
        <v>NULL</v>
      </c>
      <c r="J357" t="str">
        <f t="shared" si="13"/>
        <v>NULL</v>
      </c>
      <c r="K357" t="str">
        <f>Instructions!M364</f>
        <v>Added via SMSS</v>
      </c>
      <c r="L357" t="str">
        <f t="shared" si="12"/>
        <v>NULL</v>
      </c>
    </row>
    <row r="358" spans="1:12" x14ac:dyDescent="0.25">
      <c r="A358" t="str" cm="1">
        <f t="array" ref="A358">_xlfn.CONCAT(Instructions!C365,Instructions!A365,"_",TEXT(Instructions!B365,"YYYYMMDD"),"_1_",INDEX(Table1[], MATCH(1,(Table1[Estuary]=Instructions!C365)*(Table1[StationNumber]=Instructions!D365)*(Instructions!B365&gt;Table1[StartDate])*(Instructions!B365&lt;Table1[EndDate]),0),1),"_1_",Instructions!E365,"_",Instructions!F365)</f>
        <v>TBSRVY_20190924_1_0291_1_08_007</v>
      </c>
      <c r="B358" t="str" cm="1">
        <f t="array" ref="B358">_xlfn.CONCAT(Instructions!C365,Instructions!A365,"_",TEXT(Instructions!B365,"YYYYMMDD"),"_1_",INDEX(Table1[], MATCH(1,(Table1[Estuary]=Instructions!C365)*(Table1[StationNumber]=Instructions!D365)*(Instructions!B365&gt;Table1[StartDate])*(Instructions!B365&lt;Table1[EndDate]),0),1),"_1_",Instructions!E365)</f>
        <v>TBSRVY_20190924_1_0291_1_08</v>
      </c>
      <c r="C358">
        <f>Instructions!G365</f>
        <v>22</v>
      </c>
      <c r="D358" t="str">
        <f>IF(ISBLANK(Instructions!H365),"",Instructions!H365)</f>
        <v>Entered</v>
      </c>
      <c r="E358" s="1">
        <f>IF(ISBLANK(Instructions!I365),"",Instructions!I365)</f>
        <v>45646</v>
      </c>
      <c r="F358" t="str">
        <f>IF(ISBLANK(Instructions!J365),"",Instructions!J365)</f>
        <v>Erica Williams</v>
      </c>
      <c r="G358" s="1" t="str">
        <f>IF(ISBLANK(Instructions!K365),"",Instructions!K365)</f>
        <v/>
      </c>
      <c r="H358" t="str">
        <f>IF(ISBLANK(Instructions!L365),"",Instructions!L365)</f>
        <v/>
      </c>
      <c r="I358" t="str">
        <f t="shared" ref="I358:J421" si="14">"NULL"</f>
        <v>NULL</v>
      </c>
      <c r="J358" t="str">
        <f t="shared" si="14"/>
        <v>NULL</v>
      </c>
      <c r="K358" t="str">
        <f>Instructions!M365</f>
        <v>Added via SMSS</v>
      </c>
      <c r="L358" t="str">
        <f t="shared" si="12"/>
        <v>NULL</v>
      </c>
    </row>
    <row r="359" spans="1:12" x14ac:dyDescent="0.25">
      <c r="A359" t="str" cm="1">
        <f t="array" ref="A359">_xlfn.CONCAT(Instructions!C366,Instructions!A366,"_",TEXT(Instructions!B366,"YYYYMMDD"),"_1_",INDEX(Table1[], MATCH(1,(Table1[Estuary]=Instructions!C366)*(Table1[StationNumber]=Instructions!D366)*(Instructions!B366&gt;Table1[StartDate])*(Instructions!B366&lt;Table1[EndDate]),0),1),"_1_",Instructions!E366,"_",Instructions!F366)</f>
        <v>TBSRVY_20190924_1_0291_1_08_008</v>
      </c>
      <c r="B359" t="str" cm="1">
        <f t="array" ref="B359">_xlfn.CONCAT(Instructions!C366,Instructions!A366,"_",TEXT(Instructions!B366,"YYYYMMDD"),"_1_",INDEX(Table1[], MATCH(1,(Table1[Estuary]=Instructions!C366)*(Table1[StationNumber]=Instructions!D366)*(Instructions!B366&gt;Table1[StartDate])*(Instructions!B366&lt;Table1[EndDate]),0),1),"_1_",Instructions!E366)</f>
        <v>TBSRVY_20190924_1_0291_1_08</v>
      </c>
      <c r="C359">
        <f>Instructions!G366</f>
        <v>21</v>
      </c>
      <c r="D359" t="str">
        <f>IF(ISBLANK(Instructions!H366),"",Instructions!H366)</f>
        <v>Entered</v>
      </c>
      <c r="E359" s="1">
        <f>IF(ISBLANK(Instructions!I366),"",Instructions!I366)</f>
        <v>45646</v>
      </c>
      <c r="F359" t="str">
        <f>IF(ISBLANK(Instructions!J366),"",Instructions!J366)</f>
        <v>Erica Williams</v>
      </c>
      <c r="G359" s="1" t="str">
        <f>IF(ISBLANK(Instructions!K366),"",Instructions!K366)</f>
        <v/>
      </c>
      <c r="H359" t="str">
        <f>IF(ISBLANK(Instructions!L366),"",Instructions!L366)</f>
        <v/>
      </c>
      <c r="I359" t="str">
        <f t="shared" si="14"/>
        <v>NULL</v>
      </c>
      <c r="J359" t="str">
        <f t="shared" si="14"/>
        <v>NULL</v>
      </c>
      <c r="K359" t="str">
        <f>Instructions!M366</f>
        <v>Added via SMSS</v>
      </c>
      <c r="L359" t="str">
        <f t="shared" si="12"/>
        <v>NULL</v>
      </c>
    </row>
    <row r="360" spans="1:12" x14ac:dyDescent="0.25">
      <c r="A360" t="str" cm="1">
        <f t="array" ref="A360">_xlfn.CONCAT(Instructions!C367,Instructions!A367,"_",TEXT(Instructions!B367,"YYYYMMDD"),"_1_",INDEX(Table1[], MATCH(1,(Table1[Estuary]=Instructions!C367)*(Table1[StationNumber]=Instructions!D367)*(Instructions!B367&gt;Table1[StartDate])*(Instructions!B367&lt;Table1[EndDate]),0),1),"_1_",Instructions!E367,"_",Instructions!F367)</f>
        <v>TBSRVY_20190924_1_0291_1_08_009</v>
      </c>
      <c r="B360" t="str" cm="1">
        <f t="array" ref="B360">_xlfn.CONCAT(Instructions!C367,Instructions!A367,"_",TEXT(Instructions!B367,"YYYYMMDD"),"_1_",INDEX(Table1[], MATCH(1,(Table1[Estuary]=Instructions!C367)*(Table1[StationNumber]=Instructions!D367)*(Instructions!B367&gt;Table1[StartDate])*(Instructions!B367&lt;Table1[EndDate]),0),1),"_1_",Instructions!E367)</f>
        <v>TBSRVY_20190924_1_0291_1_08</v>
      </c>
      <c r="C360">
        <f>Instructions!G367</f>
        <v>18</v>
      </c>
      <c r="D360" t="str">
        <f>IF(ISBLANK(Instructions!H367),"",Instructions!H367)</f>
        <v>Entered</v>
      </c>
      <c r="E360" s="1">
        <f>IF(ISBLANK(Instructions!I367),"",Instructions!I367)</f>
        <v>45646</v>
      </c>
      <c r="F360" t="str">
        <f>IF(ISBLANK(Instructions!J367),"",Instructions!J367)</f>
        <v>Erica Williams</v>
      </c>
      <c r="G360" s="1" t="str">
        <f>IF(ISBLANK(Instructions!K367),"",Instructions!K367)</f>
        <v/>
      </c>
      <c r="H360" t="str">
        <f>IF(ISBLANK(Instructions!L367),"",Instructions!L367)</f>
        <v/>
      </c>
      <c r="I360" t="str">
        <f t="shared" si="14"/>
        <v>NULL</v>
      </c>
      <c r="J360" t="str">
        <f t="shared" si="14"/>
        <v>NULL</v>
      </c>
      <c r="K360" t="str">
        <f>Instructions!M367</f>
        <v>Added via SMSS</v>
      </c>
      <c r="L360" t="str">
        <f t="shared" si="12"/>
        <v>NULL</v>
      </c>
    </row>
    <row r="361" spans="1:12" x14ac:dyDescent="0.25">
      <c r="A361" t="str" cm="1">
        <f t="array" ref="A361">_xlfn.CONCAT(Instructions!C368,Instructions!A368,"_",TEXT(Instructions!B368,"YYYYMMDD"),"_1_",INDEX(Table1[], MATCH(1,(Table1[Estuary]=Instructions!C368)*(Table1[StationNumber]=Instructions!D368)*(Instructions!B368&gt;Table1[StartDate])*(Instructions!B368&lt;Table1[EndDate]),0),1),"_1_",Instructions!E368,"_",Instructions!F368)</f>
        <v>TBSRVY_20190924_1_0291_1_08_010</v>
      </c>
      <c r="B361" t="str" cm="1">
        <f t="array" ref="B361">_xlfn.CONCAT(Instructions!C368,Instructions!A368,"_",TEXT(Instructions!B368,"YYYYMMDD"),"_1_",INDEX(Table1[], MATCH(1,(Table1[Estuary]=Instructions!C368)*(Table1[StationNumber]=Instructions!D368)*(Instructions!B368&gt;Table1[StartDate])*(Instructions!B368&lt;Table1[EndDate]),0),1),"_1_",Instructions!E368)</f>
        <v>TBSRVY_20190924_1_0291_1_08</v>
      </c>
      <c r="C361">
        <f>Instructions!G368</f>
        <v>25</v>
      </c>
      <c r="D361" t="str">
        <f>IF(ISBLANK(Instructions!H368),"",Instructions!H368)</f>
        <v>Entered</v>
      </c>
      <c r="E361" s="1">
        <f>IF(ISBLANK(Instructions!I368),"",Instructions!I368)</f>
        <v>45646</v>
      </c>
      <c r="F361" t="str">
        <f>IF(ISBLANK(Instructions!J368),"",Instructions!J368)</f>
        <v>Erica Williams</v>
      </c>
      <c r="G361" s="1" t="str">
        <f>IF(ISBLANK(Instructions!K368),"",Instructions!K368)</f>
        <v/>
      </c>
      <c r="H361" t="str">
        <f>IF(ISBLANK(Instructions!L368),"",Instructions!L368)</f>
        <v/>
      </c>
      <c r="I361" t="str">
        <f t="shared" si="14"/>
        <v>NULL</v>
      </c>
      <c r="J361" t="str">
        <f t="shared" si="14"/>
        <v>NULL</v>
      </c>
      <c r="K361" t="str">
        <f>Instructions!M368</f>
        <v>Added via SMSS</v>
      </c>
      <c r="L361" t="str">
        <f t="shared" si="12"/>
        <v>NULL</v>
      </c>
    </row>
    <row r="362" spans="1:12" x14ac:dyDescent="0.25">
      <c r="A362" t="str" cm="1">
        <f t="array" ref="A362">_xlfn.CONCAT(Instructions!C369,Instructions!A369,"_",TEXT(Instructions!B369,"YYYYMMDD"),"_1_",INDEX(Table1[], MATCH(1,(Table1[Estuary]=Instructions!C369)*(Table1[StationNumber]=Instructions!D369)*(Instructions!B369&gt;Table1[StartDate])*(Instructions!B369&lt;Table1[EndDate]),0),1),"_1_",Instructions!E369,"_",Instructions!F369)</f>
        <v>TBSRVY_20190924_1_0291_1_08_011</v>
      </c>
      <c r="B362" t="str" cm="1">
        <f t="array" ref="B362">_xlfn.CONCAT(Instructions!C369,Instructions!A369,"_",TEXT(Instructions!B369,"YYYYMMDD"),"_1_",INDEX(Table1[], MATCH(1,(Table1[Estuary]=Instructions!C369)*(Table1[StationNumber]=Instructions!D369)*(Instructions!B369&gt;Table1[StartDate])*(Instructions!B369&lt;Table1[EndDate]),0),1),"_1_",Instructions!E369)</f>
        <v>TBSRVY_20190924_1_0291_1_08</v>
      </c>
      <c r="C362">
        <f>Instructions!G369</f>
        <v>18</v>
      </c>
      <c r="D362" t="str">
        <f>IF(ISBLANK(Instructions!H369),"",Instructions!H369)</f>
        <v>Entered</v>
      </c>
      <c r="E362" s="1">
        <f>IF(ISBLANK(Instructions!I369),"",Instructions!I369)</f>
        <v>45646</v>
      </c>
      <c r="F362" t="str">
        <f>IF(ISBLANK(Instructions!J369),"",Instructions!J369)</f>
        <v>Erica Williams</v>
      </c>
      <c r="G362" s="1" t="str">
        <f>IF(ISBLANK(Instructions!K369),"",Instructions!K369)</f>
        <v/>
      </c>
      <c r="H362" t="str">
        <f>IF(ISBLANK(Instructions!L369),"",Instructions!L369)</f>
        <v/>
      </c>
      <c r="I362" t="str">
        <f t="shared" si="14"/>
        <v>NULL</v>
      </c>
      <c r="J362" t="str">
        <f t="shared" si="14"/>
        <v>NULL</v>
      </c>
      <c r="K362" t="str">
        <f>Instructions!M369</f>
        <v>Added via SMSS</v>
      </c>
      <c r="L362" t="str">
        <f t="shared" si="12"/>
        <v>NULL</v>
      </c>
    </row>
    <row r="363" spans="1:12" x14ac:dyDescent="0.25">
      <c r="A363" t="str" cm="1">
        <f t="array" ref="A363">_xlfn.CONCAT(Instructions!C370,Instructions!A370,"_",TEXT(Instructions!B370,"YYYYMMDD"),"_1_",INDEX(Table1[], MATCH(1,(Table1[Estuary]=Instructions!C370)*(Table1[StationNumber]=Instructions!D370)*(Instructions!B370&gt;Table1[StartDate])*(Instructions!B370&lt;Table1[EndDate]),0),1),"_1_",Instructions!E370,"_",Instructions!F370)</f>
        <v>TBSRVY_20190924_1_0291_1_08_012</v>
      </c>
      <c r="B363" t="str" cm="1">
        <f t="array" ref="B363">_xlfn.CONCAT(Instructions!C370,Instructions!A370,"_",TEXT(Instructions!B370,"YYYYMMDD"),"_1_",INDEX(Table1[], MATCH(1,(Table1[Estuary]=Instructions!C370)*(Table1[StationNumber]=Instructions!D370)*(Instructions!B370&gt;Table1[StartDate])*(Instructions!B370&lt;Table1[EndDate]),0),1),"_1_",Instructions!E370)</f>
        <v>TBSRVY_20190924_1_0291_1_08</v>
      </c>
      <c r="C363">
        <f>Instructions!G370</f>
        <v>30</v>
      </c>
      <c r="D363" t="str">
        <f>IF(ISBLANK(Instructions!H370),"",Instructions!H370)</f>
        <v>Entered</v>
      </c>
      <c r="E363" s="1">
        <f>IF(ISBLANK(Instructions!I370),"",Instructions!I370)</f>
        <v>45646</v>
      </c>
      <c r="F363" t="str">
        <f>IF(ISBLANK(Instructions!J370),"",Instructions!J370)</f>
        <v>Erica Williams</v>
      </c>
      <c r="G363" s="1" t="str">
        <f>IF(ISBLANK(Instructions!K370),"",Instructions!K370)</f>
        <v/>
      </c>
      <c r="H363" t="str">
        <f>IF(ISBLANK(Instructions!L370),"",Instructions!L370)</f>
        <v/>
      </c>
      <c r="I363" t="str">
        <f t="shared" si="14"/>
        <v>NULL</v>
      </c>
      <c r="J363" t="str">
        <f t="shared" si="14"/>
        <v>NULL</v>
      </c>
      <c r="K363" t="str">
        <f>Instructions!M370</f>
        <v>Added via SMSS</v>
      </c>
      <c r="L363" t="str">
        <f t="shared" si="12"/>
        <v>NULL</v>
      </c>
    </row>
    <row r="364" spans="1:12" x14ac:dyDescent="0.25">
      <c r="A364" t="str" cm="1">
        <f t="array" ref="A364">_xlfn.CONCAT(Instructions!C371,Instructions!A371,"_",TEXT(Instructions!B371,"YYYYMMDD"),"_1_",INDEX(Table1[], MATCH(1,(Table1[Estuary]=Instructions!C371)*(Table1[StationNumber]=Instructions!D371)*(Instructions!B371&gt;Table1[StartDate])*(Instructions!B371&lt;Table1[EndDate]),0),1),"_1_",Instructions!E371,"_",Instructions!F371)</f>
        <v>TBSRVY_20190924_1_0291_1_08_013</v>
      </c>
      <c r="B364" t="str" cm="1">
        <f t="array" ref="B364">_xlfn.CONCAT(Instructions!C371,Instructions!A371,"_",TEXT(Instructions!B371,"YYYYMMDD"),"_1_",INDEX(Table1[], MATCH(1,(Table1[Estuary]=Instructions!C371)*(Table1[StationNumber]=Instructions!D371)*(Instructions!B371&gt;Table1[StartDate])*(Instructions!B371&lt;Table1[EndDate]),0),1),"_1_",Instructions!E371)</f>
        <v>TBSRVY_20190924_1_0291_1_08</v>
      </c>
      <c r="C364">
        <f>Instructions!G371</f>
        <v>37</v>
      </c>
      <c r="D364" t="str">
        <f>IF(ISBLANK(Instructions!H371),"",Instructions!H371)</f>
        <v>Entered</v>
      </c>
      <c r="E364" s="1">
        <f>IF(ISBLANK(Instructions!I371),"",Instructions!I371)</f>
        <v>45646</v>
      </c>
      <c r="F364" t="str">
        <f>IF(ISBLANK(Instructions!J371),"",Instructions!J371)</f>
        <v>Erica Williams</v>
      </c>
      <c r="G364" s="1" t="str">
        <f>IF(ISBLANK(Instructions!K371),"",Instructions!K371)</f>
        <v/>
      </c>
      <c r="H364" t="str">
        <f>IF(ISBLANK(Instructions!L371),"",Instructions!L371)</f>
        <v/>
      </c>
      <c r="I364" t="str">
        <f t="shared" si="14"/>
        <v>NULL</v>
      </c>
      <c r="J364" t="str">
        <f t="shared" si="14"/>
        <v>NULL</v>
      </c>
      <c r="K364" t="str">
        <f>Instructions!M371</f>
        <v>Added via SMSS</v>
      </c>
      <c r="L364" t="str">
        <f t="shared" si="12"/>
        <v>NULL</v>
      </c>
    </row>
    <row r="365" spans="1:12" x14ac:dyDescent="0.25">
      <c r="A365" t="str" cm="1">
        <f t="array" ref="A365">_xlfn.CONCAT(Instructions!C372,Instructions!A372,"_",TEXT(Instructions!B372,"YYYYMMDD"),"_1_",INDEX(Table1[], MATCH(1,(Table1[Estuary]=Instructions!C372)*(Table1[StationNumber]=Instructions!D372)*(Instructions!B372&gt;Table1[StartDate])*(Instructions!B372&lt;Table1[EndDate]),0),1),"_1_",Instructions!E372,"_",Instructions!F372)</f>
        <v>TBSRVY_20190924_1_0291_1_08_014</v>
      </c>
      <c r="B365" t="str" cm="1">
        <f t="array" ref="B365">_xlfn.CONCAT(Instructions!C372,Instructions!A372,"_",TEXT(Instructions!B372,"YYYYMMDD"),"_1_",INDEX(Table1[], MATCH(1,(Table1[Estuary]=Instructions!C372)*(Table1[StationNumber]=Instructions!D372)*(Instructions!B372&gt;Table1[StartDate])*(Instructions!B372&lt;Table1[EndDate]),0),1),"_1_",Instructions!E372)</f>
        <v>TBSRVY_20190924_1_0291_1_08</v>
      </c>
      <c r="C365">
        <f>Instructions!G372</f>
        <v>33</v>
      </c>
      <c r="D365" t="str">
        <f>IF(ISBLANK(Instructions!H372),"",Instructions!H372)</f>
        <v>Entered</v>
      </c>
      <c r="E365" s="1">
        <f>IF(ISBLANK(Instructions!I372),"",Instructions!I372)</f>
        <v>45646</v>
      </c>
      <c r="F365" t="str">
        <f>IF(ISBLANK(Instructions!J372),"",Instructions!J372)</f>
        <v>Erica Williams</v>
      </c>
      <c r="G365" s="1" t="str">
        <f>IF(ISBLANK(Instructions!K372),"",Instructions!K372)</f>
        <v/>
      </c>
      <c r="H365" t="str">
        <f>IF(ISBLANK(Instructions!L372),"",Instructions!L372)</f>
        <v/>
      </c>
      <c r="I365" t="str">
        <f t="shared" si="14"/>
        <v>NULL</v>
      </c>
      <c r="J365" t="str">
        <f t="shared" si="14"/>
        <v>NULL</v>
      </c>
      <c r="K365" t="str">
        <f>Instructions!M372</f>
        <v>Added via SMSS</v>
      </c>
      <c r="L365" t="str">
        <f t="shared" si="12"/>
        <v>NULL</v>
      </c>
    </row>
    <row r="366" spans="1:12" x14ac:dyDescent="0.25">
      <c r="A366" t="str" cm="1">
        <f t="array" ref="A366">_xlfn.CONCAT(Instructions!C373,Instructions!A373,"_",TEXT(Instructions!B373,"YYYYMMDD"),"_1_",INDEX(Table1[], MATCH(1,(Table1[Estuary]=Instructions!C373)*(Table1[StationNumber]=Instructions!D373)*(Instructions!B373&gt;Table1[StartDate])*(Instructions!B373&lt;Table1[EndDate]),0),1),"_1_",Instructions!E373,"_",Instructions!F373)</f>
        <v>TBSRVY_20190924_1_0291_1_08_015</v>
      </c>
      <c r="B366" t="str" cm="1">
        <f t="array" ref="B366">_xlfn.CONCAT(Instructions!C373,Instructions!A373,"_",TEXT(Instructions!B373,"YYYYMMDD"),"_1_",INDEX(Table1[], MATCH(1,(Table1[Estuary]=Instructions!C373)*(Table1[StationNumber]=Instructions!D373)*(Instructions!B373&gt;Table1[StartDate])*(Instructions!B373&lt;Table1[EndDate]),0),1),"_1_",Instructions!E373)</f>
        <v>TBSRVY_20190924_1_0291_1_08</v>
      </c>
      <c r="C366">
        <f>Instructions!G373</f>
        <v>35</v>
      </c>
      <c r="D366" t="str">
        <f>IF(ISBLANK(Instructions!H373),"",Instructions!H373)</f>
        <v>Entered</v>
      </c>
      <c r="E366" s="1">
        <f>IF(ISBLANK(Instructions!I373),"",Instructions!I373)</f>
        <v>45646</v>
      </c>
      <c r="F366" t="str">
        <f>IF(ISBLANK(Instructions!J373),"",Instructions!J373)</f>
        <v>Erica Williams</v>
      </c>
      <c r="G366" s="1" t="str">
        <f>IF(ISBLANK(Instructions!K373),"",Instructions!K373)</f>
        <v/>
      </c>
      <c r="H366" t="str">
        <f>IF(ISBLANK(Instructions!L373),"",Instructions!L373)</f>
        <v/>
      </c>
      <c r="I366" t="str">
        <f t="shared" si="14"/>
        <v>NULL</v>
      </c>
      <c r="J366" t="str">
        <f t="shared" si="14"/>
        <v>NULL</v>
      </c>
      <c r="K366" t="str">
        <f>Instructions!M373</f>
        <v>Added via SMSS</v>
      </c>
      <c r="L366" t="str">
        <f t="shared" si="12"/>
        <v>NULL</v>
      </c>
    </row>
    <row r="367" spans="1:12" x14ac:dyDescent="0.25">
      <c r="A367" t="str" cm="1">
        <f t="array" ref="A367">_xlfn.CONCAT(Instructions!C374,Instructions!A374,"_",TEXT(Instructions!B374,"YYYYMMDD"),"_1_",INDEX(Table1[], MATCH(1,(Table1[Estuary]=Instructions!C374)*(Table1[StationNumber]=Instructions!D374)*(Instructions!B374&gt;Table1[StartDate])*(Instructions!B374&lt;Table1[EndDate]),0),1),"_1_",Instructions!E374,"_",Instructions!F374)</f>
        <v>TBSRVY_20190924_1_0291_1_08_016</v>
      </c>
      <c r="B367" t="str" cm="1">
        <f t="array" ref="B367">_xlfn.CONCAT(Instructions!C374,Instructions!A374,"_",TEXT(Instructions!B374,"YYYYMMDD"),"_1_",INDEX(Table1[], MATCH(1,(Table1[Estuary]=Instructions!C374)*(Table1[StationNumber]=Instructions!D374)*(Instructions!B374&gt;Table1[StartDate])*(Instructions!B374&lt;Table1[EndDate]),0),1),"_1_",Instructions!E374)</f>
        <v>TBSRVY_20190924_1_0291_1_08</v>
      </c>
      <c r="C367">
        <f>Instructions!G374</f>
        <v>29</v>
      </c>
      <c r="D367" t="str">
        <f>IF(ISBLANK(Instructions!H374),"",Instructions!H374)</f>
        <v>Entered</v>
      </c>
      <c r="E367" s="1">
        <f>IF(ISBLANK(Instructions!I374),"",Instructions!I374)</f>
        <v>45646</v>
      </c>
      <c r="F367" t="str">
        <f>IF(ISBLANK(Instructions!J374),"",Instructions!J374)</f>
        <v>Erica Williams</v>
      </c>
      <c r="G367" s="1" t="str">
        <f>IF(ISBLANK(Instructions!K374),"",Instructions!K374)</f>
        <v/>
      </c>
      <c r="H367" t="str">
        <f>IF(ISBLANK(Instructions!L374),"",Instructions!L374)</f>
        <v/>
      </c>
      <c r="I367" t="str">
        <f t="shared" si="14"/>
        <v>NULL</v>
      </c>
      <c r="J367" t="str">
        <f t="shared" si="14"/>
        <v>NULL</v>
      </c>
      <c r="K367" t="str">
        <f>Instructions!M374</f>
        <v>Added via SMSS</v>
      </c>
      <c r="L367" t="str">
        <f t="shared" si="12"/>
        <v>NULL</v>
      </c>
    </row>
    <row r="368" spans="1:12" x14ac:dyDescent="0.25">
      <c r="A368" t="str" cm="1">
        <f t="array" ref="A368">_xlfn.CONCAT(Instructions!C375,Instructions!A375,"_",TEXT(Instructions!B375,"YYYYMMDD"),"_1_",INDEX(Table1[], MATCH(1,(Table1[Estuary]=Instructions!C375)*(Table1[StationNumber]=Instructions!D375)*(Instructions!B375&gt;Table1[StartDate])*(Instructions!B375&lt;Table1[EndDate]),0),1),"_1_",Instructions!E375,"_",Instructions!F375)</f>
        <v>TBSRVY_20190924_1_0291_1_08_017</v>
      </c>
      <c r="B368" t="str" cm="1">
        <f t="array" ref="B368">_xlfn.CONCAT(Instructions!C375,Instructions!A375,"_",TEXT(Instructions!B375,"YYYYMMDD"),"_1_",INDEX(Table1[], MATCH(1,(Table1[Estuary]=Instructions!C375)*(Table1[StationNumber]=Instructions!D375)*(Instructions!B375&gt;Table1[StartDate])*(Instructions!B375&lt;Table1[EndDate]),0),1),"_1_",Instructions!E375)</f>
        <v>TBSRVY_20190924_1_0291_1_08</v>
      </c>
      <c r="C368">
        <f>Instructions!G375</f>
        <v>11</v>
      </c>
      <c r="D368" t="str">
        <f>IF(ISBLANK(Instructions!H375),"",Instructions!H375)</f>
        <v>Entered</v>
      </c>
      <c r="E368" s="1">
        <f>IF(ISBLANK(Instructions!I375),"",Instructions!I375)</f>
        <v>45646</v>
      </c>
      <c r="F368" t="str">
        <f>IF(ISBLANK(Instructions!J375),"",Instructions!J375)</f>
        <v>Erica Williams</v>
      </c>
      <c r="G368" s="1" t="str">
        <f>IF(ISBLANK(Instructions!K375),"",Instructions!K375)</f>
        <v/>
      </c>
      <c r="H368" t="str">
        <f>IF(ISBLANK(Instructions!L375),"",Instructions!L375)</f>
        <v/>
      </c>
      <c r="I368" t="str">
        <f t="shared" si="14"/>
        <v>NULL</v>
      </c>
      <c r="J368" t="str">
        <f t="shared" si="14"/>
        <v>NULL</v>
      </c>
      <c r="K368" t="str">
        <f>Instructions!M375</f>
        <v>Added via SMSS</v>
      </c>
      <c r="L368" t="str">
        <f t="shared" si="12"/>
        <v>NULL</v>
      </c>
    </row>
    <row r="369" spans="1:12" x14ac:dyDescent="0.25">
      <c r="A369" t="str" cm="1">
        <f t="array" ref="A369">_xlfn.CONCAT(Instructions!C376,Instructions!A376,"_",TEXT(Instructions!B376,"YYYYMMDD"),"_1_",INDEX(Table1[], MATCH(1,(Table1[Estuary]=Instructions!C376)*(Table1[StationNumber]=Instructions!D376)*(Instructions!B376&gt;Table1[StartDate])*(Instructions!B376&lt;Table1[EndDate]),0),1),"_1_",Instructions!E376,"_",Instructions!F376)</f>
        <v>TBSRVY_20190924_1_0291_1_08_018</v>
      </c>
      <c r="B369" t="str" cm="1">
        <f t="array" ref="B369">_xlfn.CONCAT(Instructions!C376,Instructions!A376,"_",TEXT(Instructions!B376,"YYYYMMDD"),"_1_",INDEX(Table1[], MATCH(1,(Table1[Estuary]=Instructions!C376)*(Table1[StationNumber]=Instructions!D376)*(Instructions!B376&gt;Table1[StartDate])*(Instructions!B376&lt;Table1[EndDate]),0),1),"_1_",Instructions!E376)</f>
        <v>TBSRVY_20190924_1_0291_1_08</v>
      </c>
      <c r="C369">
        <f>Instructions!G376</f>
        <v>36</v>
      </c>
      <c r="D369" t="str">
        <f>IF(ISBLANK(Instructions!H376),"",Instructions!H376)</f>
        <v>Entered</v>
      </c>
      <c r="E369" s="1">
        <f>IF(ISBLANK(Instructions!I376),"",Instructions!I376)</f>
        <v>45646</v>
      </c>
      <c r="F369" t="str">
        <f>IF(ISBLANK(Instructions!J376),"",Instructions!J376)</f>
        <v>Erica Williams</v>
      </c>
      <c r="G369" s="1" t="str">
        <f>IF(ISBLANK(Instructions!K376),"",Instructions!K376)</f>
        <v/>
      </c>
      <c r="H369" t="str">
        <f>IF(ISBLANK(Instructions!L376),"",Instructions!L376)</f>
        <v/>
      </c>
      <c r="I369" t="str">
        <f t="shared" si="14"/>
        <v>NULL</v>
      </c>
      <c r="J369" t="str">
        <f t="shared" si="14"/>
        <v>NULL</v>
      </c>
      <c r="K369" t="str">
        <f>Instructions!M376</f>
        <v>Added via SMSS</v>
      </c>
      <c r="L369" t="str">
        <f t="shared" si="12"/>
        <v>NULL</v>
      </c>
    </row>
    <row r="370" spans="1:12" x14ac:dyDescent="0.25">
      <c r="A370" t="str" cm="1">
        <f t="array" ref="A370">_xlfn.CONCAT(Instructions!C377,Instructions!A377,"_",TEXT(Instructions!B377,"YYYYMMDD"),"_1_",INDEX(Table1[], MATCH(1,(Table1[Estuary]=Instructions!C377)*(Table1[StationNumber]=Instructions!D377)*(Instructions!B377&gt;Table1[StartDate])*(Instructions!B377&lt;Table1[EndDate]),0),1),"_1_",Instructions!E377,"_",Instructions!F377)</f>
        <v>TBSRVY_20190924_1_0291_1_08_019</v>
      </c>
      <c r="B370" t="str" cm="1">
        <f t="array" ref="B370">_xlfn.CONCAT(Instructions!C377,Instructions!A377,"_",TEXT(Instructions!B377,"YYYYMMDD"),"_1_",INDEX(Table1[], MATCH(1,(Table1[Estuary]=Instructions!C377)*(Table1[StationNumber]=Instructions!D377)*(Instructions!B377&gt;Table1[StartDate])*(Instructions!B377&lt;Table1[EndDate]),0),1),"_1_",Instructions!E377)</f>
        <v>TBSRVY_20190924_1_0291_1_08</v>
      </c>
      <c r="C370">
        <f>Instructions!G377</f>
        <v>11</v>
      </c>
      <c r="D370" t="str">
        <f>IF(ISBLANK(Instructions!H377),"",Instructions!H377)</f>
        <v>Entered</v>
      </c>
      <c r="E370" s="1">
        <f>IF(ISBLANK(Instructions!I377),"",Instructions!I377)</f>
        <v>45646</v>
      </c>
      <c r="F370" t="str">
        <f>IF(ISBLANK(Instructions!J377),"",Instructions!J377)</f>
        <v>Erica Williams</v>
      </c>
      <c r="G370" s="1" t="str">
        <f>IF(ISBLANK(Instructions!K377),"",Instructions!K377)</f>
        <v/>
      </c>
      <c r="H370" t="str">
        <f>IF(ISBLANK(Instructions!L377),"",Instructions!L377)</f>
        <v/>
      </c>
      <c r="I370" t="str">
        <f t="shared" si="14"/>
        <v>NULL</v>
      </c>
      <c r="J370" t="str">
        <f t="shared" si="14"/>
        <v>NULL</v>
      </c>
      <c r="K370" t="str">
        <f>Instructions!M377</f>
        <v>Added via SMSS</v>
      </c>
      <c r="L370" t="str">
        <f t="shared" si="12"/>
        <v>NULL</v>
      </c>
    </row>
    <row r="371" spans="1:12" x14ac:dyDescent="0.25">
      <c r="A371" t="str" cm="1">
        <f t="array" ref="A371">_xlfn.CONCAT(Instructions!C378,Instructions!A378,"_",TEXT(Instructions!B378,"YYYYMMDD"),"_1_",INDEX(Table1[], MATCH(1,(Table1[Estuary]=Instructions!C378)*(Table1[StationNumber]=Instructions!D378)*(Instructions!B378&gt;Table1[StartDate])*(Instructions!B378&lt;Table1[EndDate]),0),1),"_1_",Instructions!E378,"_",Instructions!F378)</f>
        <v>TBSRVY_20190924_1_0291_1_08_020</v>
      </c>
      <c r="B371" t="str" cm="1">
        <f t="array" ref="B371">_xlfn.CONCAT(Instructions!C378,Instructions!A378,"_",TEXT(Instructions!B378,"YYYYMMDD"),"_1_",INDEX(Table1[], MATCH(1,(Table1[Estuary]=Instructions!C378)*(Table1[StationNumber]=Instructions!D378)*(Instructions!B378&gt;Table1[StartDate])*(Instructions!B378&lt;Table1[EndDate]),0),1),"_1_",Instructions!E378)</f>
        <v>TBSRVY_20190924_1_0291_1_08</v>
      </c>
      <c r="C371">
        <f>Instructions!G378</f>
        <v>30</v>
      </c>
      <c r="D371" t="str">
        <f>IF(ISBLANK(Instructions!H378),"",Instructions!H378)</f>
        <v>Entered</v>
      </c>
      <c r="E371" s="1">
        <f>IF(ISBLANK(Instructions!I378),"",Instructions!I378)</f>
        <v>45646</v>
      </c>
      <c r="F371" t="str">
        <f>IF(ISBLANK(Instructions!J378),"",Instructions!J378)</f>
        <v>Erica Williams</v>
      </c>
      <c r="G371" s="1" t="str">
        <f>IF(ISBLANK(Instructions!K378),"",Instructions!K378)</f>
        <v/>
      </c>
      <c r="H371" t="str">
        <f>IF(ISBLANK(Instructions!L378),"",Instructions!L378)</f>
        <v/>
      </c>
      <c r="I371" t="str">
        <f t="shared" si="14"/>
        <v>NULL</v>
      </c>
      <c r="J371" t="str">
        <f t="shared" si="14"/>
        <v>NULL</v>
      </c>
      <c r="K371" t="str">
        <f>Instructions!M378</f>
        <v>Added via SMSS</v>
      </c>
      <c r="L371" t="str">
        <f t="shared" si="12"/>
        <v>NULL</v>
      </c>
    </row>
    <row r="372" spans="1:12" x14ac:dyDescent="0.25">
      <c r="A372" t="str" cm="1">
        <f t="array" ref="A372">_xlfn.CONCAT(Instructions!C379,Instructions!A379,"_",TEXT(Instructions!B379,"YYYYMMDD"),"_1_",INDEX(Table1[], MATCH(1,(Table1[Estuary]=Instructions!C379)*(Table1[StationNumber]=Instructions!D379)*(Instructions!B379&gt;Table1[StartDate])*(Instructions!B379&lt;Table1[EndDate]),0),1),"_1_",Instructions!E379,"_",Instructions!F379)</f>
        <v>TBSRVY_20190924_1_0291_1_08_021</v>
      </c>
      <c r="B372" t="str" cm="1">
        <f t="array" ref="B372">_xlfn.CONCAT(Instructions!C379,Instructions!A379,"_",TEXT(Instructions!B379,"YYYYMMDD"),"_1_",INDEX(Table1[], MATCH(1,(Table1[Estuary]=Instructions!C379)*(Table1[StationNumber]=Instructions!D379)*(Instructions!B379&gt;Table1[StartDate])*(Instructions!B379&lt;Table1[EndDate]),0),1),"_1_",Instructions!E379)</f>
        <v>TBSRVY_20190924_1_0291_1_08</v>
      </c>
      <c r="C372">
        <f>Instructions!G379</f>
        <v>5</v>
      </c>
      <c r="D372" t="str">
        <f>IF(ISBLANK(Instructions!H379),"",Instructions!H379)</f>
        <v>Entered</v>
      </c>
      <c r="E372" s="1">
        <f>IF(ISBLANK(Instructions!I379),"",Instructions!I379)</f>
        <v>45646</v>
      </c>
      <c r="F372" t="str">
        <f>IF(ISBLANK(Instructions!J379),"",Instructions!J379)</f>
        <v>Erica Williams</v>
      </c>
      <c r="G372" s="1" t="str">
        <f>IF(ISBLANK(Instructions!K379),"",Instructions!K379)</f>
        <v/>
      </c>
      <c r="H372" t="str">
        <f>IF(ISBLANK(Instructions!L379),"",Instructions!L379)</f>
        <v/>
      </c>
      <c r="I372" t="str">
        <f t="shared" si="14"/>
        <v>NULL</v>
      </c>
      <c r="J372" t="str">
        <f t="shared" si="14"/>
        <v>NULL</v>
      </c>
      <c r="K372" t="str">
        <f>Instructions!M379</f>
        <v>Added via SMSS</v>
      </c>
      <c r="L372" t="str">
        <f t="shared" si="12"/>
        <v>NULL</v>
      </c>
    </row>
    <row r="373" spans="1:12" x14ac:dyDescent="0.25">
      <c r="A373" t="str" cm="1">
        <f t="array" ref="A373">_xlfn.CONCAT(Instructions!C380,Instructions!A380,"_",TEXT(Instructions!B380,"YYYYMMDD"),"_1_",INDEX(Table1[], MATCH(1,(Table1[Estuary]=Instructions!C380)*(Table1[StationNumber]=Instructions!D380)*(Instructions!B380&gt;Table1[StartDate])*(Instructions!B380&lt;Table1[EndDate]),0),1),"_1_",Instructions!E380,"_",Instructions!F380)</f>
        <v>TBSRVY_20190924_1_0291_1_08_022</v>
      </c>
      <c r="B373" t="str" cm="1">
        <f t="array" ref="B373">_xlfn.CONCAT(Instructions!C380,Instructions!A380,"_",TEXT(Instructions!B380,"YYYYMMDD"),"_1_",INDEX(Table1[], MATCH(1,(Table1[Estuary]=Instructions!C380)*(Table1[StationNumber]=Instructions!D380)*(Instructions!B380&gt;Table1[StartDate])*(Instructions!B380&lt;Table1[EndDate]),0),1),"_1_",Instructions!E380)</f>
        <v>TBSRVY_20190924_1_0291_1_08</v>
      </c>
      <c r="C373">
        <f>Instructions!G380</f>
        <v>4</v>
      </c>
      <c r="D373" t="str">
        <f>IF(ISBLANK(Instructions!H380),"",Instructions!H380)</f>
        <v>Entered</v>
      </c>
      <c r="E373" s="1">
        <f>IF(ISBLANK(Instructions!I380),"",Instructions!I380)</f>
        <v>45646</v>
      </c>
      <c r="F373" t="str">
        <f>IF(ISBLANK(Instructions!J380),"",Instructions!J380)</f>
        <v>Erica Williams</v>
      </c>
      <c r="G373" s="1" t="str">
        <f>IF(ISBLANK(Instructions!K380),"",Instructions!K380)</f>
        <v/>
      </c>
      <c r="H373" t="str">
        <f>IF(ISBLANK(Instructions!L380),"",Instructions!L380)</f>
        <v/>
      </c>
      <c r="I373" t="str">
        <f t="shared" si="14"/>
        <v>NULL</v>
      </c>
      <c r="J373" t="str">
        <f t="shared" si="14"/>
        <v>NULL</v>
      </c>
      <c r="K373" t="str">
        <f>Instructions!M380</f>
        <v>Added via SMSS</v>
      </c>
      <c r="L373" t="str">
        <f t="shared" si="12"/>
        <v>NULL</v>
      </c>
    </row>
    <row r="374" spans="1:12" x14ac:dyDescent="0.25">
      <c r="A374" t="str" cm="1">
        <f t="array" ref="A374">_xlfn.CONCAT(Instructions!C381,Instructions!A381,"_",TEXT(Instructions!B381,"YYYYMMDD"),"_1_",INDEX(Table1[], MATCH(1,(Table1[Estuary]=Instructions!C381)*(Table1[StationNumber]=Instructions!D381)*(Instructions!B381&gt;Table1[StartDate])*(Instructions!B381&lt;Table1[EndDate]),0),1),"_1_",Instructions!E381,"_",Instructions!F381)</f>
        <v>TBSRVY_20190924_1_0291_1_08_023</v>
      </c>
      <c r="B374" t="str" cm="1">
        <f t="array" ref="B374">_xlfn.CONCAT(Instructions!C381,Instructions!A381,"_",TEXT(Instructions!B381,"YYYYMMDD"),"_1_",INDEX(Table1[], MATCH(1,(Table1[Estuary]=Instructions!C381)*(Table1[StationNumber]=Instructions!D381)*(Instructions!B381&gt;Table1[StartDate])*(Instructions!B381&lt;Table1[EndDate]),0),1),"_1_",Instructions!E381)</f>
        <v>TBSRVY_20190924_1_0291_1_08</v>
      </c>
      <c r="C374">
        <f>Instructions!G381</f>
        <v>12</v>
      </c>
      <c r="D374" t="str">
        <f>IF(ISBLANK(Instructions!H381),"",Instructions!H381)</f>
        <v>Entered</v>
      </c>
      <c r="E374" s="1">
        <f>IF(ISBLANK(Instructions!I381),"",Instructions!I381)</f>
        <v>45646</v>
      </c>
      <c r="F374" t="str">
        <f>IF(ISBLANK(Instructions!J381),"",Instructions!J381)</f>
        <v>Erica Williams</v>
      </c>
      <c r="G374" s="1" t="str">
        <f>IF(ISBLANK(Instructions!K381),"",Instructions!K381)</f>
        <v/>
      </c>
      <c r="H374" t="str">
        <f>IF(ISBLANK(Instructions!L381),"",Instructions!L381)</f>
        <v/>
      </c>
      <c r="I374" t="str">
        <f t="shared" si="14"/>
        <v>NULL</v>
      </c>
      <c r="J374" t="str">
        <f t="shared" si="14"/>
        <v>NULL</v>
      </c>
      <c r="K374" t="str">
        <f>Instructions!M381</f>
        <v>Added via SMSS</v>
      </c>
      <c r="L374" t="str">
        <f t="shared" si="12"/>
        <v>NULL</v>
      </c>
    </row>
    <row r="375" spans="1:12" x14ac:dyDescent="0.25">
      <c r="A375" t="str" cm="1">
        <f t="array" ref="A375">_xlfn.CONCAT(Instructions!C382,Instructions!A382,"_",TEXT(Instructions!B382,"YYYYMMDD"),"_1_",INDEX(Table1[], MATCH(1,(Table1[Estuary]=Instructions!C382)*(Table1[StationNumber]=Instructions!D382)*(Instructions!B382&gt;Table1[StartDate])*(Instructions!B382&lt;Table1[EndDate]),0),1),"_1_",Instructions!E382,"_",Instructions!F382)</f>
        <v>TBSRVY_20190924_1_0291_1_08_024</v>
      </c>
      <c r="B375" t="str" cm="1">
        <f t="array" ref="B375">_xlfn.CONCAT(Instructions!C382,Instructions!A382,"_",TEXT(Instructions!B382,"YYYYMMDD"),"_1_",INDEX(Table1[], MATCH(1,(Table1[Estuary]=Instructions!C382)*(Table1[StationNumber]=Instructions!D382)*(Instructions!B382&gt;Table1[StartDate])*(Instructions!B382&lt;Table1[EndDate]),0),1),"_1_",Instructions!E382)</f>
        <v>TBSRVY_20190924_1_0291_1_08</v>
      </c>
      <c r="C375">
        <f>Instructions!G382</f>
        <v>5</v>
      </c>
      <c r="D375" t="str">
        <f>IF(ISBLANK(Instructions!H382),"",Instructions!H382)</f>
        <v>Entered</v>
      </c>
      <c r="E375" s="1">
        <f>IF(ISBLANK(Instructions!I382),"",Instructions!I382)</f>
        <v>45646</v>
      </c>
      <c r="F375" t="str">
        <f>IF(ISBLANK(Instructions!J382),"",Instructions!J382)</f>
        <v>Erica Williams</v>
      </c>
      <c r="G375" s="1" t="str">
        <f>IF(ISBLANK(Instructions!K382),"",Instructions!K382)</f>
        <v/>
      </c>
      <c r="H375" t="str">
        <f>IF(ISBLANK(Instructions!L382),"",Instructions!L382)</f>
        <v/>
      </c>
      <c r="I375" t="str">
        <f t="shared" si="14"/>
        <v>NULL</v>
      </c>
      <c r="J375" t="str">
        <f t="shared" si="14"/>
        <v>NULL</v>
      </c>
      <c r="K375" t="str">
        <f>Instructions!M382</f>
        <v>Added via SMSS</v>
      </c>
      <c r="L375" t="str">
        <f t="shared" si="12"/>
        <v>NULL</v>
      </c>
    </row>
    <row r="376" spans="1:12" x14ac:dyDescent="0.25">
      <c r="A376" t="str" cm="1">
        <f t="array" ref="A376">_xlfn.CONCAT(Instructions!C383,Instructions!A383,"_",TEXT(Instructions!B383,"YYYYMMDD"),"_1_",INDEX(Table1[], MATCH(1,(Table1[Estuary]=Instructions!C383)*(Table1[StationNumber]=Instructions!D383)*(Instructions!B383&gt;Table1[StartDate])*(Instructions!B383&lt;Table1[EndDate]),0),1),"_1_",Instructions!E383,"_",Instructions!F383)</f>
        <v>TBSRVY_20190924_1_0291_1_08_025</v>
      </c>
      <c r="B376" t="str" cm="1">
        <f t="array" ref="B376">_xlfn.CONCAT(Instructions!C383,Instructions!A383,"_",TEXT(Instructions!B383,"YYYYMMDD"),"_1_",INDEX(Table1[], MATCH(1,(Table1[Estuary]=Instructions!C383)*(Table1[StationNumber]=Instructions!D383)*(Instructions!B383&gt;Table1[StartDate])*(Instructions!B383&lt;Table1[EndDate]),0),1),"_1_",Instructions!E383)</f>
        <v>TBSRVY_20190924_1_0291_1_08</v>
      </c>
      <c r="C376">
        <f>Instructions!G383</f>
        <v>21</v>
      </c>
      <c r="D376" t="str">
        <f>IF(ISBLANK(Instructions!H383),"",Instructions!H383)</f>
        <v>Entered</v>
      </c>
      <c r="E376" s="1">
        <f>IF(ISBLANK(Instructions!I383),"",Instructions!I383)</f>
        <v>45646</v>
      </c>
      <c r="F376" t="str">
        <f>IF(ISBLANK(Instructions!J383),"",Instructions!J383)</f>
        <v>Erica Williams</v>
      </c>
      <c r="G376" s="1" t="str">
        <f>IF(ISBLANK(Instructions!K383),"",Instructions!K383)</f>
        <v/>
      </c>
      <c r="H376" t="str">
        <f>IF(ISBLANK(Instructions!L383),"",Instructions!L383)</f>
        <v/>
      </c>
      <c r="I376" t="str">
        <f t="shared" si="14"/>
        <v>NULL</v>
      </c>
      <c r="J376" t="str">
        <f t="shared" si="14"/>
        <v>NULL</v>
      </c>
      <c r="K376" t="str">
        <f>Instructions!M383</f>
        <v>Added via SMSS</v>
      </c>
      <c r="L376" t="str">
        <f t="shared" si="12"/>
        <v>NULL</v>
      </c>
    </row>
    <row r="377" spans="1:12" x14ac:dyDescent="0.25">
      <c r="A377" t="str" cm="1">
        <f t="array" ref="A377">_xlfn.CONCAT(Instructions!C384,Instructions!A384,"_",TEXT(Instructions!B384,"YYYYMMDD"),"_1_",INDEX(Table1[], MATCH(1,(Table1[Estuary]=Instructions!C384)*(Table1[StationNumber]=Instructions!D384)*(Instructions!B384&gt;Table1[StartDate])*(Instructions!B384&lt;Table1[EndDate]),0),1),"_1_",Instructions!E384,"_",Instructions!F384)</f>
        <v>TBSRVY_20190924_1_0291_1_08_026</v>
      </c>
      <c r="B377" t="str" cm="1">
        <f t="array" ref="B377">_xlfn.CONCAT(Instructions!C384,Instructions!A384,"_",TEXT(Instructions!B384,"YYYYMMDD"),"_1_",INDEX(Table1[], MATCH(1,(Table1[Estuary]=Instructions!C384)*(Table1[StationNumber]=Instructions!D384)*(Instructions!B384&gt;Table1[StartDate])*(Instructions!B384&lt;Table1[EndDate]),0),1),"_1_",Instructions!E384)</f>
        <v>TBSRVY_20190924_1_0291_1_08</v>
      </c>
      <c r="C377">
        <f>Instructions!G384</f>
        <v>27</v>
      </c>
      <c r="D377" t="str">
        <f>IF(ISBLANK(Instructions!H384),"",Instructions!H384)</f>
        <v>Entered</v>
      </c>
      <c r="E377" s="1">
        <f>IF(ISBLANK(Instructions!I384),"",Instructions!I384)</f>
        <v>45646</v>
      </c>
      <c r="F377" t="str">
        <f>IF(ISBLANK(Instructions!J384),"",Instructions!J384)</f>
        <v>Erica Williams</v>
      </c>
      <c r="G377" s="1" t="str">
        <f>IF(ISBLANK(Instructions!K384),"",Instructions!K384)</f>
        <v/>
      </c>
      <c r="H377" t="str">
        <f>IF(ISBLANK(Instructions!L384),"",Instructions!L384)</f>
        <v/>
      </c>
      <c r="I377" t="str">
        <f t="shared" si="14"/>
        <v>NULL</v>
      </c>
      <c r="J377" t="str">
        <f t="shared" si="14"/>
        <v>NULL</v>
      </c>
      <c r="K377" t="str">
        <f>Instructions!M384</f>
        <v>Added via SMSS</v>
      </c>
      <c r="L377" t="str">
        <f t="shared" si="12"/>
        <v>NULL</v>
      </c>
    </row>
    <row r="378" spans="1:12" x14ac:dyDescent="0.25">
      <c r="A378" t="str" cm="1">
        <f t="array" ref="A378">_xlfn.CONCAT(Instructions!C385,Instructions!A385,"_",TEXT(Instructions!B385,"YYYYMMDD"),"_1_",INDEX(Table1[], MATCH(1,(Table1[Estuary]=Instructions!C385)*(Table1[StationNumber]=Instructions!D385)*(Instructions!B385&gt;Table1[StartDate])*(Instructions!B385&lt;Table1[EndDate]),0),1),"_1_",Instructions!E385,"_",Instructions!F385)</f>
        <v>TBSRVY_20190924_1_0291_1_08_027</v>
      </c>
      <c r="B378" t="str" cm="1">
        <f t="array" ref="B378">_xlfn.CONCAT(Instructions!C385,Instructions!A385,"_",TEXT(Instructions!B385,"YYYYMMDD"),"_1_",INDEX(Table1[], MATCH(1,(Table1[Estuary]=Instructions!C385)*(Table1[StationNumber]=Instructions!D385)*(Instructions!B385&gt;Table1[StartDate])*(Instructions!B385&lt;Table1[EndDate]),0),1),"_1_",Instructions!E385)</f>
        <v>TBSRVY_20190924_1_0291_1_08</v>
      </c>
      <c r="C378">
        <f>Instructions!G385</f>
        <v>15</v>
      </c>
      <c r="D378" t="str">
        <f>IF(ISBLANK(Instructions!H385),"",Instructions!H385)</f>
        <v>Entered</v>
      </c>
      <c r="E378" s="1">
        <f>IF(ISBLANK(Instructions!I385),"",Instructions!I385)</f>
        <v>45646</v>
      </c>
      <c r="F378" t="str">
        <f>IF(ISBLANK(Instructions!J385),"",Instructions!J385)</f>
        <v>Erica Williams</v>
      </c>
      <c r="G378" s="1" t="str">
        <f>IF(ISBLANK(Instructions!K385),"",Instructions!K385)</f>
        <v/>
      </c>
      <c r="H378" t="str">
        <f>IF(ISBLANK(Instructions!L385),"",Instructions!L385)</f>
        <v/>
      </c>
      <c r="I378" t="str">
        <f t="shared" si="14"/>
        <v>NULL</v>
      </c>
      <c r="J378" t="str">
        <f t="shared" si="14"/>
        <v>NULL</v>
      </c>
      <c r="K378" t="str">
        <f>Instructions!M385</f>
        <v>Added via SMSS</v>
      </c>
      <c r="L378" t="str">
        <f t="shared" si="12"/>
        <v>NULL</v>
      </c>
    </row>
    <row r="379" spans="1:12" x14ac:dyDescent="0.25">
      <c r="A379" t="str" cm="1">
        <f t="array" ref="A379">_xlfn.CONCAT(Instructions!C386,Instructions!A386,"_",TEXT(Instructions!B386,"YYYYMMDD"),"_1_",INDEX(Table1[], MATCH(1,(Table1[Estuary]=Instructions!C386)*(Table1[StationNumber]=Instructions!D386)*(Instructions!B386&gt;Table1[StartDate])*(Instructions!B386&lt;Table1[EndDate]),0),1),"_1_",Instructions!E386,"_",Instructions!F386)</f>
        <v>TBSRVY_20190924_1_0291_1_08_028</v>
      </c>
      <c r="B379" t="str" cm="1">
        <f t="array" ref="B379">_xlfn.CONCAT(Instructions!C386,Instructions!A386,"_",TEXT(Instructions!B386,"YYYYMMDD"),"_1_",INDEX(Table1[], MATCH(1,(Table1[Estuary]=Instructions!C386)*(Table1[StationNumber]=Instructions!D386)*(Instructions!B386&gt;Table1[StartDate])*(Instructions!B386&lt;Table1[EndDate]),0),1),"_1_",Instructions!E386)</f>
        <v>TBSRVY_20190924_1_0291_1_08</v>
      </c>
      <c r="C379">
        <f>Instructions!G386</f>
        <v>18</v>
      </c>
      <c r="D379" t="str">
        <f>IF(ISBLANK(Instructions!H386),"",Instructions!H386)</f>
        <v>Entered</v>
      </c>
      <c r="E379" s="1">
        <f>IF(ISBLANK(Instructions!I386),"",Instructions!I386)</f>
        <v>45646</v>
      </c>
      <c r="F379" t="str">
        <f>IF(ISBLANK(Instructions!J386),"",Instructions!J386)</f>
        <v>Erica Williams</v>
      </c>
      <c r="G379" s="1" t="str">
        <f>IF(ISBLANK(Instructions!K386),"",Instructions!K386)</f>
        <v/>
      </c>
      <c r="H379" t="str">
        <f>IF(ISBLANK(Instructions!L386),"",Instructions!L386)</f>
        <v/>
      </c>
      <c r="I379" t="str">
        <f t="shared" si="14"/>
        <v>NULL</v>
      </c>
      <c r="J379" t="str">
        <f t="shared" si="14"/>
        <v>NULL</v>
      </c>
      <c r="K379" t="str">
        <f>Instructions!M386</f>
        <v>Added via SMSS</v>
      </c>
      <c r="L379" t="str">
        <f t="shared" si="12"/>
        <v>NULL</v>
      </c>
    </row>
    <row r="380" spans="1:12" x14ac:dyDescent="0.25">
      <c r="A380" t="str" cm="1">
        <f t="array" ref="A380">_xlfn.CONCAT(Instructions!C387,Instructions!A387,"_",TEXT(Instructions!B387,"YYYYMMDD"),"_1_",INDEX(Table1[], MATCH(1,(Table1[Estuary]=Instructions!C387)*(Table1[StationNumber]=Instructions!D387)*(Instructions!B387&gt;Table1[StartDate])*(Instructions!B387&lt;Table1[EndDate]),0),1),"_1_",Instructions!E387,"_",Instructions!F387)</f>
        <v>TBSRVY_20190924_1_0291_1_08_029</v>
      </c>
      <c r="B380" t="str" cm="1">
        <f t="array" ref="B380">_xlfn.CONCAT(Instructions!C387,Instructions!A387,"_",TEXT(Instructions!B387,"YYYYMMDD"),"_1_",INDEX(Table1[], MATCH(1,(Table1[Estuary]=Instructions!C387)*(Table1[StationNumber]=Instructions!D387)*(Instructions!B387&gt;Table1[StartDate])*(Instructions!B387&lt;Table1[EndDate]),0),1),"_1_",Instructions!E387)</f>
        <v>TBSRVY_20190924_1_0291_1_08</v>
      </c>
      <c r="C380">
        <f>Instructions!G387</f>
        <v>33</v>
      </c>
      <c r="D380" t="str">
        <f>IF(ISBLANK(Instructions!H387),"",Instructions!H387)</f>
        <v>Entered</v>
      </c>
      <c r="E380" s="1">
        <f>IF(ISBLANK(Instructions!I387),"",Instructions!I387)</f>
        <v>45646</v>
      </c>
      <c r="F380" t="str">
        <f>IF(ISBLANK(Instructions!J387),"",Instructions!J387)</f>
        <v>Erica Williams</v>
      </c>
      <c r="G380" s="1" t="str">
        <f>IF(ISBLANK(Instructions!K387),"",Instructions!K387)</f>
        <v/>
      </c>
      <c r="H380" t="str">
        <f>IF(ISBLANK(Instructions!L387),"",Instructions!L387)</f>
        <v/>
      </c>
      <c r="I380" t="str">
        <f t="shared" si="14"/>
        <v>NULL</v>
      </c>
      <c r="J380" t="str">
        <f t="shared" si="14"/>
        <v>NULL</v>
      </c>
      <c r="K380" t="str">
        <f>Instructions!M387</f>
        <v>Added via SMSS</v>
      </c>
      <c r="L380" t="str">
        <f t="shared" si="12"/>
        <v>NULL</v>
      </c>
    </row>
    <row r="381" spans="1:12" x14ac:dyDescent="0.25">
      <c r="A381" t="str" cm="1">
        <f t="array" ref="A381">_xlfn.CONCAT(Instructions!C388,Instructions!A388,"_",TEXT(Instructions!B388,"YYYYMMDD"),"_1_",INDEX(Table1[], MATCH(1,(Table1[Estuary]=Instructions!C388)*(Table1[StationNumber]=Instructions!D388)*(Instructions!B388&gt;Table1[StartDate])*(Instructions!B388&lt;Table1[EndDate]),0),1),"_1_",Instructions!E388,"_",Instructions!F388)</f>
        <v>TBSRVY_20190924_1_0291_1_08_030</v>
      </c>
      <c r="B381" t="str" cm="1">
        <f t="array" ref="B381">_xlfn.CONCAT(Instructions!C388,Instructions!A388,"_",TEXT(Instructions!B388,"YYYYMMDD"),"_1_",INDEX(Table1[], MATCH(1,(Table1[Estuary]=Instructions!C388)*(Table1[StationNumber]=Instructions!D388)*(Instructions!B388&gt;Table1[StartDate])*(Instructions!B388&lt;Table1[EndDate]),0),1),"_1_",Instructions!E388)</f>
        <v>TBSRVY_20190924_1_0291_1_08</v>
      </c>
      <c r="C381">
        <f>Instructions!G388</f>
        <v>22</v>
      </c>
      <c r="D381" t="str">
        <f>IF(ISBLANK(Instructions!H388),"",Instructions!H388)</f>
        <v>Entered</v>
      </c>
      <c r="E381" s="1">
        <f>IF(ISBLANK(Instructions!I388),"",Instructions!I388)</f>
        <v>45646</v>
      </c>
      <c r="F381" t="str">
        <f>IF(ISBLANK(Instructions!J388),"",Instructions!J388)</f>
        <v>Erica Williams</v>
      </c>
      <c r="G381" s="1" t="str">
        <f>IF(ISBLANK(Instructions!K388),"",Instructions!K388)</f>
        <v/>
      </c>
      <c r="H381" t="str">
        <f>IF(ISBLANK(Instructions!L388),"",Instructions!L388)</f>
        <v/>
      </c>
      <c r="I381" t="str">
        <f t="shared" si="14"/>
        <v>NULL</v>
      </c>
      <c r="J381" t="str">
        <f t="shared" si="14"/>
        <v>NULL</v>
      </c>
      <c r="K381" t="str">
        <f>Instructions!M388</f>
        <v>Added via SMSS</v>
      </c>
      <c r="L381" t="str">
        <f t="shared" si="12"/>
        <v>NULL</v>
      </c>
    </row>
    <row r="382" spans="1:12" x14ac:dyDescent="0.25">
      <c r="A382" t="str" cm="1">
        <f t="array" ref="A382">_xlfn.CONCAT(Instructions!C389,Instructions!A389,"_",TEXT(Instructions!B389,"YYYYMMDD"),"_1_",INDEX(Table1[], MATCH(1,(Table1[Estuary]=Instructions!C389)*(Table1[StationNumber]=Instructions!D389)*(Instructions!B389&gt;Table1[StartDate])*(Instructions!B389&lt;Table1[EndDate]),0),1),"_1_",Instructions!E389,"_",Instructions!F389)</f>
        <v>TBSRVY_20190924_1_0291_1_08_031</v>
      </c>
      <c r="B382" t="str" cm="1">
        <f t="array" ref="B382">_xlfn.CONCAT(Instructions!C389,Instructions!A389,"_",TEXT(Instructions!B389,"YYYYMMDD"),"_1_",INDEX(Table1[], MATCH(1,(Table1[Estuary]=Instructions!C389)*(Table1[StationNumber]=Instructions!D389)*(Instructions!B389&gt;Table1[StartDate])*(Instructions!B389&lt;Table1[EndDate]),0),1),"_1_",Instructions!E389)</f>
        <v>TBSRVY_20190924_1_0291_1_08</v>
      </c>
      <c r="C382">
        <f>Instructions!G389</f>
        <v>17</v>
      </c>
      <c r="D382" t="str">
        <f>IF(ISBLANK(Instructions!H389),"",Instructions!H389)</f>
        <v>Entered</v>
      </c>
      <c r="E382" s="1">
        <f>IF(ISBLANK(Instructions!I389),"",Instructions!I389)</f>
        <v>45646</v>
      </c>
      <c r="F382" t="str">
        <f>IF(ISBLANK(Instructions!J389),"",Instructions!J389)</f>
        <v>Erica Williams</v>
      </c>
      <c r="G382" s="1" t="str">
        <f>IF(ISBLANK(Instructions!K389),"",Instructions!K389)</f>
        <v/>
      </c>
      <c r="H382" t="str">
        <f>IF(ISBLANK(Instructions!L389),"",Instructions!L389)</f>
        <v/>
      </c>
      <c r="I382" t="str">
        <f t="shared" si="14"/>
        <v>NULL</v>
      </c>
      <c r="J382" t="str">
        <f t="shared" si="14"/>
        <v>NULL</v>
      </c>
      <c r="K382" t="str">
        <f>Instructions!M389</f>
        <v>Added via SMSS</v>
      </c>
      <c r="L382" t="str">
        <f t="shared" si="12"/>
        <v>NULL</v>
      </c>
    </row>
    <row r="383" spans="1:12" x14ac:dyDescent="0.25">
      <c r="A383" t="str" cm="1">
        <f t="array" ref="A383">_xlfn.CONCAT(Instructions!C390,Instructions!A390,"_",TEXT(Instructions!B390,"YYYYMMDD"),"_1_",INDEX(Table1[], MATCH(1,(Table1[Estuary]=Instructions!C390)*(Table1[StationNumber]=Instructions!D390)*(Instructions!B390&gt;Table1[StartDate])*(Instructions!B390&lt;Table1[EndDate]),0),1),"_1_",Instructions!E390,"_",Instructions!F390)</f>
        <v>TBSRVY_20190924_1_0291_1_08_032</v>
      </c>
      <c r="B383" t="str" cm="1">
        <f t="array" ref="B383">_xlfn.CONCAT(Instructions!C390,Instructions!A390,"_",TEXT(Instructions!B390,"YYYYMMDD"),"_1_",INDEX(Table1[], MATCH(1,(Table1[Estuary]=Instructions!C390)*(Table1[StationNumber]=Instructions!D390)*(Instructions!B390&gt;Table1[StartDate])*(Instructions!B390&lt;Table1[EndDate]),0),1),"_1_",Instructions!E390)</f>
        <v>TBSRVY_20190924_1_0291_1_08</v>
      </c>
      <c r="C383">
        <f>Instructions!G390</f>
        <v>15</v>
      </c>
      <c r="D383" t="str">
        <f>IF(ISBLANK(Instructions!H390),"",Instructions!H390)</f>
        <v>Entered</v>
      </c>
      <c r="E383" s="1">
        <f>IF(ISBLANK(Instructions!I390),"",Instructions!I390)</f>
        <v>45646</v>
      </c>
      <c r="F383" t="str">
        <f>IF(ISBLANK(Instructions!J390),"",Instructions!J390)</f>
        <v>Erica Williams</v>
      </c>
      <c r="G383" s="1" t="str">
        <f>IF(ISBLANK(Instructions!K390),"",Instructions!K390)</f>
        <v/>
      </c>
      <c r="H383" t="str">
        <f>IF(ISBLANK(Instructions!L390),"",Instructions!L390)</f>
        <v/>
      </c>
      <c r="I383" t="str">
        <f t="shared" si="14"/>
        <v>NULL</v>
      </c>
      <c r="J383" t="str">
        <f t="shared" si="14"/>
        <v>NULL</v>
      </c>
      <c r="K383" t="str">
        <f>Instructions!M390</f>
        <v>Added via SMSS</v>
      </c>
      <c r="L383" t="str">
        <f t="shared" si="12"/>
        <v>NULL</v>
      </c>
    </row>
    <row r="384" spans="1:12" x14ac:dyDescent="0.25">
      <c r="A384" t="str" cm="1">
        <f t="array" ref="A384">_xlfn.CONCAT(Instructions!C391,Instructions!A391,"_",TEXT(Instructions!B391,"YYYYMMDD"),"_1_",INDEX(Table1[], MATCH(1,(Table1[Estuary]=Instructions!C391)*(Table1[StationNumber]=Instructions!D391)*(Instructions!B391&gt;Table1[StartDate])*(Instructions!B391&lt;Table1[EndDate]),0),1),"_1_",Instructions!E391,"_",Instructions!F391)</f>
        <v>TBSRVY_20190924_1_0291_1_08_033</v>
      </c>
      <c r="B384" t="str" cm="1">
        <f t="array" ref="B384">_xlfn.CONCAT(Instructions!C391,Instructions!A391,"_",TEXT(Instructions!B391,"YYYYMMDD"),"_1_",INDEX(Table1[], MATCH(1,(Table1[Estuary]=Instructions!C391)*(Table1[StationNumber]=Instructions!D391)*(Instructions!B391&gt;Table1[StartDate])*(Instructions!B391&lt;Table1[EndDate]),0),1),"_1_",Instructions!E391)</f>
        <v>TBSRVY_20190924_1_0291_1_08</v>
      </c>
      <c r="C384">
        <f>Instructions!G391</f>
        <v>16</v>
      </c>
      <c r="D384" t="str">
        <f>IF(ISBLANK(Instructions!H391),"",Instructions!H391)</f>
        <v>Entered</v>
      </c>
      <c r="E384" s="1">
        <f>IF(ISBLANK(Instructions!I391),"",Instructions!I391)</f>
        <v>45646</v>
      </c>
      <c r="F384" t="str">
        <f>IF(ISBLANK(Instructions!J391),"",Instructions!J391)</f>
        <v>Erica Williams</v>
      </c>
      <c r="G384" s="1" t="str">
        <f>IF(ISBLANK(Instructions!K391),"",Instructions!K391)</f>
        <v/>
      </c>
      <c r="H384" t="str">
        <f>IF(ISBLANK(Instructions!L391),"",Instructions!L391)</f>
        <v/>
      </c>
      <c r="I384" t="str">
        <f t="shared" si="14"/>
        <v>NULL</v>
      </c>
      <c r="J384" t="str">
        <f t="shared" si="14"/>
        <v>NULL</v>
      </c>
      <c r="K384" t="str">
        <f>Instructions!M391</f>
        <v>Added via SMSS</v>
      </c>
      <c r="L384" t="str">
        <f t="shared" si="12"/>
        <v>NULL</v>
      </c>
    </row>
    <row r="385" spans="1:12" x14ac:dyDescent="0.25">
      <c r="A385" t="str" cm="1">
        <f t="array" ref="A385">_xlfn.CONCAT(Instructions!C392,Instructions!A392,"_",TEXT(Instructions!B392,"YYYYMMDD"),"_1_",INDEX(Table1[], MATCH(1,(Table1[Estuary]=Instructions!C392)*(Table1[StationNumber]=Instructions!D392)*(Instructions!B392&gt;Table1[StartDate])*(Instructions!B392&lt;Table1[EndDate]),0),1),"_1_",Instructions!E392,"_",Instructions!F392)</f>
        <v>TBSRVY_20190924_1_0291_1_08_034</v>
      </c>
      <c r="B385" t="str" cm="1">
        <f t="array" ref="B385">_xlfn.CONCAT(Instructions!C392,Instructions!A392,"_",TEXT(Instructions!B392,"YYYYMMDD"),"_1_",INDEX(Table1[], MATCH(1,(Table1[Estuary]=Instructions!C392)*(Table1[StationNumber]=Instructions!D392)*(Instructions!B392&gt;Table1[StartDate])*(Instructions!B392&lt;Table1[EndDate]),0),1),"_1_",Instructions!E392)</f>
        <v>TBSRVY_20190924_1_0291_1_08</v>
      </c>
      <c r="C385">
        <f>Instructions!G392</f>
        <v>12</v>
      </c>
      <c r="D385" t="str">
        <f>IF(ISBLANK(Instructions!H392),"",Instructions!H392)</f>
        <v>Entered</v>
      </c>
      <c r="E385" s="1">
        <f>IF(ISBLANK(Instructions!I392),"",Instructions!I392)</f>
        <v>45646</v>
      </c>
      <c r="F385" t="str">
        <f>IF(ISBLANK(Instructions!J392),"",Instructions!J392)</f>
        <v>Erica Williams</v>
      </c>
      <c r="G385" s="1" t="str">
        <f>IF(ISBLANK(Instructions!K392),"",Instructions!K392)</f>
        <v/>
      </c>
      <c r="H385" t="str">
        <f>IF(ISBLANK(Instructions!L392),"",Instructions!L392)</f>
        <v/>
      </c>
      <c r="I385" t="str">
        <f t="shared" si="14"/>
        <v>NULL</v>
      </c>
      <c r="J385" t="str">
        <f t="shared" si="14"/>
        <v>NULL</v>
      </c>
      <c r="K385" t="str">
        <f>Instructions!M392</f>
        <v>Added via SMSS</v>
      </c>
      <c r="L385" t="str">
        <f t="shared" si="12"/>
        <v>NULL</v>
      </c>
    </row>
    <row r="386" spans="1:12" x14ac:dyDescent="0.25">
      <c r="A386" t="str" cm="1">
        <f t="array" ref="A386">_xlfn.CONCAT(Instructions!C393,Instructions!A393,"_",TEXT(Instructions!B393,"YYYYMMDD"),"_1_",INDEX(Table1[], MATCH(1,(Table1[Estuary]=Instructions!C393)*(Table1[StationNumber]=Instructions!D393)*(Instructions!B393&gt;Table1[StartDate])*(Instructions!B393&lt;Table1[EndDate]),0),1),"_1_",Instructions!E393,"_",Instructions!F393)</f>
        <v>TBSRVY_20190924_1_0291_1_08_035</v>
      </c>
      <c r="B386" t="str" cm="1">
        <f t="array" ref="B386">_xlfn.CONCAT(Instructions!C393,Instructions!A393,"_",TEXT(Instructions!B393,"YYYYMMDD"),"_1_",INDEX(Table1[], MATCH(1,(Table1[Estuary]=Instructions!C393)*(Table1[StationNumber]=Instructions!D393)*(Instructions!B393&gt;Table1[StartDate])*(Instructions!B393&lt;Table1[EndDate]),0),1),"_1_",Instructions!E393)</f>
        <v>TBSRVY_20190924_1_0291_1_08</v>
      </c>
      <c r="C386">
        <f>Instructions!G393</f>
        <v>12</v>
      </c>
      <c r="D386" t="str">
        <f>IF(ISBLANK(Instructions!H393),"",Instructions!H393)</f>
        <v>Entered</v>
      </c>
      <c r="E386" s="1">
        <f>IF(ISBLANK(Instructions!I393),"",Instructions!I393)</f>
        <v>45646</v>
      </c>
      <c r="F386" t="str">
        <f>IF(ISBLANK(Instructions!J393),"",Instructions!J393)</f>
        <v>Erica Williams</v>
      </c>
      <c r="G386" s="1" t="str">
        <f>IF(ISBLANK(Instructions!K393),"",Instructions!K393)</f>
        <v/>
      </c>
      <c r="H386" t="str">
        <f>IF(ISBLANK(Instructions!L393),"",Instructions!L393)</f>
        <v/>
      </c>
      <c r="I386" t="str">
        <f t="shared" si="14"/>
        <v>NULL</v>
      </c>
      <c r="J386" t="str">
        <f t="shared" si="14"/>
        <v>NULL</v>
      </c>
      <c r="K386" t="str">
        <f>Instructions!M393</f>
        <v>Added via SMSS</v>
      </c>
      <c r="L386" t="str">
        <f t="shared" ref="L386:L549" si="15">"NULL"</f>
        <v>NULL</v>
      </c>
    </row>
    <row r="387" spans="1:12" x14ac:dyDescent="0.25">
      <c r="A387" t="str" cm="1">
        <f t="array" ref="A387">_xlfn.CONCAT(Instructions!C394,Instructions!A394,"_",TEXT(Instructions!B394,"YYYYMMDD"),"_1_",INDEX(Table1[], MATCH(1,(Table1[Estuary]=Instructions!C394)*(Table1[StationNumber]=Instructions!D394)*(Instructions!B394&gt;Table1[StartDate])*(Instructions!B394&lt;Table1[EndDate]),0),1),"_1_",Instructions!E394,"_",Instructions!F394)</f>
        <v>TBSRVY_20190924_1_0291_1_08_036</v>
      </c>
      <c r="B387" t="str" cm="1">
        <f t="array" ref="B387">_xlfn.CONCAT(Instructions!C394,Instructions!A394,"_",TEXT(Instructions!B394,"YYYYMMDD"),"_1_",INDEX(Table1[], MATCH(1,(Table1[Estuary]=Instructions!C394)*(Table1[StationNumber]=Instructions!D394)*(Instructions!B394&gt;Table1[StartDate])*(Instructions!B394&lt;Table1[EndDate]),0),1),"_1_",Instructions!E394)</f>
        <v>TBSRVY_20190924_1_0291_1_08</v>
      </c>
      <c r="C387">
        <f>Instructions!G394</f>
        <v>25</v>
      </c>
      <c r="D387" t="str">
        <f>IF(ISBLANK(Instructions!H394),"",Instructions!H394)</f>
        <v>Entered</v>
      </c>
      <c r="E387" s="1">
        <f>IF(ISBLANK(Instructions!I394),"",Instructions!I394)</f>
        <v>45646</v>
      </c>
      <c r="F387" t="str">
        <f>IF(ISBLANK(Instructions!J394),"",Instructions!J394)</f>
        <v>Erica Williams</v>
      </c>
      <c r="G387" s="1" t="str">
        <f>IF(ISBLANK(Instructions!K394),"",Instructions!K394)</f>
        <v/>
      </c>
      <c r="H387" t="str">
        <f>IF(ISBLANK(Instructions!L394),"",Instructions!L394)</f>
        <v/>
      </c>
      <c r="I387" t="str">
        <f t="shared" si="14"/>
        <v>NULL</v>
      </c>
      <c r="J387" t="str">
        <f t="shared" si="14"/>
        <v>NULL</v>
      </c>
      <c r="K387" t="str">
        <f>Instructions!M394</f>
        <v>Added via SMSS</v>
      </c>
      <c r="L387" t="str">
        <f t="shared" si="15"/>
        <v>NULL</v>
      </c>
    </row>
    <row r="388" spans="1:12" x14ac:dyDescent="0.25">
      <c r="A388" t="str" cm="1">
        <f t="array" ref="A388">_xlfn.CONCAT(Instructions!C395,Instructions!A395,"_",TEXT(Instructions!B395,"YYYYMMDD"),"_1_",INDEX(Table1[], MATCH(1,(Table1[Estuary]=Instructions!C395)*(Table1[StationNumber]=Instructions!D395)*(Instructions!B395&gt;Table1[StartDate])*(Instructions!B395&lt;Table1[EndDate]),0),1),"_1_",Instructions!E395,"_",Instructions!F395)</f>
        <v>TBSRVY_20190924_1_0291_1_08_037</v>
      </c>
      <c r="B388" t="str" cm="1">
        <f t="array" ref="B388">_xlfn.CONCAT(Instructions!C395,Instructions!A395,"_",TEXT(Instructions!B395,"YYYYMMDD"),"_1_",INDEX(Table1[], MATCH(1,(Table1[Estuary]=Instructions!C395)*(Table1[StationNumber]=Instructions!D395)*(Instructions!B395&gt;Table1[StartDate])*(Instructions!B395&lt;Table1[EndDate]),0),1),"_1_",Instructions!E395)</f>
        <v>TBSRVY_20190924_1_0291_1_08</v>
      </c>
      <c r="C388">
        <f>Instructions!G395</f>
        <v>35</v>
      </c>
      <c r="D388" t="str">
        <f>IF(ISBLANK(Instructions!H395),"",Instructions!H395)</f>
        <v>Entered</v>
      </c>
      <c r="E388" s="1">
        <f>IF(ISBLANK(Instructions!I395),"",Instructions!I395)</f>
        <v>45646</v>
      </c>
      <c r="F388" t="str">
        <f>IF(ISBLANK(Instructions!J395),"",Instructions!J395)</f>
        <v>Erica Williams</v>
      </c>
      <c r="G388" s="1" t="str">
        <f>IF(ISBLANK(Instructions!K395),"",Instructions!K395)</f>
        <v/>
      </c>
      <c r="H388" t="str">
        <f>IF(ISBLANK(Instructions!L395),"",Instructions!L395)</f>
        <v/>
      </c>
      <c r="I388" t="str">
        <f t="shared" si="14"/>
        <v>NULL</v>
      </c>
      <c r="J388" t="str">
        <f t="shared" si="14"/>
        <v>NULL</v>
      </c>
      <c r="K388" t="str">
        <f>Instructions!M395</f>
        <v>Added via SMSS</v>
      </c>
      <c r="L388" t="str">
        <f t="shared" si="15"/>
        <v>NULL</v>
      </c>
    </row>
    <row r="389" spans="1:12" x14ac:dyDescent="0.25">
      <c r="A389" t="str" cm="1">
        <f t="array" ref="A389">_xlfn.CONCAT(Instructions!C396,Instructions!A396,"_",TEXT(Instructions!B396,"YYYYMMDD"),"_1_",INDEX(Table1[], MATCH(1,(Table1[Estuary]=Instructions!C396)*(Table1[StationNumber]=Instructions!D396)*(Instructions!B396&gt;Table1[StartDate])*(Instructions!B396&lt;Table1[EndDate]),0),1),"_1_",Instructions!E396,"_",Instructions!F396)</f>
        <v>TBSRVY_20190924_1_0291_1_08_038</v>
      </c>
      <c r="B389" t="str" cm="1">
        <f t="array" ref="B389">_xlfn.CONCAT(Instructions!C396,Instructions!A396,"_",TEXT(Instructions!B396,"YYYYMMDD"),"_1_",INDEX(Table1[], MATCH(1,(Table1[Estuary]=Instructions!C396)*(Table1[StationNumber]=Instructions!D396)*(Instructions!B396&gt;Table1[StartDate])*(Instructions!B396&lt;Table1[EndDate]),0),1),"_1_",Instructions!E396)</f>
        <v>TBSRVY_20190924_1_0291_1_08</v>
      </c>
      <c r="C389">
        <f>Instructions!G396</f>
        <v>10</v>
      </c>
      <c r="D389" t="str">
        <f>IF(ISBLANK(Instructions!H396),"",Instructions!H396)</f>
        <v>Entered</v>
      </c>
      <c r="E389" s="1">
        <f>IF(ISBLANK(Instructions!I396),"",Instructions!I396)</f>
        <v>45646</v>
      </c>
      <c r="F389" t="str">
        <f>IF(ISBLANK(Instructions!J396),"",Instructions!J396)</f>
        <v>Erica Williams</v>
      </c>
      <c r="G389" s="1" t="str">
        <f>IF(ISBLANK(Instructions!K396),"",Instructions!K396)</f>
        <v/>
      </c>
      <c r="H389" t="str">
        <f>IF(ISBLANK(Instructions!L396),"",Instructions!L396)</f>
        <v/>
      </c>
      <c r="I389" t="str">
        <f t="shared" si="14"/>
        <v>NULL</v>
      </c>
      <c r="J389" t="str">
        <f t="shared" si="14"/>
        <v>NULL</v>
      </c>
      <c r="K389" t="str">
        <f>Instructions!M396</f>
        <v>Added via SMSS</v>
      </c>
      <c r="L389" t="str">
        <f t="shared" si="15"/>
        <v>NULL</v>
      </c>
    </row>
    <row r="390" spans="1:12" x14ac:dyDescent="0.25">
      <c r="A390" t="str" cm="1">
        <f t="array" ref="A390">_xlfn.CONCAT(Instructions!C397,Instructions!A397,"_",TEXT(Instructions!B397,"YYYYMMDD"),"_1_",INDEX(Table1[], MATCH(1,(Table1[Estuary]=Instructions!C397)*(Table1[StationNumber]=Instructions!D397)*(Instructions!B397&gt;Table1[StartDate])*(Instructions!B397&lt;Table1[EndDate]),0),1),"_1_",Instructions!E397,"_",Instructions!F397)</f>
        <v>TBSRVY_20190924_1_0291_1_08_039</v>
      </c>
      <c r="B390" t="str" cm="1">
        <f t="array" ref="B390">_xlfn.CONCAT(Instructions!C397,Instructions!A397,"_",TEXT(Instructions!B397,"YYYYMMDD"),"_1_",INDEX(Table1[], MATCH(1,(Table1[Estuary]=Instructions!C397)*(Table1[StationNumber]=Instructions!D397)*(Instructions!B397&gt;Table1[StartDate])*(Instructions!B397&lt;Table1[EndDate]),0),1),"_1_",Instructions!E397)</f>
        <v>TBSRVY_20190924_1_0291_1_08</v>
      </c>
      <c r="C390">
        <f>Instructions!G397</f>
        <v>11</v>
      </c>
      <c r="D390" t="str">
        <f>IF(ISBLANK(Instructions!H397),"",Instructions!H397)</f>
        <v>Entered</v>
      </c>
      <c r="E390" s="1">
        <f>IF(ISBLANK(Instructions!I397),"",Instructions!I397)</f>
        <v>45646</v>
      </c>
      <c r="F390" t="str">
        <f>IF(ISBLANK(Instructions!J397),"",Instructions!J397)</f>
        <v>Erica Williams</v>
      </c>
      <c r="G390" s="1" t="str">
        <f>IF(ISBLANK(Instructions!K397),"",Instructions!K397)</f>
        <v/>
      </c>
      <c r="H390" t="str">
        <f>IF(ISBLANK(Instructions!L397),"",Instructions!L397)</f>
        <v/>
      </c>
      <c r="I390" t="str">
        <f t="shared" si="14"/>
        <v>NULL</v>
      </c>
      <c r="J390" t="str">
        <f t="shared" si="14"/>
        <v>NULL</v>
      </c>
      <c r="K390" t="str">
        <f>Instructions!M397</f>
        <v>Added via SMSS</v>
      </c>
      <c r="L390" t="str">
        <f t="shared" si="15"/>
        <v>NULL</v>
      </c>
    </row>
    <row r="391" spans="1:12" x14ac:dyDescent="0.25">
      <c r="A391" t="str" cm="1">
        <f t="array" ref="A391">_xlfn.CONCAT(Instructions!C398,Instructions!A398,"_",TEXT(Instructions!B398,"YYYYMMDD"),"_1_",INDEX(Table1[], MATCH(1,(Table1[Estuary]=Instructions!C398)*(Table1[StationNumber]=Instructions!D398)*(Instructions!B398&gt;Table1[StartDate])*(Instructions!B398&lt;Table1[EndDate]),0),1),"_1_",Instructions!E398,"_",Instructions!F398)</f>
        <v>TBSRVY_20190924_1_0291_1_08_040</v>
      </c>
      <c r="B391" t="str" cm="1">
        <f t="array" ref="B391">_xlfn.CONCAT(Instructions!C398,Instructions!A398,"_",TEXT(Instructions!B398,"YYYYMMDD"),"_1_",INDEX(Table1[], MATCH(1,(Table1[Estuary]=Instructions!C398)*(Table1[StationNumber]=Instructions!D398)*(Instructions!B398&gt;Table1[StartDate])*(Instructions!B398&lt;Table1[EndDate]),0),1),"_1_",Instructions!E398)</f>
        <v>TBSRVY_20190924_1_0291_1_08</v>
      </c>
      <c r="C391">
        <f>Instructions!G398</f>
        <v>5</v>
      </c>
      <c r="D391" t="str">
        <f>IF(ISBLANK(Instructions!H398),"",Instructions!H398)</f>
        <v>Entered</v>
      </c>
      <c r="E391" s="1">
        <f>IF(ISBLANK(Instructions!I398),"",Instructions!I398)</f>
        <v>45646</v>
      </c>
      <c r="F391" t="str">
        <f>IF(ISBLANK(Instructions!J398),"",Instructions!J398)</f>
        <v>Erica Williams</v>
      </c>
      <c r="G391" s="1" t="str">
        <f>IF(ISBLANK(Instructions!K398),"",Instructions!K398)</f>
        <v/>
      </c>
      <c r="H391" t="str">
        <f>IF(ISBLANK(Instructions!L398),"",Instructions!L398)</f>
        <v/>
      </c>
      <c r="I391" t="str">
        <f t="shared" si="14"/>
        <v>NULL</v>
      </c>
      <c r="J391" t="str">
        <f t="shared" si="14"/>
        <v>NULL</v>
      </c>
      <c r="K391" t="str">
        <f>Instructions!M398</f>
        <v>Added via SMSS</v>
      </c>
      <c r="L391" t="str">
        <f t="shared" si="15"/>
        <v>NULL</v>
      </c>
    </row>
    <row r="392" spans="1:12" x14ac:dyDescent="0.25">
      <c r="A392" t="str" cm="1">
        <f t="array" ref="A392">_xlfn.CONCAT(Instructions!C399,Instructions!A399,"_",TEXT(Instructions!B399,"YYYYMMDD"),"_1_",INDEX(Table1[], MATCH(1,(Table1[Estuary]=Instructions!C399)*(Table1[StationNumber]=Instructions!D399)*(Instructions!B399&gt;Table1[StartDate])*(Instructions!B399&lt;Table1[EndDate]),0),1),"_1_",Instructions!E399,"_",Instructions!F399)</f>
        <v>TBSRVY_20190924_1_0291_1_08_041</v>
      </c>
      <c r="B392" t="str" cm="1">
        <f t="array" ref="B392">_xlfn.CONCAT(Instructions!C399,Instructions!A399,"_",TEXT(Instructions!B399,"YYYYMMDD"),"_1_",INDEX(Table1[], MATCH(1,(Table1[Estuary]=Instructions!C399)*(Table1[StationNumber]=Instructions!D399)*(Instructions!B399&gt;Table1[StartDate])*(Instructions!B399&lt;Table1[EndDate]),0),1),"_1_",Instructions!E399)</f>
        <v>TBSRVY_20190924_1_0291_1_08</v>
      </c>
      <c r="C392">
        <f>Instructions!G399</f>
        <v>6</v>
      </c>
      <c r="D392" t="str">
        <f>IF(ISBLANK(Instructions!H399),"",Instructions!H399)</f>
        <v>Entered</v>
      </c>
      <c r="E392" s="1">
        <f>IF(ISBLANK(Instructions!I399),"",Instructions!I399)</f>
        <v>45646</v>
      </c>
      <c r="F392" t="str">
        <f>IF(ISBLANK(Instructions!J399),"",Instructions!J399)</f>
        <v>Erica Williams</v>
      </c>
      <c r="G392" s="1" t="str">
        <f>IF(ISBLANK(Instructions!K399),"",Instructions!K399)</f>
        <v/>
      </c>
      <c r="H392" t="str">
        <f>IF(ISBLANK(Instructions!L399),"",Instructions!L399)</f>
        <v/>
      </c>
      <c r="I392" t="str">
        <f t="shared" si="14"/>
        <v>NULL</v>
      </c>
      <c r="J392" t="str">
        <f t="shared" si="14"/>
        <v>NULL</v>
      </c>
      <c r="K392" t="str">
        <f>Instructions!M399</f>
        <v>Added via SMSS</v>
      </c>
      <c r="L392" t="str">
        <f t="shared" si="15"/>
        <v>NULL</v>
      </c>
    </row>
    <row r="393" spans="1:12" x14ac:dyDescent="0.25">
      <c r="A393" t="str" cm="1">
        <f t="array" ref="A393">_xlfn.CONCAT(Instructions!C400,Instructions!A400,"_",TEXT(Instructions!B400,"YYYYMMDD"),"_1_",INDEX(Table1[], MATCH(1,(Table1[Estuary]=Instructions!C400)*(Table1[StationNumber]=Instructions!D400)*(Instructions!B400&gt;Table1[StartDate])*(Instructions!B400&lt;Table1[EndDate]),0),1),"_1_",Instructions!E400,"_",Instructions!F400)</f>
        <v>TBSRVY_20190924_1_0291_1_08_042</v>
      </c>
      <c r="B393" t="str" cm="1">
        <f t="array" ref="B393">_xlfn.CONCAT(Instructions!C400,Instructions!A400,"_",TEXT(Instructions!B400,"YYYYMMDD"),"_1_",INDEX(Table1[], MATCH(1,(Table1[Estuary]=Instructions!C400)*(Table1[StationNumber]=Instructions!D400)*(Instructions!B400&gt;Table1[StartDate])*(Instructions!B400&lt;Table1[EndDate]),0),1),"_1_",Instructions!E400)</f>
        <v>TBSRVY_20190924_1_0291_1_08</v>
      </c>
      <c r="C393">
        <f>Instructions!G400</f>
        <v>8</v>
      </c>
      <c r="D393" t="str">
        <f>IF(ISBLANK(Instructions!H400),"",Instructions!H400)</f>
        <v>Entered</v>
      </c>
      <c r="E393" s="1">
        <f>IF(ISBLANK(Instructions!I400),"",Instructions!I400)</f>
        <v>45646</v>
      </c>
      <c r="F393" t="str">
        <f>IF(ISBLANK(Instructions!J400),"",Instructions!J400)</f>
        <v>Erica Williams</v>
      </c>
      <c r="G393" s="1" t="str">
        <f>IF(ISBLANK(Instructions!K400),"",Instructions!K400)</f>
        <v/>
      </c>
      <c r="H393" t="str">
        <f>IF(ISBLANK(Instructions!L400),"",Instructions!L400)</f>
        <v/>
      </c>
      <c r="I393" t="str">
        <f t="shared" si="14"/>
        <v>NULL</v>
      </c>
      <c r="J393" t="str">
        <f t="shared" si="14"/>
        <v>NULL</v>
      </c>
      <c r="K393" t="str">
        <f>Instructions!M400</f>
        <v>Added via SMSS</v>
      </c>
      <c r="L393" t="str">
        <f t="shared" si="15"/>
        <v>NULL</v>
      </c>
    </row>
    <row r="394" spans="1:12" x14ac:dyDescent="0.25">
      <c r="A394" t="str" cm="1">
        <f t="array" ref="A394">_xlfn.CONCAT(Instructions!C401,Instructions!A401,"_",TEXT(Instructions!B401,"YYYYMMDD"),"_1_",INDEX(Table1[], MATCH(1,(Table1[Estuary]=Instructions!C401)*(Table1[StationNumber]=Instructions!D401)*(Instructions!B401&gt;Table1[StartDate])*(Instructions!B401&lt;Table1[EndDate]),0),1),"_1_",Instructions!E401,"_",Instructions!F401)</f>
        <v>TBSRVY_20190924_1_0291_1_08_043</v>
      </c>
      <c r="B394" t="str" cm="1">
        <f t="array" ref="B394">_xlfn.CONCAT(Instructions!C401,Instructions!A401,"_",TEXT(Instructions!B401,"YYYYMMDD"),"_1_",INDEX(Table1[], MATCH(1,(Table1[Estuary]=Instructions!C401)*(Table1[StationNumber]=Instructions!D401)*(Instructions!B401&gt;Table1[StartDate])*(Instructions!B401&lt;Table1[EndDate]),0),1),"_1_",Instructions!E401)</f>
        <v>TBSRVY_20190924_1_0291_1_08</v>
      </c>
      <c r="C394">
        <f>Instructions!G401</f>
        <v>8</v>
      </c>
      <c r="D394" t="str">
        <f>IF(ISBLANK(Instructions!H401),"",Instructions!H401)</f>
        <v>Entered</v>
      </c>
      <c r="E394" s="1">
        <f>IF(ISBLANK(Instructions!I401),"",Instructions!I401)</f>
        <v>45646</v>
      </c>
      <c r="F394" t="str">
        <f>IF(ISBLANK(Instructions!J401),"",Instructions!J401)</f>
        <v>Erica Williams</v>
      </c>
      <c r="G394" s="1" t="str">
        <f>IF(ISBLANK(Instructions!K401),"",Instructions!K401)</f>
        <v/>
      </c>
      <c r="H394" t="str">
        <f>IF(ISBLANK(Instructions!L401),"",Instructions!L401)</f>
        <v/>
      </c>
      <c r="I394" t="str">
        <f t="shared" si="14"/>
        <v>NULL</v>
      </c>
      <c r="J394" t="str">
        <f t="shared" si="14"/>
        <v>NULL</v>
      </c>
      <c r="K394" t="str">
        <f>Instructions!M401</f>
        <v>Added via SMSS</v>
      </c>
      <c r="L394" t="str">
        <f t="shared" si="15"/>
        <v>NULL</v>
      </c>
    </row>
    <row r="395" spans="1:12" x14ac:dyDescent="0.25">
      <c r="A395" t="str" cm="1">
        <f t="array" ref="A395">_xlfn.CONCAT(Instructions!C402,Instructions!A402,"_",TEXT(Instructions!B402,"YYYYMMDD"),"_1_",INDEX(Table1[], MATCH(1,(Table1[Estuary]=Instructions!C402)*(Table1[StationNumber]=Instructions!D402)*(Instructions!B402&gt;Table1[StartDate])*(Instructions!B402&lt;Table1[EndDate]),0),1),"_1_",Instructions!E402,"_",Instructions!F402)</f>
        <v>TBSRVY_20190924_1_0291_1_08_044</v>
      </c>
      <c r="B395" t="str" cm="1">
        <f t="array" ref="B395">_xlfn.CONCAT(Instructions!C402,Instructions!A402,"_",TEXT(Instructions!B402,"YYYYMMDD"),"_1_",INDEX(Table1[], MATCH(1,(Table1[Estuary]=Instructions!C402)*(Table1[StationNumber]=Instructions!D402)*(Instructions!B402&gt;Table1[StartDate])*(Instructions!B402&lt;Table1[EndDate]),0),1),"_1_",Instructions!E402)</f>
        <v>TBSRVY_20190924_1_0291_1_08</v>
      </c>
      <c r="C395">
        <f>Instructions!G402</f>
        <v>29</v>
      </c>
      <c r="D395" t="str">
        <f>IF(ISBLANK(Instructions!H402),"",Instructions!H402)</f>
        <v>Entered</v>
      </c>
      <c r="E395" s="1">
        <f>IF(ISBLANK(Instructions!I402),"",Instructions!I402)</f>
        <v>45646</v>
      </c>
      <c r="F395" t="str">
        <f>IF(ISBLANK(Instructions!J402),"",Instructions!J402)</f>
        <v>Erica Williams</v>
      </c>
      <c r="G395" s="1" t="str">
        <f>IF(ISBLANK(Instructions!K402),"",Instructions!K402)</f>
        <v/>
      </c>
      <c r="H395" t="str">
        <f>IF(ISBLANK(Instructions!L402),"",Instructions!L402)</f>
        <v/>
      </c>
      <c r="I395" t="str">
        <f t="shared" si="14"/>
        <v>NULL</v>
      </c>
      <c r="J395" t="str">
        <f t="shared" si="14"/>
        <v>NULL</v>
      </c>
      <c r="K395" t="str">
        <f>Instructions!M402</f>
        <v>Added via SMSS</v>
      </c>
      <c r="L395" t="str">
        <f t="shared" si="15"/>
        <v>NULL</v>
      </c>
    </row>
    <row r="396" spans="1:12" x14ac:dyDescent="0.25">
      <c r="A396" t="str" cm="1">
        <f t="array" ref="A396">_xlfn.CONCAT(Instructions!C403,Instructions!A403,"_",TEXT(Instructions!B403,"YYYYMMDD"),"_1_",INDEX(Table1[], MATCH(1,(Table1[Estuary]=Instructions!C403)*(Table1[StationNumber]=Instructions!D403)*(Instructions!B403&gt;Table1[StartDate])*(Instructions!B403&lt;Table1[EndDate]),0),1),"_1_",Instructions!E403,"_",Instructions!F403)</f>
        <v>TBSRVY_20190924_1_0291_1_08_045</v>
      </c>
      <c r="B396" t="str" cm="1">
        <f t="array" ref="B396">_xlfn.CONCAT(Instructions!C403,Instructions!A403,"_",TEXT(Instructions!B403,"YYYYMMDD"),"_1_",INDEX(Table1[], MATCH(1,(Table1[Estuary]=Instructions!C403)*(Table1[StationNumber]=Instructions!D403)*(Instructions!B403&gt;Table1[StartDate])*(Instructions!B403&lt;Table1[EndDate]),0),1),"_1_",Instructions!E403)</f>
        <v>TBSRVY_20190924_1_0291_1_08</v>
      </c>
      <c r="C396">
        <f>Instructions!G403</f>
        <v>25</v>
      </c>
      <c r="D396" t="str">
        <f>IF(ISBLANK(Instructions!H403),"",Instructions!H403)</f>
        <v>Entered</v>
      </c>
      <c r="E396" s="1">
        <f>IF(ISBLANK(Instructions!I403),"",Instructions!I403)</f>
        <v>45646</v>
      </c>
      <c r="F396" t="str">
        <f>IF(ISBLANK(Instructions!J403),"",Instructions!J403)</f>
        <v>Erica Williams</v>
      </c>
      <c r="G396" s="1" t="str">
        <f>IF(ISBLANK(Instructions!K403),"",Instructions!K403)</f>
        <v/>
      </c>
      <c r="H396" t="str">
        <f>IF(ISBLANK(Instructions!L403),"",Instructions!L403)</f>
        <v/>
      </c>
      <c r="I396" t="str">
        <f t="shared" si="14"/>
        <v>NULL</v>
      </c>
      <c r="J396" t="str">
        <f t="shared" si="14"/>
        <v>NULL</v>
      </c>
      <c r="K396" t="str">
        <f>Instructions!M403</f>
        <v>Added via SMSS</v>
      </c>
      <c r="L396" t="str">
        <f t="shared" si="15"/>
        <v>NULL</v>
      </c>
    </row>
    <row r="397" spans="1:12" x14ac:dyDescent="0.25">
      <c r="A397" t="str" cm="1">
        <f t="array" ref="A397">_xlfn.CONCAT(Instructions!C404,Instructions!A404,"_",TEXT(Instructions!B404,"YYYYMMDD"),"_1_",INDEX(Table1[], MATCH(1,(Table1[Estuary]=Instructions!C404)*(Table1[StationNumber]=Instructions!D404)*(Instructions!B404&gt;Table1[StartDate])*(Instructions!B404&lt;Table1[EndDate]),0),1),"_1_",Instructions!E404,"_",Instructions!F404)</f>
        <v>TBSRVY_20190924_1_0291_1_08_046</v>
      </c>
      <c r="B397" t="str" cm="1">
        <f t="array" ref="B397">_xlfn.CONCAT(Instructions!C404,Instructions!A404,"_",TEXT(Instructions!B404,"YYYYMMDD"),"_1_",INDEX(Table1[], MATCH(1,(Table1[Estuary]=Instructions!C404)*(Table1[StationNumber]=Instructions!D404)*(Instructions!B404&gt;Table1[StartDate])*(Instructions!B404&lt;Table1[EndDate]),0),1),"_1_",Instructions!E404)</f>
        <v>TBSRVY_20190924_1_0291_1_08</v>
      </c>
      <c r="C397">
        <f>Instructions!G404</f>
        <v>22</v>
      </c>
      <c r="D397" t="str">
        <f>IF(ISBLANK(Instructions!H404),"",Instructions!H404)</f>
        <v>Entered</v>
      </c>
      <c r="E397" s="1">
        <f>IF(ISBLANK(Instructions!I404),"",Instructions!I404)</f>
        <v>45646</v>
      </c>
      <c r="F397" t="str">
        <f>IF(ISBLANK(Instructions!J404),"",Instructions!J404)</f>
        <v>Erica Williams</v>
      </c>
      <c r="G397" s="1" t="str">
        <f>IF(ISBLANK(Instructions!K404),"",Instructions!K404)</f>
        <v/>
      </c>
      <c r="H397" t="str">
        <f>IF(ISBLANK(Instructions!L404),"",Instructions!L404)</f>
        <v/>
      </c>
      <c r="I397" t="str">
        <f t="shared" si="14"/>
        <v>NULL</v>
      </c>
      <c r="J397" t="str">
        <f t="shared" si="14"/>
        <v>NULL</v>
      </c>
      <c r="K397" t="str">
        <f>Instructions!M404</f>
        <v>Added via SMSS</v>
      </c>
      <c r="L397" t="str">
        <f t="shared" si="15"/>
        <v>NULL</v>
      </c>
    </row>
    <row r="398" spans="1:12" x14ac:dyDescent="0.25">
      <c r="A398" t="str" cm="1">
        <f t="array" ref="A398">_xlfn.CONCAT(Instructions!C405,Instructions!A405,"_",TEXT(Instructions!B405,"YYYYMMDD"),"_1_",INDEX(Table1[], MATCH(1,(Table1[Estuary]=Instructions!C405)*(Table1[StationNumber]=Instructions!D405)*(Instructions!B405&gt;Table1[StartDate])*(Instructions!B405&lt;Table1[EndDate]),0),1),"_1_",Instructions!E405,"_",Instructions!F405)</f>
        <v>TBSRVY_20190924_1_0291_1_08_047</v>
      </c>
      <c r="B398" t="str" cm="1">
        <f t="array" ref="B398">_xlfn.CONCAT(Instructions!C405,Instructions!A405,"_",TEXT(Instructions!B405,"YYYYMMDD"),"_1_",INDEX(Table1[], MATCH(1,(Table1[Estuary]=Instructions!C405)*(Table1[StationNumber]=Instructions!D405)*(Instructions!B405&gt;Table1[StartDate])*(Instructions!B405&lt;Table1[EndDate]),0),1),"_1_",Instructions!E405)</f>
        <v>TBSRVY_20190924_1_0291_1_08</v>
      </c>
      <c r="C398">
        <f>Instructions!G405</f>
        <v>20</v>
      </c>
      <c r="D398" t="str">
        <f>IF(ISBLANK(Instructions!H405),"",Instructions!H405)</f>
        <v>Entered</v>
      </c>
      <c r="E398" s="1">
        <f>IF(ISBLANK(Instructions!I405),"",Instructions!I405)</f>
        <v>45646</v>
      </c>
      <c r="F398" t="str">
        <f>IF(ISBLANK(Instructions!J405),"",Instructions!J405)</f>
        <v>Erica Williams</v>
      </c>
      <c r="G398" s="1" t="str">
        <f>IF(ISBLANK(Instructions!K405),"",Instructions!K405)</f>
        <v/>
      </c>
      <c r="H398" t="str">
        <f>IF(ISBLANK(Instructions!L405),"",Instructions!L405)</f>
        <v/>
      </c>
      <c r="I398" t="str">
        <f t="shared" si="14"/>
        <v>NULL</v>
      </c>
      <c r="J398" t="str">
        <f t="shared" si="14"/>
        <v>NULL</v>
      </c>
      <c r="K398" t="str">
        <f>Instructions!M405</f>
        <v>Added via SMSS</v>
      </c>
      <c r="L398" t="str">
        <f t="shared" si="15"/>
        <v>NULL</v>
      </c>
    </row>
    <row r="399" spans="1:12" x14ac:dyDescent="0.25">
      <c r="A399" t="str" cm="1">
        <f t="array" ref="A399">_xlfn.CONCAT(Instructions!C406,Instructions!A406,"_",TEXT(Instructions!B406,"YYYYMMDD"),"_1_",INDEX(Table1[], MATCH(1,(Table1[Estuary]=Instructions!C406)*(Table1[StationNumber]=Instructions!D406)*(Instructions!B406&gt;Table1[StartDate])*(Instructions!B406&lt;Table1[EndDate]),0),1),"_1_",Instructions!E406,"_",Instructions!F406)</f>
        <v>TBSRVY_20190924_1_0291_1_08_048</v>
      </c>
      <c r="B399" t="str" cm="1">
        <f t="array" ref="B399">_xlfn.CONCAT(Instructions!C406,Instructions!A406,"_",TEXT(Instructions!B406,"YYYYMMDD"),"_1_",INDEX(Table1[], MATCH(1,(Table1[Estuary]=Instructions!C406)*(Table1[StationNumber]=Instructions!D406)*(Instructions!B406&gt;Table1[StartDate])*(Instructions!B406&lt;Table1[EndDate]),0),1),"_1_",Instructions!E406)</f>
        <v>TBSRVY_20190924_1_0291_1_08</v>
      </c>
      <c r="C399">
        <f>Instructions!G406</f>
        <v>23</v>
      </c>
      <c r="D399" t="str">
        <f>IF(ISBLANK(Instructions!H406),"",Instructions!H406)</f>
        <v>Entered</v>
      </c>
      <c r="E399" s="1">
        <f>IF(ISBLANK(Instructions!I406),"",Instructions!I406)</f>
        <v>45646</v>
      </c>
      <c r="F399" t="str">
        <f>IF(ISBLANK(Instructions!J406),"",Instructions!J406)</f>
        <v>Erica Williams</v>
      </c>
      <c r="G399" s="1" t="str">
        <f>IF(ISBLANK(Instructions!K406),"",Instructions!K406)</f>
        <v/>
      </c>
      <c r="H399" t="str">
        <f>IF(ISBLANK(Instructions!L406),"",Instructions!L406)</f>
        <v/>
      </c>
      <c r="I399" t="str">
        <f t="shared" si="14"/>
        <v>NULL</v>
      </c>
      <c r="J399" t="str">
        <f t="shared" si="14"/>
        <v>NULL</v>
      </c>
      <c r="K399" t="str">
        <f>Instructions!M406</f>
        <v>Added via SMSS</v>
      </c>
      <c r="L399" t="str">
        <f t="shared" si="15"/>
        <v>NULL</v>
      </c>
    </row>
    <row r="400" spans="1:12" x14ac:dyDescent="0.25">
      <c r="A400" t="str" cm="1">
        <f t="array" ref="A400">_xlfn.CONCAT(Instructions!C407,Instructions!A407,"_",TEXT(Instructions!B407,"YYYYMMDD"),"_1_",INDEX(Table1[], MATCH(1,(Table1[Estuary]=Instructions!C407)*(Table1[StationNumber]=Instructions!D407)*(Instructions!B407&gt;Table1[StartDate])*(Instructions!B407&lt;Table1[EndDate]),0),1),"_1_",Instructions!E407,"_",Instructions!F407)</f>
        <v>TBSRVY_20190924_1_0291_1_08_049</v>
      </c>
      <c r="B400" t="str" cm="1">
        <f t="array" ref="B400">_xlfn.CONCAT(Instructions!C407,Instructions!A407,"_",TEXT(Instructions!B407,"YYYYMMDD"),"_1_",INDEX(Table1[], MATCH(1,(Table1[Estuary]=Instructions!C407)*(Table1[StationNumber]=Instructions!D407)*(Instructions!B407&gt;Table1[StartDate])*(Instructions!B407&lt;Table1[EndDate]),0),1),"_1_",Instructions!E407)</f>
        <v>TBSRVY_20190924_1_0291_1_08</v>
      </c>
      <c r="C400">
        <f>Instructions!G407</f>
        <v>50</v>
      </c>
      <c r="D400" t="str">
        <f>IF(ISBLANK(Instructions!H407),"",Instructions!H407)</f>
        <v>Entered</v>
      </c>
      <c r="E400" s="1">
        <f>IF(ISBLANK(Instructions!I407),"",Instructions!I407)</f>
        <v>45646</v>
      </c>
      <c r="F400" t="str">
        <f>IF(ISBLANK(Instructions!J407),"",Instructions!J407)</f>
        <v>Erica Williams</v>
      </c>
      <c r="G400" s="1" t="str">
        <f>IF(ISBLANK(Instructions!K407),"",Instructions!K407)</f>
        <v/>
      </c>
      <c r="H400" t="str">
        <f>IF(ISBLANK(Instructions!L407),"",Instructions!L407)</f>
        <v/>
      </c>
      <c r="I400" t="str">
        <f t="shared" si="14"/>
        <v>NULL</v>
      </c>
      <c r="J400" t="str">
        <f t="shared" si="14"/>
        <v>NULL</v>
      </c>
      <c r="K400" t="str">
        <f>Instructions!M407</f>
        <v>Added via SMSS</v>
      </c>
      <c r="L400" t="str">
        <f t="shared" si="15"/>
        <v>NULL</v>
      </c>
    </row>
    <row r="401" spans="1:12" x14ac:dyDescent="0.25">
      <c r="A401" t="str" cm="1">
        <f t="array" ref="A401">_xlfn.CONCAT(Instructions!C408,Instructions!A408,"_",TEXT(Instructions!B408,"YYYYMMDD"),"_1_",INDEX(Table1[], MATCH(1,(Table1[Estuary]=Instructions!C408)*(Table1[StationNumber]=Instructions!D408)*(Instructions!B408&gt;Table1[StartDate])*(Instructions!B408&lt;Table1[EndDate]),0),1),"_1_",Instructions!E408,"_",Instructions!F408)</f>
        <v>TBSRVY_20190924_1_0291_1_08_050</v>
      </c>
      <c r="B401" t="str" cm="1">
        <f t="array" ref="B401">_xlfn.CONCAT(Instructions!C408,Instructions!A408,"_",TEXT(Instructions!B408,"YYYYMMDD"),"_1_",INDEX(Table1[], MATCH(1,(Table1[Estuary]=Instructions!C408)*(Table1[StationNumber]=Instructions!D408)*(Instructions!B408&gt;Table1[StartDate])*(Instructions!B408&lt;Table1[EndDate]),0),1),"_1_",Instructions!E408)</f>
        <v>TBSRVY_20190924_1_0291_1_08</v>
      </c>
      <c r="C401">
        <f>Instructions!G408</f>
        <v>32</v>
      </c>
      <c r="D401" t="str">
        <f>IF(ISBLANK(Instructions!H408),"",Instructions!H408)</f>
        <v>Entered</v>
      </c>
      <c r="E401" s="1">
        <f>IF(ISBLANK(Instructions!I408),"",Instructions!I408)</f>
        <v>45646</v>
      </c>
      <c r="F401" t="str">
        <f>IF(ISBLANK(Instructions!J408),"",Instructions!J408)</f>
        <v>Erica Williams</v>
      </c>
      <c r="G401" s="1" t="str">
        <f>IF(ISBLANK(Instructions!K408),"",Instructions!K408)</f>
        <v/>
      </c>
      <c r="H401" t="str">
        <f>IF(ISBLANK(Instructions!L408),"",Instructions!L408)</f>
        <v/>
      </c>
      <c r="I401" t="str">
        <f t="shared" si="14"/>
        <v>NULL</v>
      </c>
      <c r="J401" t="str">
        <f t="shared" si="14"/>
        <v>NULL</v>
      </c>
      <c r="K401" t="str">
        <f>Instructions!M408</f>
        <v>Added via SMSS</v>
      </c>
      <c r="L401" t="str">
        <f t="shared" si="15"/>
        <v>NULL</v>
      </c>
    </row>
    <row r="402" spans="1:12" x14ac:dyDescent="0.25">
      <c r="A402" t="str" cm="1">
        <f t="array" ref="A402">_xlfn.CONCAT(Instructions!C409,Instructions!A409,"_",TEXT(Instructions!B409,"YYYYMMDD"),"_1_",INDEX(Table1[], MATCH(1,(Table1[Estuary]=Instructions!C409)*(Table1[StationNumber]=Instructions!D409)*(Instructions!B409&gt;Table1[StartDate])*(Instructions!B409&lt;Table1[EndDate]),0),1),"_1_",Instructions!E409,"_",Instructions!F409)</f>
        <v>TBSRVY_20190924_1_0291_1_09_001</v>
      </c>
      <c r="B402" t="str" cm="1">
        <f t="array" ref="B402">_xlfn.CONCAT(Instructions!C409,Instructions!A409,"_",TEXT(Instructions!B409,"YYYYMMDD"),"_1_",INDEX(Table1[], MATCH(1,(Table1[Estuary]=Instructions!C409)*(Table1[StationNumber]=Instructions!D409)*(Instructions!B409&gt;Table1[StartDate])*(Instructions!B409&lt;Table1[EndDate]),0),1),"_1_",Instructions!E409)</f>
        <v>TBSRVY_20190924_1_0291_1_09</v>
      </c>
      <c r="C402">
        <f>Instructions!G409</f>
        <v>31</v>
      </c>
      <c r="D402" t="str">
        <f>IF(ISBLANK(Instructions!H409),"",Instructions!H409)</f>
        <v>Entered</v>
      </c>
      <c r="E402" s="1">
        <f>IF(ISBLANK(Instructions!I409),"",Instructions!I409)</f>
        <v>45646</v>
      </c>
      <c r="F402" t="str">
        <f>IF(ISBLANK(Instructions!J409),"",Instructions!J409)</f>
        <v>Erica Williams</v>
      </c>
      <c r="G402" s="1" t="str">
        <f>IF(ISBLANK(Instructions!K409),"",Instructions!K409)</f>
        <v/>
      </c>
      <c r="H402" t="str">
        <f>IF(ISBLANK(Instructions!L409),"",Instructions!L409)</f>
        <v/>
      </c>
      <c r="I402" t="str">
        <f t="shared" si="14"/>
        <v>NULL</v>
      </c>
      <c r="J402" t="str">
        <f t="shared" si="14"/>
        <v>NULL</v>
      </c>
      <c r="K402" t="str">
        <f>Instructions!M409</f>
        <v>Added via SMSS</v>
      </c>
      <c r="L402" t="str">
        <f t="shared" si="15"/>
        <v>NULL</v>
      </c>
    </row>
    <row r="403" spans="1:12" x14ac:dyDescent="0.25">
      <c r="A403" t="str" cm="1">
        <f t="array" ref="A403">_xlfn.CONCAT(Instructions!C410,Instructions!A410,"_",TEXT(Instructions!B410,"YYYYMMDD"),"_1_",INDEX(Table1[], MATCH(1,(Table1[Estuary]=Instructions!C410)*(Table1[StationNumber]=Instructions!D410)*(Instructions!B410&gt;Table1[StartDate])*(Instructions!B410&lt;Table1[EndDate]),0),1),"_1_",Instructions!E410,"_",Instructions!F410)</f>
        <v>TBSRVY_20190924_1_0291_1_09_002</v>
      </c>
      <c r="B403" t="str" cm="1">
        <f t="array" ref="B403">_xlfn.CONCAT(Instructions!C410,Instructions!A410,"_",TEXT(Instructions!B410,"YYYYMMDD"),"_1_",INDEX(Table1[], MATCH(1,(Table1[Estuary]=Instructions!C410)*(Table1[StationNumber]=Instructions!D410)*(Instructions!B410&gt;Table1[StartDate])*(Instructions!B410&lt;Table1[EndDate]),0),1),"_1_",Instructions!E410)</f>
        <v>TBSRVY_20190924_1_0291_1_09</v>
      </c>
      <c r="C403">
        <f>Instructions!G410</f>
        <v>8</v>
      </c>
      <c r="D403" t="str">
        <f>IF(ISBLANK(Instructions!H410),"",Instructions!H410)</f>
        <v>Entered</v>
      </c>
      <c r="E403" s="1">
        <f>IF(ISBLANK(Instructions!I410),"",Instructions!I410)</f>
        <v>45646</v>
      </c>
      <c r="F403" t="str">
        <f>IF(ISBLANK(Instructions!J410),"",Instructions!J410)</f>
        <v>Erica Williams</v>
      </c>
      <c r="G403" s="1" t="str">
        <f>IF(ISBLANK(Instructions!K410),"",Instructions!K410)</f>
        <v/>
      </c>
      <c r="H403" t="str">
        <f>IF(ISBLANK(Instructions!L410),"",Instructions!L410)</f>
        <v/>
      </c>
      <c r="I403" t="str">
        <f t="shared" si="14"/>
        <v>NULL</v>
      </c>
      <c r="J403" t="str">
        <f t="shared" si="14"/>
        <v>NULL</v>
      </c>
      <c r="K403" t="str">
        <f>Instructions!M410</f>
        <v>Added via SMSS</v>
      </c>
      <c r="L403" t="str">
        <f t="shared" si="15"/>
        <v>NULL</v>
      </c>
    </row>
    <row r="404" spans="1:12" x14ac:dyDescent="0.25">
      <c r="A404" t="str" cm="1">
        <f t="array" ref="A404">_xlfn.CONCAT(Instructions!C411,Instructions!A411,"_",TEXT(Instructions!B411,"YYYYMMDD"),"_1_",INDEX(Table1[], MATCH(1,(Table1[Estuary]=Instructions!C411)*(Table1[StationNumber]=Instructions!D411)*(Instructions!B411&gt;Table1[StartDate])*(Instructions!B411&lt;Table1[EndDate]),0),1),"_1_",Instructions!E411,"_",Instructions!F411)</f>
        <v>TBSRVY_20190924_1_0291_1_09_003</v>
      </c>
      <c r="B404" t="str" cm="1">
        <f t="array" ref="B404">_xlfn.CONCAT(Instructions!C411,Instructions!A411,"_",TEXT(Instructions!B411,"YYYYMMDD"),"_1_",INDEX(Table1[], MATCH(1,(Table1[Estuary]=Instructions!C411)*(Table1[StationNumber]=Instructions!D411)*(Instructions!B411&gt;Table1[StartDate])*(Instructions!B411&lt;Table1[EndDate]),0),1),"_1_",Instructions!E411)</f>
        <v>TBSRVY_20190924_1_0291_1_09</v>
      </c>
      <c r="C404">
        <f>Instructions!G411</f>
        <v>43</v>
      </c>
      <c r="D404" t="str">
        <f>IF(ISBLANK(Instructions!H411),"",Instructions!H411)</f>
        <v>Entered</v>
      </c>
      <c r="E404" s="1">
        <f>IF(ISBLANK(Instructions!I411),"",Instructions!I411)</f>
        <v>45646</v>
      </c>
      <c r="F404" t="str">
        <f>IF(ISBLANK(Instructions!J411),"",Instructions!J411)</f>
        <v>Erica Williams</v>
      </c>
      <c r="G404" s="1" t="str">
        <f>IF(ISBLANK(Instructions!K411),"",Instructions!K411)</f>
        <v/>
      </c>
      <c r="H404" t="str">
        <f>IF(ISBLANK(Instructions!L411),"",Instructions!L411)</f>
        <v/>
      </c>
      <c r="I404" t="str">
        <f t="shared" si="14"/>
        <v>NULL</v>
      </c>
      <c r="J404" t="str">
        <f t="shared" si="14"/>
        <v>NULL</v>
      </c>
      <c r="K404" t="str">
        <f>Instructions!M411</f>
        <v>Added via SMSS</v>
      </c>
      <c r="L404" t="str">
        <f t="shared" si="15"/>
        <v>NULL</v>
      </c>
    </row>
    <row r="405" spans="1:12" x14ac:dyDescent="0.25">
      <c r="A405" t="str" cm="1">
        <f t="array" ref="A405">_xlfn.CONCAT(Instructions!C412,Instructions!A412,"_",TEXT(Instructions!B412,"YYYYMMDD"),"_1_",INDEX(Table1[], MATCH(1,(Table1[Estuary]=Instructions!C412)*(Table1[StationNumber]=Instructions!D412)*(Instructions!B412&gt;Table1[StartDate])*(Instructions!B412&lt;Table1[EndDate]),0),1),"_1_",Instructions!E412,"_",Instructions!F412)</f>
        <v>TBSRVY_20190924_1_0291_1_09_004</v>
      </c>
      <c r="B405" t="str" cm="1">
        <f t="array" ref="B405">_xlfn.CONCAT(Instructions!C412,Instructions!A412,"_",TEXT(Instructions!B412,"YYYYMMDD"),"_1_",INDEX(Table1[], MATCH(1,(Table1[Estuary]=Instructions!C412)*(Table1[StationNumber]=Instructions!D412)*(Instructions!B412&gt;Table1[StartDate])*(Instructions!B412&lt;Table1[EndDate]),0),1),"_1_",Instructions!E412)</f>
        <v>TBSRVY_20190924_1_0291_1_09</v>
      </c>
      <c r="C405">
        <f>Instructions!G412</f>
        <v>5</v>
      </c>
      <c r="D405" t="str">
        <f>IF(ISBLANK(Instructions!H412),"",Instructions!H412)</f>
        <v>Entered</v>
      </c>
      <c r="E405" s="1">
        <f>IF(ISBLANK(Instructions!I412),"",Instructions!I412)</f>
        <v>45646</v>
      </c>
      <c r="F405" t="str">
        <f>IF(ISBLANK(Instructions!J412),"",Instructions!J412)</f>
        <v>Erica Williams</v>
      </c>
      <c r="G405" s="1" t="str">
        <f>IF(ISBLANK(Instructions!K412),"",Instructions!K412)</f>
        <v/>
      </c>
      <c r="H405" t="str">
        <f>IF(ISBLANK(Instructions!L412),"",Instructions!L412)</f>
        <v/>
      </c>
      <c r="I405" t="str">
        <f t="shared" si="14"/>
        <v>NULL</v>
      </c>
      <c r="J405" t="str">
        <f t="shared" si="14"/>
        <v>NULL</v>
      </c>
      <c r="K405" t="str">
        <f>Instructions!M412</f>
        <v>Added via SMSS</v>
      </c>
      <c r="L405" t="str">
        <f t="shared" si="15"/>
        <v>NULL</v>
      </c>
    </row>
    <row r="406" spans="1:12" x14ac:dyDescent="0.25">
      <c r="A406" t="str" cm="1">
        <f t="array" ref="A406">_xlfn.CONCAT(Instructions!C413,Instructions!A413,"_",TEXT(Instructions!B413,"YYYYMMDD"),"_1_",INDEX(Table1[], MATCH(1,(Table1[Estuary]=Instructions!C413)*(Table1[StationNumber]=Instructions!D413)*(Instructions!B413&gt;Table1[StartDate])*(Instructions!B413&lt;Table1[EndDate]),0),1),"_1_",Instructions!E413,"_",Instructions!F413)</f>
        <v>TBSRVY_20190924_1_0291_1_09_005</v>
      </c>
      <c r="B406" t="str" cm="1">
        <f t="array" ref="B406">_xlfn.CONCAT(Instructions!C413,Instructions!A413,"_",TEXT(Instructions!B413,"YYYYMMDD"),"_1_",INDEX(Table1[], MATCH(1,(Table1[Estuary]=Instructions!C413)*(Table1[StationNumber]=Instructions!D413)*(Instructions!B413&gt;Table1[StartDate])*(Instructions!B413&lt;Table1[EndDate]),0),1),"_1_",Instructions!E413)</f>
        <v>TBSRVY_20190924_1_0291_1_09</v>
      </c>
      <c r="C406">
        <f>Instructions!G413</f>
        <v>12</v>
      </c>
      <c r="D406" t="str">
        <f>IF(ISBLANK(Instructions!H413),"",Instructions!H413)</f>
        <v>Entered</v>
      </c>
      <c r="E406" s="1">
        <f>IF(ISBLANK(Instructions!I413),"",Instructions!I413)</f>
        <v>45646</v>
      </c>
      <c r="F406" t="str">
        <f>IF(ISBLANK(Instructions!J413),"",Instructions!J413)</f>
        <v>Erica Williams</v>
      </c>
      <c r="G406" s="1" t="str">
        <f>IF(ISBLANK(Instructions!K413),"",Instructions!K413)</f>
        <v/>
      </c>
      <c r="H406" t="str">
        <f>IF(ISBLANK(Instructions!L413),"",Instructions!L413)</f>
        <v/>
      </c>
      <c r="I406" t="str">
        <f t="shared" si="14"/>
        <v>NULL</v>
      </c>
      <c r="J406" t="str">
        <f t="shared" si="14"/>
        <v>NULL</v>
      </c>
      <c r="K406" t="str">
        <f>Instructions!M413</f>
        <v>Added via SMSS</v>
      </c>
      <c r="L406" t="str">
        <f t="shared" si="15"/>
        <v>NULL</v>
      </c>
    </row>
    <row r="407" spans="1:12" x14ac:dyDescent="0.25">
      <c r="A407" t="str" cm="1">
        <f t="array" ref="A407">_xlfn.CONCAT(Instructions!C414,Instructions!A414,"_",TEXT(Instructions!B414,"YYYYMMDD"),"_1_",INDEX(Table1[], MATCH(1,(Table1[Estuary]=Instructions!C414)*(Table1[StationNumber]=Instructions!D414)*(Instructions!B414&gt;Table1[StartDate])*(Instructions!B414&lt;Table1[EndDate]),0),1),"_1_",Instructions!E414,"_",Instructions!F414)</f>
        <v>TBSRVY_20190924_1_0291_1_09_006</v>
      </c>
      <c r="B407" t="str" cm="1">
        <f t="array" ref="B407">_xlfn.CONCAT(Instructions!C414,Instructions!A414,"_",TEXT(Instructions!B414,"YYYYMMDD"),"_1_",INDEX(Table1[], MATCH(1,(Table1[Estuary]=Instructions!C414)*(Table1[StationNumber]=Instructions!D414)*(Instructions!B414&gt;Table1[StartDate])*(Instructions!B414&lt;Table1[EndDate]),0),1),"_1_",Instructions!E414)</f>
        <v>TBSRVY_20190924_1_0291_1_09</v>
      </c>
      <c r="C407">
        <f>Instructions!G414</f>
        <v>32</v>
      </c>
      <c r="D407" t="str">
        <f>IF(ISBLANK(Instructions!H414),"",Instructions!H414)</f>
        <v>Entered</v>
      </c>
      <c r="E407" s="1">
        <f>IF(ISBLANK(Instructions!I414),"",Instructions!I414)</f>
        <v>45646</v>
      </c>
      <c r="F407" t="str">
        <f>IF(ISBLANK(Instructions!J414),"",Instructions!J414)</f>
        <v>Erica Williams</v>
      </c>
      <c r="G407" s="1" t="str">
        <f>IF(ISBLANK(Instructions!K414),"",Instructions!K414)</f>
        <v/>
      </c>
      <c r="H407" t="str">
        <f>IF(ISBLANK(Instructions!L414),"",Instructions!L414)</f>
        <v/>
      </c>
      <c r="I407" t="str">
        <f t="shared" si="14"/>
        <v>NULL</v>
      </c>
      <c r="J407" t="str">
        <f t="shared" si="14"/>
        <v>NULL</v>
      </c>
      <c r="K407" t="str">
        <f>Instructions!M414</f>
        <v>Added via SMSS</v>
      </c>
      <c r="L407" t="str">
        <f t="shared" si="15"/>
        <v>NULL</v>
      </c>
    </row>
    <row r="408" spans="1:12" x14ac:dyDescent="0.25">
      <c r="A408" t="str" cm="1">
        <f t="array" ref="A408">_xlfn.CONCAT(Instructions!C415,Instructions!A415,"_",TEXT(Instructions!B415,"YYYYMMDD"),"_1_",INDEX(Table1[], MATCH(1,(Table1[Estuary]=Instructions!C415)*(Table1[StationNumber]=Instructions!D415)*(Instructions!B415&gt;Table1[StartDate])*(Instructions!B415&lt;Table1[EndDate]),0),1),"_1_",Instructions!E415,"_",Instructions!F415)</f>
        <v>TBSRVY_20190924_1_0291_1_09_007</v>
      </c>
      <c r="B408" t="str" cm="1">
        <f t="array" ref="B408">_xlfn.CONCAT(Instructions!C415,Instructions!A415,"_",TEXT(Instructions!B415,"YYYYMMDD"),"_1_",INDEX(Table1[], MATCH(1,(Table1[Estuary]=Instructions!C415)*(Table1[StationNumber]=Instructions!D415)*(Instructions!B415&gt;Table1[StartDate])*(Instructions!B415&lt;Table1[EndDate]),0),1),"_1_",Instructions!E415)</f>
        <v>TBSRVY_20190924_1_0291_1_09</v>
      </c>
      <c r="C408">
        <f>Instructions!G415</f>
        <v>23</v>
      </c>
      <c r="D408" t="str">
        <f>IF(ISBLANK(Instructions!H415),"",Instructions!H415)</f>
        <v>Entered</v>
      </c>
      <c r="E408" s="1">
        <f>IF(ISBLANK(Instructions!I415),"",Instructions!I415)</f>
        <v>45646</v>
      </c>
      <c r="F408" t="str">
        <f>IF(ISBLANK(Instructions!J415),"",Instructions!J415)</f>
        <v>Erica Williams</v>
      </c>
      <c r="G408" s="1" t="str">
        <f>IF(ISBLANK(Instructions!K415),"",Instructions!K415)</f>
        <v/>
      </c>
      <c r="H408" t="str">
        <f>IF(ISBLANK(Instructions!L415),"",Instructions!L415)</f>
        <v/>
      </c>
      <c r="I408" t="str">
        <f t="shared" si="14"/>
        <v>NULL</v>
      </c>
      <c r="J408" t="str">
        <f t="shared" si="14"/>
        <v>NULL</v>
      </c>
      <c r="K408" t="str">
        <f>Instructions!M415</f>
        <v>Added via SMSS</v>
      </c>
      <c r="L408" t="str">
        <f t="shared" si="15"/>
        <v>NULL</v>
      </c>
    </row>
    <row r="409" spans="1:12" x14ac:dyDescent="0.25">
      <c r="A409" t="str" cm="1">
        <f t="array" ref="A409">_xlfn.CONCAT(Instructions!C416,Instructions!A416,"_",TEXT(Instructions!B416,"YYYYMMDD"),"_1_",INDEX(Table1[], MATCH(1,(Table1[Estuary]=Instructions!C416)*(Table1[StationNumber]=Instructions!D416)*(Instructions!B416&gt;Table1[StartDate])*(Instructions!B416&lt;Table1[EndDate]),0),1),"_1_",Instructions!E416,"_",Instructions!F416)</f>
        <v>TBSRVY_20190924_1_0291_1_09_008</v>
      </c>
      <c r="B409" t="str" cm="1">
        <f t="array" ref="B409">_xlfn.CONCAT(Instructions!C416,Instructions!A416,"_",TEXT(Instructions!B416,"YYYYMMDD"),"_1_",INDEX(Table1[], MATCH(1,(Table1[Estuary]=Instructions!C416)*(Table1[StationNumber]=Instructions!D416)*(Instructions!B416&gt;Table1[StartDate])*(Instructions!B416&lt;Table1[EndDate]),0),1),"_1_",Instructions!E416)</f>
        <v>TBSRVY_20190924_1_0291_1_09</v>
      </c>
      <c r="C409">
        <f>Instructions!G416</f>
        <v>32</v>
      </c>
      <c r="D409" t="str">
        <f>IF(ISBLANK(Instructions!H416),"",Instructions!H416)</f>
        <v>Entered</v>
      </c>
      <c r="E409" s="1">
        <f>IF(ISBLANK(Instructions!I416),"",Instructions!I416)</f>
        <v>45646</v>
      </c>
      <c r="F409" t="str">
        <f>IF(ISBLANK(Instructions!J416),"",Instructions!J416)</f>
        <v>Erica Williams</v>
      </c>
      <c r="G409" s="1" t="str">
        <f>IF(ISBLANK(Instructions!K416),"",Instructions!K416)</f>
        <v/>
      </c>
      <c r="H409" t="str">
        <f>IF(ISBLANK(Instructions!L416),"",Instructions!L416)</f>
        <v/>
      </c>
      <c r="I409" t="str">
        <f t="shared" si="14"/>
        <v>NULL</v>
      </c>
      <c r="J409" t="str">
        <f t="shared" si="14"/>
        <v>NULL</v>
      </c>
      <c r="K409" t="str">
        <f>Instructions!M416</f>
        <v>Added via SMSS</v>
      </c>
      <c r="L409" t="str">
        <f t="shared" si="15"/>
        <v>NULL</v>
      </c>
    </row>
    <row r="410" spans="1:12" x14ac:dyDescent="0.25">
      <c r="A410" t="str" cm="1">
        <f t="array" ref="A410">_xlfn.CONCAT(Instructions!C417,Instructions!A417,"_",TEXT(Instructions!B417,"YYYYMMDD"),"_1_",INDEX(Table1[], MATCH(1,(Table1[Estuary]=Instructions!C417)*(Table1[StationNumber]=Instructions!D417)*(Instructions!B417&gt;Table1[StartDate])*(Instructions!B417&lt;Table1[EndDate]),0),1),"_1_",Instructions!E417,"_",Instructions!F417)</f>
        <v>TBSRVY_20190924_1_0291_1_09_009</v>
      </c>
      <c r="B410" t="str" cm="1">
        <f t="array" ref="B410">_xlfn.CONCAT(Instructions!C417,Instructions!A417,"_",TEXT(Instructions!B417,"YYYYMMDD"),"_1_",INDEX(Table1[], MATCH(1,(Table1[Estuary]=Instructions!C417)*(Table1[StationNumber]=Instructions!D417)*(Instructions!B417&gt;Table1[StartDate])*(Instructions!B417&lt;Table1[EndDate]),0),1),"_1_",Instructions!E417)</f>
        <v>TBSRVY_20190924_1_0291_1_09</v>
      </c>
      <c r="C410">
        <f>Instructions!G417</f>
        <v>10</v>
      </c>
      <c r="D410" t="str">
        <f>IF(ISBLANK(Instructions!H417),"",Instructions!H417)</f>
        <v>Entered</v>
      </c>
      <c r="E410" s="1">
        <f>IF(ISBLANK(Instructions!I417),"",Instructions!I417)</f>
        <v>45646</v>
      </c>
      <c r="F410" t="str">
        <f>IF(ISBLANK(Instructions!J417),"",Instructions!J417)</f>
        <v>Erica Williams</v>
      </c>
      <c r="G410" s="1" t="str">
        <f>IF(ISBLANK(Instructions!K417),"",Instructions!K417)</f>
        <v/>
      </c>
      <c r="H410" t="str">
        <f>IF(ISBLANK(Instructions!L417),"",Instructions!L417)</f>
        <v/>
      </c>
      <c r="I410" t="str">
        <f t="shared" si="14"/>
        <v>NULL</v>
      </c>
      <c r="J410" t="str">
        <f t="shared" si="14"/>
        <v>NULL</v>
      </c>
      <c r="K410" t="str">
        <f>Instructions!M417</f>
        <v>Added via SMSS</v>
      </c>
      <c r="L410" t="str">
        <f t="shared" si="15"/>
        <v>NULL</v>
      </c>
    </row>
    <row r="411" spans="1:12" x14ac:dyDescent="0.25">
      <c r="A411" t="str" cm="1">
        <f t="array" ref="A411">_xlfn.CONCAT(Instructions!C418,Instructions!A418,"_",TEXT(Instructions!B418,"YYYYMMDD"),"_1_",INDEX(Table1[], MATCH(1,(Table1[Estuary]=Instructions!C418)*(Table1[StationNumber]=Instructions!D418)*(Instructions!B418&gt;Table1[StartDate])*(Instructions!B418&lt;Table1[EndDate]),0),1),"_1_",Instructions!E418,"_",Instructions!F418)</f>
        <v>TBSRVY_20190924_1_0291_1_09_010</v>
      </c>
      <c r="B411" t="str" cm="1">
        <f t="array" ref="B411">_xlfn.CONCAT(Instructions!C418,Instructions!A418,"_",TEXT(Instructions!B418,"YYYYMMDD"),"_1_",INDEX(Table1[], MATCH(1,(Table1[Estuary]=Instructions!C418)*(Table1[StationNumber]=Instructions!D418)*(Instructions!B418&gt;Table1[StartDate])*(Instructions!B418&lt;Table1[EndDate]),0),1),"_1_",Instructions!E418)</f>
        <v>TBSRVY_20190924_1_0291_1_09</v>
      </c>
      <c r="C411">
        <f>Instructions!G418</f>
        <v>16</v>
      </c>
      <c r="D411" t="str">
        <f>IF(ISBLANK(Instructions!H418),"",Instructions!H418)</f>
        <v>Entered</v>
      </c>
      <c r="E411" s="1">
        <f>IF(ISBLANK(Instructions!I418),"",Instructions!I418)</f>
        <v>45646</v>
      </c>
      <c r="F411" t="str">
        <f>IF(ISBLANK(Instructions!J418),"",Instructions!J418)</f>
        <v>Erica Williams</v>
      </c>
      <c r="G411" s="1" t="str">
        <f>IF(ISBLANK(Instructions!K418),"",Instructions!K418)</f>
        <v/>
      </c>
      <c r="H411" t="str">
        <f>IF(ISBLANK(Instructions!L418),"",Instructions!L418)</f>
        <v/>
      </c>
      <c r="I411" t="str">
        <f t="shared" si="14"/>
        <v>NULL</v>
      </c>
      <c r="J411" t="str">
        <f t="shared" si="14"/>
        <v>NULL</v>
      </c>
      <c r="K411" t="str">
        <f>Instructions!M418</f>
        <v>Added via SMSS</v>
      </c>
      <c r="L411" t="str">
        <f t="shared" si="15"/>
        <v>NULL</v>
      </c>
    </row>
    <row r="412" spans="1:12" x14ac:dyDescent="0.25">
      <c r="A412" t="str" cm="1">
        <f t="array" ref="A412">_xlfn.CONCAT(Instructions!C419,Instructions!A419,"_",TEXT(Instructions!B419,"YYYYMMDD"),"_1_",INDEX(Table1[], MATCH(1,(Table1[Estuary]=Instructions!C419)*(Table1[StationNumber]=Instructions!D419)*(Instructions!B419&gt;Table1[StartDate])*(Instructions!B419&lt;Table1[EndDate]),0),1),"_1_",Instructions!E419,"_",Instructions!F419)</f>
        <v>TBSRVY_20190924_1_0291_1_09_011</v>
      </c>
      <c r="B412" t="str" cm="1">
        <f t="array" ref="B412">_xlfn.CONCAT(Instructions!C419,Instructions!A419,"_",TEXT(Instructions!B419,"YYYYMMDD"),"_1_",INDEX(Table1[], MATCH(1,(Table1[Estuary]=Instructions!C419)*(Table1[StationNumber]=Instructions!D419)*(Instructions!B419&gt;Table1[StartDate])*(Instructions!B419&lt;Table1[EndDate]),0),1),"_1_",Instructions!E419)</f>
        <v>TBSRVY_20190924_1_0291_1_09</v>
      </c>
      <c r="C412">
        <f>Instructions!G419</f>
        <v>22</v>
      </c>
      <c r="D412" t="str">
        <f>IF(ISBLANK(Instructions!H419),"",Instructions!H419)</f>
        <v>Entered</v>
      </c>
      <c r="E412" s="1">
        <f>IF(ISBLANK(Instructions!I419),"",Instructions!I419)</f>
        <v>45646</v>
      </c>
      <c r="F412" t="str">
        <f>IF(ISBLANK(Instructions!J419),"",Instructions!J419)</f>
        <v>Erica Williams</v>
      </c>
      <c r="G412" s="1" t="str">
        <f>IF(ISBLANK(Instructions!K419),"",Instructions!K419)</f>
        <v/>
      </c>
      <c r="H412" t="str">
        <f>IF(ISBLANK(Instructions!L419),"",Instructions!L419)</f>
        <v/>
      </c>
      <c r="I412" t="str">
        <f t="shared" si="14"/>
        <v>NULL</v>
      </c>
      <c r="J412" t="str">
        <f t="shared" si="14"/>
        <v>NULL</v>
      </c>
      <c r="K412" t="str">
        <f>Instructions!M419</f>
        <v>Added via SMSS</v>
      </c>
      <c r="L412" t="str">
        <f t="shared" si="15"/>
        <v>NULL</v>
      </c>
    </row>
    <row r="413" spans="1:12" x14ac:dyDescent="0.25">
      <c r="A413" t="str" cm="1">
        <f t="array" ref="A413">_xlfn.CONCAT(Instructions!C420,Instructions!A420,"_",TEXT(Instructions!B420,"YYYYMMDD"),"_1_",INDEX(Table1[], MATCH(1,(Table1[Estuary]=Instructions!C420)*(Table1[StationNumber]=Instructions!D420)*(Instructions!B420&gt;Table1[StartDate])*(Instructions!B420&lt;Table1[EndDate]),0),1),"_1_",Instructions!E420,"_",Instructions!F420)</f>
        <v>TBSRVY_20190924_1_0291_1_09_012</v>
      </c>
      <c r="B413" t="str" cm="1">
        <f t="array" ref="B413">_xlfn.CONCAT(Instructions!C420,Instructions!A420,"_",TEXT(Instructions!B420,"YYYYMMDD"),"_1_",INDEX(Table1[], MATCH(1,(Table1[Estuary]=Instructions!C420)*(Table1[StationNumber]=Instructions!D420)*(Instructions!B420&gt;Table1[StartDate])*(Instructions!B420&lt;Table1[EndDate]),0),1),"_1_",Instructions!E420)</f>
        <v>TBSRVY_20190924_1_0291_1_09</v>
      </c>
      <c r="C413">
        <f>Instructions!G420</f>
        <v>30</v>
      </c>
      <c r="D413" t="str">
        <f>IF(ISBLANK(Instructions!H420),"",Instructions!H420)</f>
        <v>Entered</v>
      </c>
      <c r="E413" s="1">
        <f>IF(ISBLANK(Instructions!I420),"",Instructions!I420)</f>
        <v>45646</v>
      </c>
      <c r="F413" t="str">
        <f>IF(ISBLANK(Instructions!J420),"",Instructions!J420)</f>
        <v>Erica Williams</v>
      </c>
      <c r="G413" s="1" t="str">
        <f>IF(ISBLANK(Instructions!K420),"",Instructions!K420)</f>
        <v/>
      </c>
      <c r="H413" t="str">
        <f>IF(ISBLANK(Instructions!L420),"",Instructions!L420)</f>
        <v/>
      </c>
      <c r="I413" t="str">
        <f t="shared" si="14"/>
        <v>NULL</v>
      </c>
      <c r="J413" t="str">
        <f t="shared" si="14"/>
        <v>NULL</v>
      </c>
      <c r="K413" t="str">
        <f>Instructions!M420</f>
        <v>Added via SMSS</v>
      </c>
      <c r="L413" t="str">
        <f t="shared" si="15"/>
        <v>NULL</v>
      </c>
    </row>
    <row r="414" spans="1:12" x14ac:dyDescent="0.25">
      <c r="A414" t="str" cm="1">
        <f t="array" ref="A414">_xlfn.CONCAT(Instructions!C421,Instructions!A421,"_",TEXT(Instructions!B421,"YYYYMMDD"),"_1_",INDEX(Table1[], MATCH(1,(Table1[Estuary]=Instructions!C421)*(Table1[StationNumber]=Instructions!D421)*(Instructions!B421&gt;Table1[StartDate])*(Instructions!B421&lt;Table1[EndDate]),0),1),"_1_",Instructions!E421,"_",Instructions!F421)</f>
        <v>TBSRVY_20190924_1_0291_1_09_013</v>
      </c>
      <c r="B414" t="str" cm="1">
        <f t="array" ref="B414">_xlfn.CONCAT(Instructions!C421,Instructions!A421,"_",TEXT(Instructions!B421,"YYYYMMDD"),"_1_",INDEX(Table1[], MATCH(1,(Table1[Estuary]=Instructions!C421)*(Table1[StationNumber]=Instructions!D421)*(Instructions!B421&gt;Table1[StartDate])*(Instructions!B421&lt;Table1[EndDate]),0),1),"_1_",Instructions!E421)</f>
        <v>TBSRVY_20190924_1_0291_1_09</v>
      </c>
      <c r="C414">
        <f>Instructions!G421</f>
        <v>21</v>
      </c>
      <c r="D414" t="str">
        <f>IF(ISBLANK(Instructions!H421),"",Instructions!H421)</f>
        <v>Entered</v>
      </c>
      <c r="E414" s="1">
        <f>IF(ISBLANK(Instructions!I421),"",Instructions!I421)</f>
        <v>45646</v>
      </c>
      <c r="F414" t="str">
        <f>IF(ISBLANK(Instructions!J421),"",Instructions!J421)</f>
        <v>Erica Williams</v>
      </c>
      <c r="G414" s="1" t="str">
        <f>IF(ISBLANK(Instructions!K421),"",Instructions!K421)</f>
        <v/>
      </c>
      <c r="H414" t="str">
        <f>IF(ISBLANK(Instructions!L421),"",Instructions!L421)</f>
        <v/>
      </c>
      <c r="I414" t="str">
        <f t="shared" si="14"/>
        <v>NULL</v>
      </c>
      <c r="J414" t="str">
        <f t="shared" si="14"/>
        <v>NULL</v>
      </c>
      <c r="K414" t="str">
        <f>Instructions!M421</f>
        <v>Added via SMSS</v>
      </c>
      <c r="L414" t="str">
        <f t="shared" si="15"/>
        <v>NULL</v>
      </c>
    </row>
    <row r="415" spans="1:12" x14ac:dyDescent="0.25">
      <c r="A415" t="str" cm="1">
        <f t="array" ref="A415">_xlfn.CONCAT(Instructions!C422,Instructions!A422,"_",TEXT(Instructions!B422,"YYYYMMDD"),"_1_",INDEX(Table1[], MATCH(1,(Table1[Estuary]=Instructions!C422)*(Table1[StationNumber]=Instructions!D422)*(Instructions!B422&gt;Table1[StartDate])*(Instructions!B422&lt;Table1[EndDate]),0),1),"_1_",Instructions!E422,"_",Instructions!F422)</f>
        <v>TBSRVY_20190924_1_0291_1_09_014</v>
      </c>
      <c r="B415" t="str" cm="1">
        <f t="array" ref="B415">_xlfn.CONCAT(Instructions!C422,Instructions!A422,"_",TEXT(Instructions!B422,"YYYYMMDD"),"_1_",INDEX(Table1[], MATCH(1,(Table1[Estuary]=Instructions!C422)*(Table1[StationNumber]=Instructions!D422)*(Instructions!B422&gt;Table1[StartDate])*(Instructions!B422&lt;Table1[EndDate]),0),1),"_1_",Instructions!E422)</f>
        <v>TBSRVY_20190924_1_0291_1_09</v>
      </c>
      <c r="C415">
        <f>Instructions!G422</f>
        <v>28</v>
      </c>
      <c r="D415" t="str">
        <f>IF(ISBLANK(Instructions!H422),"",Instructions!H422)</f>
        <v>Entered</v>
      </c>
      <c r="E415" s="1">
        <f>IF(ISBLANK(Instructions!I422),"",Instructions!I422)</f>
        <v>45646</v>
      </c>
      <c r="F415" t="str">
        <f>IF(ISBLANK(Instructions!J422),"",Instructions!J422)</f>
        <v>Erica Williams</v>
      </c>
      <c r="G415" s="1" t="str">
        <f>IF(ISBLANK(Instructions!K422),"",Instructions!K422)</f>
        <v/>
      </c>
      <c r="H415" t="str">
        <f>IF(ISBLANK(Instructions!L422),"",Instructions!L422)</f>
        <v/>
      </c>
      <c r="I415" t="str">
        <f t="shared" si="14"/>
        <v>NULL</v>
      </c>
      <c r="J415" t="str">
        <f t="shared" si="14"/>
        <v>NULL</v>
      </c>
      <c r="K415" t="str">
        <f>Instructions!M422</f>
        <v>Added via SMSS</v>
      </c>
      <c r="L415" t="str">
        <f t="shared" si="15"/>
        <v>NULL</v>
      </c>
    </row>
    <row r="416" spans="1:12" x14ac:dyDescent="0.25">
      <c r="A416" t="str" cm="1">
        <f t="array" ref="A416">_xlfn.CONCAT(Instructions!C423,Instructions!A423,"_",TEXT(Instructions!B423,"YYYYMMDD"),"_1_",INDEX(Table1[], MATCH(1,(Table1[Estuary]=Instructions!C423)*(Table1[StationNumber]=Instructions!D423)*(Instructions!B423&gt;Table1[StartDate])*(Instructions!B423&lt;Table1[EndDate]),0),1),"_1_",Instructions!E423,"_",Instructions!F423)</f>
        <v>TBSRVY_20190924_1_0291_1_09_015</v>
      </c>
      <c r="B416" t="str" cm="1">
        <f t="array" ref="B416">_xlfn.CONCAT(Instructions!C423,Instructions!A423,"_",TEXT(Instructions!B423,"YYYYMMDD"),"_1_",INDEX(Table1[], MATCH(1,(Table1[Estuary]=Instructions!C423)*(Table1[StationNumber]=Instructions!D423)*(Instructions!B423&gt;Table1[StartDate])*(Instructions!B423&lt;Table1[EndDate]),0),1),"_1_",Instructions!E423)</f>
        <v>TBSRVY_20190924_1_0291_1_09</v>
      </c>
      <c r="C416">
        <f>Instructions!G423</f>
        <v>30</v>
      </c>
      <c r="D416" t="str">
        <f>IF(ISBLANK(Instructions!H423),"",Instructions!H423)</f>
        <v>Entered</v>
      </c>
      <c r="E416" s="1">
        <f>IF(ISBLANK(Instructions!I423),"",Instructions!I423)</f>
        <v>45646</v>
      </c>
      <c r="F416" t="str">
        <f>IF(ISBLANK(Instructions!J423),"",Instructions!J423)</f>
        <v>Erica Williams</v>
      </c>
      <c r="G416" s="1" t="str">
        <f>IF(ISBLANK(Instructions!K423),"",Instructions!K423)</f>
        <v/>
      </c>
      <c r="H416" t="str">
        <f>IF(ISBLANK(Instructions!L423),"",Instructions!L423)</f>
        <v/>
      </c>
      <c r="I416" t="str">
        <f t="shared" si="14"/>
        <v>NULL</v>
      </c>
      <c r="J416" t="str">
        <f t="shared" si="14"/>
        <v>NULL</v>
      </c>
      <c r="K416" t="str">
        <f>Instructions!M423</f>
        <v>Added via SMSS</v>
      </c>
      <c r="L416" t="str">
        <f t="shared" si="15"/>
        <v>NULL</v>
      </c>
    </row>
    <row r="417" spans="1:12" x14ac:dyDescent="0.25">
      <c r="A417" t="str" cm="1">
        <f t="array" ref="A417">_xlfn.CONCAT(Instructions!C424,Instructions!A424,"_",TEXT(Instructions!B424,"YYYYMMDD"),"_1_",INDEX(Table1[], MATCH(1,(Table1[Estuary]=Instructions!C424)*(Table1[StationNumber]=Instructions!D424)*(Instructions!B424&gt;Table1[StartDate])*(Instructions!B424&lt;Table1[EndDate]),0),1),"_1_",Instructions!E424,"_",Instructions!F424)</f>
        <v>TBSRVY_20190924_1_0291_1_09_016</v>
      </c>
      <c r="B417" t="str" cm="1">
        <f t="array" ref="B417">_xlfn.CONCAT(Instructions!C424,Instructions!A424,"_",TEXT(Instructions!B424,"YYYYMMDD"),"_1_",INDEX(Table1[], MATCH(1,(Table1[Estuary]=Instructions!C424)*(Table1[StationNumber]=Instructions!D424)*(Instructions!B424&gt;Table1[StartDate])*(Instructions!B424&lt;Table1[EndDate]),0),1),"_1_",Instructions!E424)</f>
        <v>TBSRVY_20190924_1_0291_1_09</v>
      </c>
      <c r="C417">
        <f>Instructions!G424</f>
        <v>25</v>
      </c>
      <c r="D417" t="str">
        <f>IF(ISBLANK(Instructions!H424),"",Instructions!H424)</f>
        <v>Entered</v>
      </c>
      <c r="E417" s="1">
        <f>IF(ISBLANK(Instructions!I424),"",Instructions!I424)</f>
        <v>45646</v>
      </c>
      <c r="F417" t="str">
        <f>IF(ISBLANK(Instructions!J424),"",Instructions!J424)</f>
        <v>Erica Williams</v>
      </c>
      <c r="G417" s="1" t="str">
        <f>IF(ISBLANK(Instructions!K424),"",Instructions!K424)</f>
        <v/>
      </c>
      <c r="H417" t="str">
        <f>IF(ISBLANK(Instructions!L424),"",Instructions!L424)</f>
        <v/>
      </c>
      <c r="I417" t="str">
        <f t="shared" si="14"/>
        <v>NULL</v>
      </c>
      <c r="J417" t="str">
        <f t="shared" si="14"/>
        <v>NULL</v>
      </c>
      <c r="K417" t="str">
        <f>Instructions!M424</f>
        <v>Added via SMSS</v>
      </c>
      <c r="L417" t="str">
        <f t="shared" si="15"/>
        <v>NULL</v>
      </c>
    </row>
    <row r="418" spans="1:12" x14ac:dyDescent="0.25">
      <c r="A418" t="str" cm="1">
        <f t="array" ref="A418">_xlfn.CONCAT(Instructions!C425,Instructions!A425,"_",TEXT(Instructions!B425,"YYYYMMDD"),"_1_",INDEX(Table1[], MATCH(1,(Table1[Estuary]=Instructions!C425)*(Table1[StationNumber]=Instructions!D425)*(Instructions!B425&gt;Table1[StartDate])*(Instructions!B425&lt;Table1[EndDate]),0),1),"_1_",Instructions!E425,"_",Instructions!F425)</f>
        <v>TBSRVY_20190924_1_0291_1_09_017</v>
      </c>
      <c r="B418" t="str" cm="1">
        <f t="array" ref="B418">_xlfn.CONCAT(Instructions!C425,Instructions!A425,"_",TEXT(Instructions!B425,"YYYYMMDD"),"_1_",INDEX(Table1[], MATCH(1,(Table1[Estuary]=Instructions!C425)*(Table1[StationNumber]=Instructions!D425)*(Instructions!B425&gt;Table1[StartDate])*(Instructions!B425&lt;Table1[EndDate]),0),1),"_1_",Instructions!E425)</f>
        <v>TBSRVY_20190924_1_0291_1_09</v>
      </c>
      <c r="C418">
        <f>Instructions!G425</f>
        <v>16</v>
      </c>
      <c r="D418" t="str">
        <f>IF(ISBLANK(Instructions!H425),"",Instructions!H425)</f>
        <v>Entered</v>
      </c>
      <c r="E418" s="1">
        <f>IF(ISBLANK(Instructions!I425),"",Instructions!I425)</f>
        <v>45646</v>
      </c>
      <c r="F418" t="str">
        <f>IF(ISBLANK(Instructions!J425),"",Instructions!J425)</f>
        <v>Erica Williams</v>
      </c>
      <c r="G418" s="1" t="str">
        <f>IF(ISBLANK(Instructions!K425),"",Instructions!K425)</f>
        <v/>
      </c>
      <c r="H418" t="str">
        <f>IF(ISBLANK(Instructions!L425),"",Instructions!L425)</f>
        <v/>
      </c>
      <c r="I418" t="str">
        <f t="shared" si="14"/>
        <v>NULL</v>
      </c>
      <c r="J418" t="str">
        <f t="shared" si="14"/>
        <v>NULL</v>
      </c>
      <c r="K418" t="str">
        <f>Instructions!M425</f>
        <v>Added via SMSS</v>
      </c>
      <c r="L418" t="str">
        <f t="shared" si="15"/>
        <v>NULL</v>
      </c>
    </row>
    <row r="419" spans="1:12" x14ac:dyDescent="0.25">
      <c r="A419" t="str" cm="1">
        <f t="array" ref="A419">_xlfn.CONCAT(Instructions!C426,Instructions!A426,"_",TEXT(Instructions!B426,"YYYYMMDD"),"_1_",INDEX(Table1[], MATCH(1,(Table1[Estuary]=Instructions!C426)*(Table1[StationNumber]=Instructions!D426)*(Instructions!B426&gt;Table1[StartDate])*(Instructions!B426&lt;Table1[EndDate]),0),1),"_1_",Instructions!E426,"_",Instructions!F426)</f>
        <v>TBSRVY_20190924_1_0291_1_09_018</v>
      </c>
      <c r="B419" t="str" cm="1">
        <f t="array" ref="B419">_xlfn.CONCAT(Instructions!C426,Instructions!A426,"_",TEXT(Instructions!B426,"YYYYMMDD"),"_1_",INDEX(Table1[], MATCH(1,(Table1[Estuary]=Instructions!C426)*(Table1[StationNumber]=Instructions!D426)*(Instructions!B426&gt;Table1[StartDate])*(Instructions!B426&lt;Table1[EndDate]),0),1),"_1_",Instructions!E426)</f>
        <v>TBSRVY_20190924_1_0291_1_09</v>
      </c>
      <c r="C419">
        <f>Instructions!G426</f>
        <v>20</v>
      </c>
      <c r="D419" t="str">
        <f>IF(ISBLANK(Instructions!H426),"",Instructions!H426)</f>
        <v>Entered</v>
      </c>
      <c r="E419" s="1">
        <f>IF(ISBLANK(Instructions!I426),"",Instructions!I426)</f>
        <v>45646</v>
      </c>
      <c r="F419" t="str">
        <f>IF(ISBLANK(Instructions!J426),"",Instructions!J426)</f>
        <v>Erica Williams</v>
      </c>
      <c r="G419" s="1" t="str">
        <f>IF(ISBLANK(Instructions!K426),"",Instructions!K426)</f>
        <v/>
      </c>
      <c r="H419" t="str">
        <f>IF(ISBLANK(Instructions!L426),"",Instructions!L426)</f>
        <v/>
      </c>
      <c r="I419" t="str">
        <f t="shared" si="14"/>
        <v>NULL</v>
      </c>
      <c r="J419" t="str">
        <f t="shared" si="14"/>
        <v>NULL</v>
      </c>
      <c r="K419" t="str">
        <f>Instructions!M426</f>
        <v>Added via SMSS</v>
      </c>
      <c r="L419" t="str">
        <f t="shared" si="15"/>
        <v>NULL</v>
      </c>
    </row>
    <row r="420" spans="1:12" x14ac:dyDescent="0.25">
      <c r="A420" t="str" cm="1">
        <f t="array" ref="A420">_xlfn.CONCAT(Instructions!C427,Instructions!A427,"_",TEXT(Instructions!B427,"YYYYMMDD"),"_1_",INDEX(Table1[], MATCH(1,(Table1[Estuary]=Instructions!C427)*(Table1[StationNumber]=Instructions!D427)*(Instructions!B427&gt;Table1[StartDate])*(Instructions!B427&lt;Table1[EndDate]),0),1),"_1_",Instructions!E427,"_",Instructions!F427)</f>
        <v>TBSRVY_20190924_1_0291_1_09_019</v>
      </c>
      <c r="B420" t="str" cm="1">
        <f t="array" ref="B420">_xlfn.CONCAT(Instructions!C427,Instructions!A427,"_",TEXT(Instructions!B427,"YYYYMMDD"),"_1_",INDEX(Table1[], MATCH(1,(Table1[Estuary]=Instructions!C427)*(Table1[StationNumber]=Instructions!D427)*(Instructions!B427&gt;Table1[StartDate])*(Instructions!B427&lt;Table1[EndDate]),0),1),"_1_",Instructions!E427)</f>
        <v>TBSRVY_20190924_1_0291_1_09</v>
      </c>
      <c r="C420">
        <f>Instructions!G427</f>
        <v>47</v>
      </c>
      <c r="D420" t="str">
        <f>IF(ISBLANK(Instructions!H427),"",Instructions!H427)</f>
        <v>Entered</v>
      </c>
      <c r="E420" s="1">
        <f>IF(ISBLANK(Instructions!I427),"",Instructions!I427)</f>
        <v>45646</v>
      </c>
      <c r="F420" t="str">
        <f>IF(ISBLANK(Instructions!J427),"",Instructions!J427)</f>
        <v>Erica Williams</v>
      </c>
      <c r="G420" s="1" t="str">
        <f>IF(ISBLANK(Instructions!K427),"",Instructions!K427)</f>
        <v/>
      </c>
      <c r="H420" t="str">
        <f>IF(ISBLANK(Instructions!L427),"",Instructions!L427)</f>
        <v/>
      </c>
      <c r="I420" t="str">
        <f t="shared" si="14"/>
        <v>NULL</v>
      </c>
      <c r="J420" t="str">
        <f t="shared" si="14"/>
        <v>NULL</v>
      </c>
      <c r="K420" t="str">
        <f>Instructions!M427</f>
        <v>Added via SMSS</v>
      </c>
      <c r="L420" t="str">
        <f t="shared" si="15"/>
        <v>NULL</v>
      </c>
    </row>
    <row r="421" spans="1:12" x14ac:dyDescent="0.25">
      <c r="A421" t="str" cm="1">
        <f t="array" ref="A421">_xlfn.CONCAT(Instructions!C428,Instructions!A428,"_",TEXT(Instructions!B428,"YYYYMMDD"),"_1_",INDEX(Table1[], MATCH(1,(Table1[Estuary]=Instructions!C428)*(Table1[StationNumber]=Instructions!D428)*(Instructions!B428&gt;Table1[StartDate])*(Instructions!B428&lt;Table1[EndDate]),0),1),"_1_",Instructions!E428,"_",Instructions!F428)</f>
        <v>TBSRVY_20190924_1_0291_1_09_020</v>
      </c>
      <c r="B421" t="str" cm="1">
        <f t="array" ref="B421">_xlfn.CONCAT(Instructions!C428,Instructions!A428,"_",TEXT(Instructions!B428,"YYYYMMDD"),"_1_",INDEX(Table1[], MATCH(1,(Table1[Estuary]=Instructions!C428)*(Table1[StationNumber]=Instructions!D428)*(Instructions!B428&gt;Table1[StartDate])*(Instructions!B428&lt;Table1[EndDate]),0),1),"_1_",Instructions!E428)</f>
        <v>TBSRVY_20190924_1_0291_1_09</v>
      </c>
      <c r="C421">
        <f>Instructions!G428</f>
        <v>14</v>
      </c>
      <c r="D421" t="str">
        <f>IF(ISBLANK(Instructions!H428),"",Instructions!H428)</f>
        <v>Entered</v>
      </c>
      <c r="E421" s="1">
        <f>IF(ISBLANK(Instructions!I428),"",Instructions!I428)</f>
        <v>45646</v>
      </c>
      <c r="F421" t="str">
        <f>IF(ISBLANK(Instructions!J428),"",Instructions!J428)</f>
        <v>Erica Williams</v>
      </c>
      <c r="G421" s="1" t="str">
        <f>IF(ISBLANK(Instructions!K428),"",Instructions!K428)</f>
        <v/>
      </c>
      <c r="H421" t="str">
        <f>IF(ISBLANK(Instructions!L428),"",Instructions!L428)</f>
        <v/>
      </c>
      <c r="I421" t="str">
        <f t="shared" si="14"/>
        <v>NULL</v>
      </c>
      <c r="J421" t="str">
        <f t="shared" ref="J421" si="16">"NULL"</f>
        <v>NULL</v>
      </c>
      <c r="K421" t="str">
        <f>Instructions!M428</f>
        <v>Added via SMSS</v>
      </c>
      <c r="L421" t="str">
        <f t="shared" si="15"/>
        <v>NULL</v>
      </c>
    </row>
    <row r="422" spans="1:12" x14ac:dyDescent="0.25">
      <c r="A422" t="str" cm="1">
        <f t="array" ref="A422">_xlfn.CONCAT(Instructions!C429,Instructions!A429,"_",TEXT(Instructions!B429,"YYYYMMDD"),"_1_",INDEX(Table1[], MATCH(1,(Table1[Estuary]=Instructions!C429)*(Table1[StationNumber]=Instructions!D429)*(Instructions!B429&gt;Table1[StartDate])*(Instructions!B429&lt;Table1[EndDate]),0),1),"_1_",Instructions!E429,"_",Instructions!F429)</f>
        <v>TBSRVY_20190924_1_0291_1_09_021</v>
      </c>
      <c r="B422" t="str" cm="1">
        <f t="array" ref="B422">_xlfn.CONCAT(Instructions!C429,Instructions!A429,"_",TEXT(Instructions!B429,"YYYYMMDD"),"_1_",INDEX(Table1[], MATCH(1,(Table1[Estuary]=Instructions!C429)*(Table1[StationNumber]=Instructions!D429)*(Instructions!B429&gt;Table1[StartDate])*(Instructions!B429&lt;Table1[EndDate]),0),1),"_1_",Instructions!E429)</f>
        <v>TBSRVY_20190924_1_0291_1_09</v>
      </c>
      <c r="C422">
        <f>Instructions!G429</f>
        <v>23</v>
      </c>
      <c r="D422" t="str">
        <f>IF(ISBLANK(Instructions!H429),"",Instructions!H429)</f>
        <v>Entered</v>
      </c>
      <c r="E422" s="1">
        <f>IF(ISBLANK(Instructions!I429),"",Instructions!I429)</f>
        <v>45646</v>
      </c>
      <c r="F422" t="str">
        <f>IF(ISBLANK(Instructions!J429),"",Instructions!J429)</f>
        <v>Erica Williams</v>
      </c>
      <c r="G422" s="1" t="str">
        <f>IF(ISBLANK(Instructions!K429),"",Instructions!K429)</f>
        <v/>
      </c>
      <c r="H422" t="str">
        <f>IF(ISBLANK(Instructions!L429),"",Instructions!L429)</f>
        <v/>
      </c>
      <c r="I422" t="str">
        <f t="shared" ref="I422:J485" si="17">"NULL"</f>
        <v>NULL</v>
      </c>
      <c r="J422" t="str">
        <f t="shared" si="17"/>
        <v>NULL</v>
      </c>
      <c r="K422" t="str">
        <f>Instructions!M429</f>
        <v>Added via SMSS</v>
      </c>
      <c r="L422" t="str">
        <f t="shared" si="15"/>
        <v>NULL</v>
      </c>
    </row>
    <row r="423" spans="1:12" x14ac:dyDescent="0.25">
      <c r="A423" t="str" cm="1">
        <f t="array" ref="A423">_xlfn.CONCAT(Instructions!C430,Instructions!A430,"_",TEXT(Instructions!B430,"YYYYMMDD"),"_1_",INDEX(Table1[], MATCH(1,(Table1[Estuary]=Instructions!C430)*(Table1[StationNumber]=Instructions!D430)*(Instructions!B430&gt;Table1[StartDate])*(Instructions!B430&lt;Table1[EndDate]),0),1),"_1_",Instructions!E430,"_",Instructions!F430)</f>
        <v>TBSRVY_20190924_1_0291_1_09_022</v>
      </c>
      <c r="B423" t="str" cm="1">
        <f t="array" ref="B423">_xlfn.CONCAT(Instructions!C430,Instructions!A430,"_",TEXT(Instructions!B430,"YYYYMMDD"),"_1_",INDEX(Table1[], MATCH(1,(Table1[Estuary]=Instructions!C430)*(Table1[StationNumber]=Instructions!D430)*(Instructions!B430&gt;Table1[StartDate])*(Instructions!B430&lt;Table1[EndDate]),0),1),"_1_",Instructions!E430)</f>
        <v>TBSRVY_20190924_1_0291_1_09</v>
      </c>
      <c r="C423">
        <f>Instructions!G430</f>
        <v>10</v>
      </c>
      <c r="D423" t="str">
        <f>IF(ISBLANK(Instructions!H430),"",Instructions!H430)</f>
        <v>Entered</v>
      </c>
      <c r="E423" s="1">
        <f>IF(ISBLANK(Instructions!I430),"",Instructions!I430)</f>
        <v>45646</v>
      </c>
      <c r="F423" t="str">
        <f>IF(ISBLANK(Instructions!J430),"",Instructions!J430)</f>
        <v>Erica Williams</v>
      </c>
      <c r="G423" s="1" t="str">
        <f>IF(ISBLANK(Instructions!K430),"",Instructions!K430)</f>
        <v/>
      </c>
      <c r="H423" t="str">
        <f>IF(ISBLANK(Instructions!L430),"",Instructions!L430)</f>
        <v/>
      </c>
      <c r="I423" t="str">
        <f t="shared" si="17"/>
        <v>NULL</v>
      </c>
      <c r="J423" t="str">
        <f t="shared" si="17"/>
        <v>NULL</v>
      </c>
      <c r="K423" t="str">
        <f>Instructions!M430</f>
        <v>Added via SMSS</v>
      </c>
      <c r="L423" t="str">
        <f t="shared" si="15"/>
        <v>NULL</v>
      </c>
    </row>
    <row r="424" spans="1:12" x14ac:dyDescent="0.25">
      <c r="A424" t="str" cm="1">
        <f t="array" ref="A424">_xlfn.CONCAT(Instructions!C431,Instructions!A431,"_",TEXT(Instructions!B431,"YYYYMMDD"),"_1_",INDEX(Table1[], MATCH(1,(Table1[Estuary]=Instructions!C431)*(Table1[StationNumber]=Instructions!D431)*(Instructions!B431&gt;Table1[StartDate])*(Instructions!B431&lt;Table1[EndDate]),0),1),"_1_",Instructions!E431,"_",Instructions!F431)</f>
        <v>TBSRVY_20190924_1_0291_1_09_023</v>
      </c>
      <c r="B424" t="str" cm="1">
        <f t="array" ref="B424">_xlfn.CONCAT(Instructions!C431,Instructions!A431,"_",TEXT(Instructions!B431,"YYYYMMDD"),"_1_",INDEX(Table1[], MATCH(1,(Table1[Estuary]=Instructions!C431)*(Table1[StationNumber]=Instructions!D431)*(Instructions!B431&gt;Table1[StartDate])*(Instructions!B431&lt;Table1[EndDate]),0),1),"_1_",Instructions!E431)</f>
        <v>TBSRVY_20190924_1_0291_1_09</v>
      </c>
      <c r="C424">
        <f>Instructions!G431</f>
        <v>33</v>
      </c>
      <c r="D424" t="str">
        <f>IF(ISBLANK(Instructions!H431),"",Instructions!H431)</f>
        <v>Entered</v>
      </c>
      <c r="E424" s="1">
        <f>IF(ISBLANK(Instructions!I431),"",Instructions!I431)</f>
        <v>45646</v>
      </c>
      <c r="F424" t="str">
        <f>IF(ISBLANK(Instructions!J431),"",Instructions!J431)</f>
        <v>Erica Williams</v>
      </c>
      <c r="G424" s="1" t="str">
        <f>IF(ISBLANK(Instructions!K431),"",Instructions!K431)</f>
        <v/>
      </c>
      <c r="H424" t="str">
        <f>IF(ISBLANK(Instructions!L431),"",Instructions!L431)</f>
        <v/>
      </c>
      <c r="I424" t="str">
        <f t="shared" si="17"/>
        <v>NULL</v>
      </c>
      <c r="J424" t="str">
        <f t="shared" si="17"/>
        <v>NULL</v>
      </c>
      <c r="K424" t="str">
        <f>Instructions!M431</f>
        <v>Added via SMSS</v>
      </c>
      <c r="L424" t="str">
        <f t="shared" si="15"/>
        <v>NULL</v>
      </c>
    </row>
    <row r="425" spans="1:12" x14ac:dyDescent="0.25">
      <c r="A425" t="str" cm="1">
        <f t="array" ref="A425">_xlfn.CONCAT(Instructions!C432,Instructions!A432,"_",TEXT(Instructions!B432,"YYYYMMDD"),"_1_",INDEX(Table1[], MATCH(1,(Table1[Estuary]=Instructions!C432)*(Table1[StationNumber]=Instructions!D432)*(Instructions!B432&gt;Table1[StartDate])*(Instructions!B432&lt;Table1[EndDate]),0),1),"_1_",Instructions!E432,"_",Instructions!F432)</f>
        <v>TBSRVY_20190924_1_0291_1_09_024</v>
      </c>
      <c r="B425" t="str" cm="1">
        <f t="array" ref="B425">_xlfn.CONCAT(Instructions!C432,Instructions!A432,"_",TEXT(Instructions!B432,"YYYYMMDD"),"_1_",INDEX(Table1[], MATCH(1,(Table1[Estuary]=Instructions!C432)*(Table1[StationNumber]=Instructions!D432)*(Instructions!B432&gt;Table1[StartDate])*(Instructions!B432&lt;Table1[EndDate]),0),1),"_1_",Instructions!E432)</f>
        <v>TBSRVY_20190924_1_0291_1_09</v>
      </c>
      <c r="C425">
        <f>Instructions!G432</f>
        <v>12</v>
      </c>
      <c r="D425" t="str">
        <f>IF(ISBLANK(Instructions!H432),"",Instructions!H432)</f>
        <v>Entered</v>
      </c>
      <c r="E425" s="1">
        <f>IF(ISBLANK(Instructions!I432),"",Instructions!I432)</f>
        <v>45646</v>
      </c>
      <c r="F425" t="str">
        <f>IF(ISBLANK(Instructions!J432),"",Instructions!J432)</f>
        <v>Erica Williams</v>
      </c>
      <c r="G425" s="1" t="str">
        <f>IF(ISBLANK(Instructions!K432),"",Instructions!K432)</f>
        <v/>
      </c>
      <c r="H425" t="str">
        <f>IF(ISBLANK(Instructions!L432),"",Instructions!L432)</f>
        <v/>
      </c>
      <c r="I425" t="str">
        <f t="shared" si="17"/>
        <v>NULL</v>
      </c>
      <c r="J425" t="str">
        <f t="shared" si="17"/>
        <v>NULL</v>
      </c>
      <c r="K425" t="str">
        <f>Instructions!M432</f>
        <v>Added via SMSS</v>
      </c>
      <c r="L425" t="str">
        <f t="shared" si="15"/>
        <v>NULL</v>
      </c>
    </row>
    <row r="426" spans="1:12" x14ac:dyDescent="0.25">
      <c r="A426" t="str" cm="1">
        <f t="array" ref="A426">_xlfn.CONCAT(Instructions!C433,Instructions!A433,"_",TEXT(Instructions!B433,"YYYYMMDD"),"_1_",INDEX(Table1[], MATCH(1,(Table1[Estuary]=Instructions!C433)*(Table1[StationNumber]=Instructions!D433)*(Instructions!B433&gt;Table1[StartDate])*(Instructions!B433&lt;Table1[EndDate]),0),1),"_1_",Instructions!E433,"_",Instructions!F433)</f>
        <v>TBSRVY_20190924_1_0291_1_09_025</v>
      </c>
      <c r="B426" t="str" cm="1">
        <f t="array" ref="B426">_xlfn.CONCAT(Instructions!C433,Instructions!A433,"_",TEXT(Instructions!B433,"YYYYMMDD"),"_1_",INDEX(Table1[], MATCH(1,(Table1[Estuary]=Instructions!C433)*(Table1[StationNumber]=Instructions!D433)*(Instructions!B433&gt;Table1[StartDate])*(Instructions!B433&lt;Table1[EndDate]),0),1),"_1_",Instructions!E433)</f>
        <v>TBSRVY_20190924_1_0291_1_09</v>
      </c>
      <c r="C426">
        <f>Instructions!G433</f>
        <v>33</v>
      </c>
      <c r="D426" t="str">
        <f>IF(ISBLANK(Instructions!H433),"",Instructions!H433)</f>
        <v>Entered</v>
      </c>
      <c r="E426" s="1">
        <f>IF(ISBLANK(Instructions!I433),"",Instructions!I433)</f>
        <v>45646</v>
      </c>
      <c r="F426" t="str">
        <f>IF(ISBLANK(Instructions!J433),"",Instructions!J433)</f>
        <v>Erica Williams</v>
      </c>
      <c r="G426" s="1" t="str">
        <f>IF(ISBLANK(Instructions!K433),"",Instructions!K433)</f>
        <v/>
      </c>
      <c r="H426" t="str">
        <f>IF(ISBLANK(Instructions!L433),"",Instructions!L433)</f>
        <v/>
      </c>
      <c r="I426" t="str">
        <f t="shared" si="17"/>
        <v>NULL</v>
      </c>
      <c r="J426" t="str">
        <f t="shared" si="17"/>
        <v>NULL</v>
      </c>
      <c r="K426" t="str">
        <f>Instructions!M433</f>
        <v>Added via SMSS</v>
      </c>
      <c r="L426" t="str">
        <f t="shared" si="15"/>
        <v>NULL</v>
      </c>
    </row>
    <row r="427" spans="1:12" x14ac:dyDescent="0.25">
      <c r="A427" t="str" cm="1">
        <f t="array" ref="A427">_xlfn.CONCAT(Instructions!C434,Instructions!A434,"_",TEXT(Instructions!B434,"YYYYMMDD"),"_1_",INDEX(Table1[], MATCH(1,(Table1[Estuary]=Instructions!C434)*(Table1[StationNumber]=Instructions!D434)*(Instructions!B434&gt;Table1[StartDate])*(Instructions!B434&lt;Table1[EndDate]),0),1),"_1_",Instructions!E434,"_",Instructions!F434)</f>
        <v>TBSRVY_20190924_1_0291_1_09_026</v>
      </c>
      <c r="B427" t="str" cm="1">
        <f t="array" ref="B427">_xlfn.CONCAT(Instructions!C434,Instructions!A434,"_",TEXT(Instructions!B434,"YYYYMMDD"),"_1_",INDEX(Table1[], MATCH(1,(Table1[Estuary]=Instructions!C434)*(Table1[StationNumber]=Instructions!D434)*(Instructions!B434&gt;Table1[StartDate])*(Instructions!B434&lt;Table1[EndDate]),0),1),"_1_",Instructions!E434)</f>
        <v>TBSRVY_20190924_1_0291_1_09</v>
      </c>
      <c r="C427">
        <f>Instructions!G434</f>
        <v>10</v>
      </c>
      <c r="D427" t="str">
        <f>IF(ISBLANK(Instructions!H434),"",Instructions!H434)</f>
        <v>Entered</v>
      </c>
      <c r="E427" s="1">
        <f>IF(ISBLANK(Instructions!I434),"",Instructions!I434)</f>
        <v>45646</v>
      </c>
      <c r="F427" t="str">
        <f>IF(ISBLANK(Instructions!J434),"",Instructions!J434)</f>
        <v>Erica Williams</v>
      </c>
      <c r="G427" s="1" t="str">
        <f>IF(ISBLANK(Instructions!K434),"",Instructions!K434)</f>
        <v/>
      </c>
      <c r="H427" t="str">
        <f>IF(ISBLANK(Instructions!L434),"",Instructions!L434)</f>
        <v/>
      </c>
      <c r="I427" t="str">
        <f t="shared" si="17"/>
        <v>NULL</v>
      </c>
      <c r="J427" t="str">
        <f t="shared" si="17"/>
        <v>NULL</v>
      </c>
      <c r="K427" t="str">
        <f>Instructions!M434</f>
        <v>Added via SMSS</v>
      </c>
      <c r="L427" t="str">
        <f t="shared" si="15"/>
        <v>NULL</v>
      </c>
    </row>
    <row r="428" spans="1:12" x14ac:dyDescent="0.25">
      <c r="A428" t="str" cm="1">
        <f t="array" ref="A428">_xlfn.CONCAT(Instructions!C435,Instructions!A435,"_",TEXT(Instructions!B435,"YYYYMMDD"),"_1_",INDEX(Table1[], MATCH(1,(Table1[Estuary]=Instructions!C435)*(Table1[StationNumber]=Instructions!D435)*(Instructions!B435&gt;Table1[StartDate])*(Instructions!B435&lt;Table1[EndDate]),0),1),"_1_",Instructions!E435,"_",Instructions!F435)</f>
        <v>TBSRVY_20190924_1_0291_1_09_027</v>
      </c>
      <c r="B428" t="str" cm="1">
        <f t="array" ref="B428">_xlfn.CONCAT(Instructions!C435,Instructions!A435,"_",TEXT(Instructions!B435,"YYYYMMDD"),"_1_",INDEX(Table1[], MATCH(1,(Table1[Estuary]=Instructions!C435)*(Table1[StationNumber]=Instructions!D435)*(Instructions!B435&gt;Table1[StartDate])*(Instructions!B435&lt;Table1[EndDate]),0),1),"_1_",Instructions!E435)</f>
        <v>TBSRVY_20190924_1_0291_1_09</v>
      </c>
      <c r="C428">
        <f>Instructions!G435</f>
        <v>13</v>
      </c>
      <c r="D428" t="str">
        <f>IF(ISBLANK(Instructions!H435),"",Instructions!H435)</f>
        <v>Entered</v>
      </c>
      <c r="E428" s="1">
        <f>IF(ISBLANK(Instructions!I435),"",Instructions!I435)</f>
        <v>45646</v>
      </c>
      <c r="F428" t="str">
        <f>IF(ISBLANK(Instructions!J435),"",Instructions!J435)</f>
        <v>Erica Williams</v>
      </c>
      <c r="G428" s="1" t="str">
        <f>IF(ISBLANK(Instructions!K435),"",Instructions!K435)</f>
        <v/>
      </c>
      <c r="H428" t="str">
        <f>IF(ISBLANK(Instructions!L435),"",Instructions!L435)</f>
        <v/>
      </c>
      <c r="I428" t="str">
        <f t="shared" si="17"/>
        <v>NULL</v>
      </c>
      <c r="J428" t="str">
        <f t="shared" si="17"/>
        <v>NULL</v>
      </c>
      <c r="K428" t="str">
        <f>Instructions!M435</f>
        <v>Added via SMSS</v>
      </c>
      <c r="L428" t="str">
        <f t="shared" si="15"/>
        <v>NULL</v>
      </c>
    </row>
    <row r="429" spans="1:12" x14ac:dyDescent="0.25">
      <c r="A429" t="str" cm="1">
        <f t="array" ref="A429">_xlfn.CONCAT(Instructions!C436,Instructions!A436,"_",TEXT(Instructions!B436,"YYYYMMDD"),"_1_",INDEX(Table1[], MATCH(1,(Table1[Estuary]=Instructions!C436)*(Table1[StationNumber]=Instructions!D436)*(Instructions!B436&gt;Table1[StartDate])*(Instructions!B436&lt;Table1[EndDate]),0),1),"_1_",Instructions!E436,"_",Instructions!F436)</f>
        <v>TBSRVY_20190924_1_0291_1_09_028</v>
      </c>
      <c r="B429" t="str" cm="1">
        <f t="array" ref="B429">_xlfn.CONCAT(Instructions!C436,Instructions!A436,"_",TEXT(Instructions!B436,"YYYYMMDD"),"_1_",INDEX(Table1[], MATCH(1,(Table1[Estuary]=Instructions!C436)*(Table1[StationNumber]=Instructions!D436)*(Instructions!B436&gt;Table1[StartDate])*(Instructions!B436&lt;Table1[EndDate]),0),1),"_1_",Instructions!E436)</f>
        <v>TBSRVY_20190924_1_0291_1_09</v>
      </c>
      <c r="C429">
        <f>Instructions!G436</f>
        <v>23</v>
      </c>
      <c r="D429" t="str">
        <f>IF(ISBLANK(Instructions!H436),"",Instructions!H436)</f>
        <v>Entered</v>
      </c>
      <c r="E429" s="1">
        <f>IF(ISBLANK(Instructions!I436),"",Instructions!I436)</f>
        <v>45646</v>
      </c>
      <c r="F429" t="str">
        <f>IF(ISBLANK(Instructions!J436),"",Instructions!J436)</f>
        <v>Erica Williams</v>
      </c>
      <c r="G429" s="1" t="str">
        <f>IF(ISBLANK(Instructions!K436),"",Instructions!K436)</f>
        <v/>
      </c>
      <c r="H429" t="str">
        <f>IF(ISBLANK(Instructions!L436),"",Instructions!L436)</f>
        <v/>
      </c>
      <c r="I429" t="str">
        <f t="shared" si="17"/>
        <v>NULL</v>
      </c>
      <c r="J429" t="str">
        <f t="shared" si="17"/>
        <v>NULL</v>
      </c>
      <c r="K429" t="str">
        <f>Instructions!M436</f>
        <v>Added via SMSS</v>
      </c>
      <c r="L429" t="str">
        <f t="shared" si="15"/>
        <v>NULL</v>
      </c>
    </row>
    <row r="430" spans="1:12" x14ac:dyDescent="0.25">
      <c r="A430" t="str" cm="1">
        <f t="array" ref="A430">_xlfn.CONCAT(Instructions!C437,Instructions!A437,"_",TEXT(Instructions!B437,"YYYYMMDD"),"_1_",INDEX(Table1[], MATCH(1,(Table1[Estuary]=Instructions!C437)*(Table1[StationNumber]=Instructions!D437)*(Instructions!B437&gt;Table1[StartDate])*(Instructions!B437&lt;Table1[EndDate]),0),1),"_1_",Instructions!E437,"_",Instructions!F437)</f>
        <v>TBSRVY_20190924_1_0291_1_09_029</v>
      </c>
      <c r="B430" t="str" cm="1">
        <f t="array" ref="B430">_xlfn.CONCAT(Instructions!C437,Instructions!A437,"_",TEXT(Instructions!B437,"YYYYMMDD"),"_1_",INDEX(Table1[], MATCH(1,(Table1[Estuary]=Instructions!C437)*(Table1[StationNumber]=Instructions!D437)*(Instructions!B437&gt;Table1[StartDate])*(Instructions!B437&lt;Table1[EndDate]),0),1),"_1_",Instructions!E437)</f>
        <v>TBSRVY_20190924_1_0291_1_09</v>
      </c>
      <c r="C430">
        <f>Instructions!G437</f>
        <v>8</v>
      </c>
      <c r="D430" t="str">
        <f>IF(ISBLANK(Instructions!H437),"",Instructions!H437)</f>
        <v>Entered</v>
      </c>
      <c r="E430" s="1">
        <f>IF(ISBLANK(Instructions!I437),"",Instructions!I437)</f>
        <v>45646</v>
      </c>
      <c r="F430" t="str">
        <f>IF(ISBLANK(Instructions!J437),"",Instructions!J437)</f>
        <v>Erica Williams</v>
      </c>
      <c r="G430" s="1" t="str">
        <f>IF(ISBLANK(Instructions!K437),"",Instructions!K437)</f>
        <v/>
      </c>
      <c r="H430" t="str">
        <f>IF(ISBLANK(Instructions!L437),"",Instructions!L437)</f>
        <v/>
      </c>
      <c r="I430" t="str">
        <f t="shared" si="17"/>
        <v>NULL</v>
      </c>
      <c r="J430" t="str">
        <f t="shared" si="17"/>
        <v>NULL</v>
      </c>
      <c r="K430" t="str">
        <f>Instructions!M437</f>
        <v>Added via SMSS</v>
      </c>
      <c r="L430" t="str">
        <f t="shared" si="15"/>
        <v>NULL</v>
      </c>
    </row>
    <row r="431" spans="1:12" x14ac:dyDescent="0.25">
      <c r="A431" t="str" cm="1">
        <f t="array" ref="A431">_xlfn.CONCAT(Instructions!C438,Instructions!A438,"_",TEXT(Instructions!B438,"YYYYMMDD"),"_1_",INDEX(Table1[], MATCH(1,(Table1[Estuary]=Instructions!C438)*(Table1[StationNumber]=Instructions!D438)*(Instructions!B438&gt;Table1[StartDate])*(Instructions!B438&lt;Table1[EndDate]),0),1),"_1_",Instructions!E438,"_",Instructions!F438)</f>
        <v>TBSRVY_20190924_1_0291_1_09_030</v>
      </c>
      <c r="B431" t="str" cm="1">
        <f t="array" ref="B431">_xlfn.CONCAT(Instructions!C438,Instructions!A438,"_",TEXT(Instructions!B438,"YYYYMMDD"),"_1_",INDEX(Table1[], MATCH(1,(Table1[Estuary]=Instructions!C438)*(Table1[StationNumber]=Instructions!D438)*(Instructions!B438&gt;Table1[StartDate])*(Instructions!B438&lt;Table1[EndDate]),0),1),"_1_",Instructions!E438)</f>
        <v>TBSRVY_20190924_1_0291_1_09</v>
      </c>
      <c r="C431">
        <f>Instructions!G438</f>
        <v>36</v>
      </c>
      <c r="D431" t="str">
        <f>IF(ISBLANK(Instructions!H438),"",Instructions!H438)</f>
        <v>Entered</v>
      </c>
      <c r="E431" s="1">
        <f>IF(ISBLANK(Instructions!I438),"",Instructions!I438)</f>
        <v>45646</v>
      </c>
      <c r="F431" t="str">
        <f>IF(ISBLANK(Instructions!J438),"",Instructions!J438)</f>
        <v>Erica Williams</v>
      </c>
      <c r="G431" s="1" t="str">
        <f>IF(ISBLANK(Instructions!K438),"",Instructions!K438)</f>
        <v/>
      </c>
      <c r="H431" t="str">
        <f>IF(ISBLANK(Instructions!L438),"",Instructions!L438)</f>
        <v/>
      </c>
      <c r="I431" t="str">
        <f t="shared" si="17"/>
        <v>NULL</v>
      </c>
      <c r="J431" t="str">
        <f t="shared" si="17"/>
        <v>NULL</v>
      </c>
      <c r="K431" t="str">
        <f>Instructions!M438</f>
        <v>Added via SMSS</v>
      </c>
      <c r="L431" t="str">
        <f t="shared" si="15"/>
        <v>NULL</v>
      </c>
    </row>
    <row r="432" spans="1:12" x14ac:dyDescent="0.25">
      <c r="A432" t="str" cm="1">
        <f t="array" ref="A432">_xlfn.CONCAT(Instructions!C439,Instructions!A439,"_",TEXT(Instructions!B439,"YYYYMMDD"),"_1_",INDEX(Table1[], MATCH(1,(Table1[Estuary]=Instructions!C439)*(Table1[StationNumber]=Instructions!D439)*(Instructions!B439&gt;Table1[StartDate])*(Instructions!B439&lt;Table1[EndDate]),0),1),"_1_",Instructions!E439,"_",Instructions!F439)</f>
        <v>TBSRVY_20190924_1_0291_1_09_031</v>
      </c>
      <c r="B432" t="str" cm="1">
        <f t="array" ref="B432">_xlfn.CONCAT(Instructions!C439,Instructions!A439,"_",TEXT(Instructions!B439,"YYYYMMDD"),"_1_",INDEX(Table1[], MATCH(1,(Table1[Estuary]=Instructions!C439)*(Table1[StationNumber]=Instructions!D439)*(Instructions!B439&gt;Table1[StartDate])*(Instructions!B439&lt;Table1[EndDate]),0),1),"_1_",Instructions!E439)</f>
        <v>TBSRVY_20190924_1_0291_1_09</v>
      </c>
      <c r="C432">
        <f>Instructions!G439</f>
        <v>18</v>
      </c>
      <c r="D432" t="str">
        <f>IF(ISBLANK(Instructions!H439),"",Instructions!H439)</f>
        <v>Entered</v>
      </c>
      <c r="E432" s="1">
        <f>IF(ISBLANK(Instructions!I439),"",Instructions!I439)</f>
        <v>45646</v>
      </c>
      <c r="F432" t="str">
        <f>IF(ISBLANK(Instructions!J439),"",Instructions!J439)</f>
        <v>Erica Williams</v>
      </c>
      <c r="G432" s="1" t="str">
        <f>IF(ISBLANK(Instructions!K439),"",Instructions!K439)</f>
        <v/>
      </c>
      <c r="H432" t="str">
        <f>IF(ISBLANK(Instructions!L439),"",Instructions!L439)</f>
        <v/>
      </c>
      <c r="I432" t="str">
        <f t="shared" si="17"/>
        <v>NULL</v>
      </c>
      <c r="J432" t="str">
        <f t="shared" si="17"/>
        <v>NULL</v>
      </c>
      <c r="K432" t="str">
        <f>Instructions!M439</f>
        <v>Added via SMSS</v>
      </c>
      <c r="L432" t="str">
        <f t="shared" si="15"/>
        <v>NULL</v>
      </c>
    </row>
    <row r="433" spans="1:12" x14ac:dyDescent="0.25">
      <c r="A433" t="str" cm="1">
        <f t="array" ref="A433">_xlfn.CONCAT(Instructions!C440,Instructions!A440,"_",TEXT(Instructions!B440,"YYYYMMDD"),"_1_",INDEX(Table1[], MATCH(1,(Table1[Estuary]=Instructions!C440)*(Table1[StationNumber]=Instructions!D440)*(Instructions!B440&gt;Table1[StartDate])*(Instructions!B440&lt;Table1[EndDate]),0),1),"_1_",Instructions!E440,"_",Instructions!F440)</f>
        <v>TBSRVY_20190924_1_0291_1_09_032</v>
      </c>
      <c r="B433" t="str" cm="1">
        <f t="array" ref="B433">_xlfn.CONCAT(Instructions!C440,Instructions!A440,"_",TEXT(Instructions!B440,"YYYYMMDD"),"_1_",INDEX(Table1[], MATCH(1,(Table1[Estuary]=Instructions!C440)*(Table1[StationNumber]=Instructions!D440)*(Instructions!B440&gt;Table1[StartDate])*(Instructions!B440&lt;Table1[EndDate]),0),1),"_1_",Instructions!E440)</f>
        <v>TBSRVY_20190924_1_0291_1_09</v>
      </c>
      <c r="C433">
        <f>Instructions!G440</f>
        <v>38</v>
      </c>
      <c r="D433" t="str">
        <f>IF(ISBLANK(Instructions!H440),"",Instructions!H440)</f>
        <v>Entered</v>
      </c>
      <c r="E433" s="1">
        <f>IF(ISBLANK(Instructions!I440),"",Instructions!I440)</f>
        <v>45646</v>
      </c>
      <c r="F433" t="str">
        <f>IF(ISBLANK(Instructions!J440),"",Instructions!J440)</f>
        <v>Erica Williams</v>
      </c>
      <c r="G433" s="1" t="str">
        <f>IF(ISBLANK(Instructions!K440),"",Instructions!K440)</f>
        <v/>
      </c>
      <c r="H433" t="str">
        <f>IF(ISBLANK(Instructions!L440),"",Instructions!L440)</f>
        <v/>
      </c>
      <c r="I433" t="str">
        <f t="shared" si="17"/>
        <v>NULL</v>
      </c>
      <c r="J433" t="str">
        <f t="shared" si="17"/>
        <v>NULL</v>
      </c>
      <c r="K433" t="str">
        <f>Instructions!M440</f>
        <v>Added via SMSS</v>
      </c>
      <c r="L433" t="str">
        <f t="shared" si="15"/>
        <v>NULL</v>
      </c>
    </row>
    <row r="434" spans="1:12" x14ac:dyDescent="0.25">
      <c r="A434" t="str" cm="1">
        <f t="array" ref="A434">_xlfn.CONCAT(Instructions!C441,Instructions!A441,"_",TEXT(Instructions!B441,"YYYYMMDD"),"_1_",INDEX(Table1[], MATCH(1,(Table1[Estuary]=Instructions!C441)*(Table1[StationNumber]=Instructions!D441)*(Instructions!B441&gt;Table1[StartDate])*(Instructions!B441&lt;Table1[EndDate]),0),1),"_1_",Instructions!E441,"_",Instructions!F441)</f>
        <v>TBSRVY_20190924_1_0291_1_09_033</v>
      </c>
      <c r="B434" t="str" cm="1">
        <f t="array" ref="B434">_xlfn.CONCAT(Instructions!C441,Instructions!A441,"_",TEXT(Instructions!B441,"YYYYMMDD"),"_1_",INDEX(Table1[], MATCH(1,(Table1[Estuary]=Instructions!C441)*(Table1[StationNumber]=Instructions!D441)*(Instructions!B441&gt;Table1[StartDate])*(Instructions!B441&lt;Table1[EndDate]),0),1),"_1_",Instructions!E441)</f>
        <v>TBSRVY_20190924_1_0291_1_09</v>
      </c>
      <c r="C434">
        <f>Instructions!G441</f>
        <v>16</v>
      </c>
      <c r="D434" t="str">
        <f>IF(ISBLANK(Instructions!H441),"",Instructions!H441)</f>
        <v>Entered</v>
      </c>
      <c r="E434" s="1">
        <f>IF(ISBLANK(Instructions!I441),"",Instructions!I441)</f>
        <v>45646</v>
      </c>
      <c r="F434" t="str">
        <f>IF(ISBLANK(Instructions!J441),"",Instructions!J441)</f>
        <v>Erica Williams</v>
      </c>
      <c r="G434" s="1" t="str">
        <f>IF(ISBLANK(Instructions!K441),"",Instructions!K441)</f>
        <v/>
      </c>
      <c r="H434" t="str">
        <f>IF(ISBLANK(Instructions!L441),"",Instructions!L441)</f>
        <v/>
      </c>
      <c r="I434" t="str">
        <f t="shared" si="17"/>
        <v>NULL</v>
      </c>
      <c r="J434" t="str">
        <f t="shared" si="17"/>
        <v>NULL</v>
      </c>
      <c r="K434" t="str">
        <f>Instructions!M441</f>
        <v>Added via SMSS</v>
      </c>
      <c r="L434" t="str">
        <f t="shared" si="15"/>
        <v>NULL</v>
      </c>
    </row>
    <row r="435" spans="1:12" x14ac:dyDescent="0.25">
      <c r="A435" t="str" cm="1">
        <f t="array" ref="A435">_xlfn.CONCAT(Instructions!C442,Instructions!A442,"_",TEXT(Instructions!B442,"YYYYMMDD"),"_1_",INDEX(Table1[], MATCH(1,(Table1[Estuary]=Instructions!C442)*(Table1[StationNumber]=Instructions!D442)*(Instructions!B442&gt;Table1[StartDate])*(Instructions!B442&lt;Table1[EndDate]),0),1),"_1_",Instructions!E442,"_",Instructions!F442)</f>
        <v>TBSRVY_20190924_1_0291_1_09_034</v>
      </c>
      <c r="B435" t="str" cm="1">
        <f t="array" ref="B435">_xlfn.CONCAT(Instructions!C442,Instructions!A442,"_",TEXT(Instructions!B442,"YYYYMMDD"),"_1_",INDEX(Table1[], MATCH(1,(Table1[Estuary]=Instructions!C442)*(Table1[StationNumber]=Instructions!D442)*(Instructions!B442&gt;Table1[StartDate])*(Instructions!B442&lt;Table1[EndDate]),0),1),"_1_",Instructions!E442)</f>
        <v>TBSRVY_20190924_1_0291_1_09</v>
      </c>
      <c r="C435">
        <f>Instructions!G442</f>
        <v>15</v>
      </c>
      <c r="D435" t="str">
        <f>IF(ISBLANK(Instructions!H442),"",Instructions!H442)</f>
        <v>Entered</v>
      </c>
      <c r="E435" s="1">
        <f>IF(ISBLANK(Instructions!I442),"",Instructions!I442)</f>
        <v>45646</v>
      </c>
      <c r="F435" t="str">
        <f>IF(ISBLANK(Instructions!J442),"",Instructions!J442)</f>
        <v>Erica Williams</v>
      </c>
      <c r="G435" s="1" t="str">
        <f>IF(ISBLANK(Instructions!K442),"",Instructions!K442)</f>
        <v/>
      </c>
      <c r="H435" t="str">
        <f>IF(ISBLANK(Instructions!L442),"",Instructions!L442)</f>
        <v/>
      </c>
      <c r="I435" t="str">
        <f t="shared" si="17"/>
        <v>NULL</v>
      </c>
      <c r="J435" t="str">
        <f t="shared" si="17"/>
        <v>NULL</v>
      </c>
      <c r="K435" t="str">
        <f>Instructions!M442</f>
        <v>Added via SMSS</v>
      </c>
      <c r="L435" t="str">
        <f t="shared" si="15"/>
        <v>NULL</v>
      </c>
    </row>
    <row r="436" spans="1:12" x14ac:dyDescent="0.25">
      <c r="A436" t="str" cm="1">
        <f t="array" ref="A436">_xlfn.CONCAT(Instructions!C443,Instructions!A443,"_",TEXT(Instructions!B443,"YYYYMMDD"),"_1_",INDEX(Table1[], MATCH(1,(Table1[Estuary]=Instructions!C443)*(Table1[StationNumber]=Instructions!D443)*(Instructions!B443&gt;Table1[StartDate])*(Instructions!B443&lt;Table1[EndDate]),0),1),"_1_",Instructions!E443,"_",Instructions!F443)</f>
        <v>TBSRVY_20190924_1_0291_1_09_035</v>
      </c>
      <c r="B436" t="str" cm="1">
        <f t="array" ref="B436">_xlfn.CONCAT(Instructions!C443,Instructions!A443,"_",TEXT(Instructions!B443,"YYYYMMDD"),"_1_",INDEX(Table1[], MATCH(1,(Table1[Estuary]=Instructions!C443)*(Table1[StationNumber]=Instructions!D443)*(Instructions!B443&gt;Table1[StartDate])*(Instructions!B443&lt;Table1[EndDate]),0),1),"_1_",Instructions!E443)</f>
        <v>TBSRVY_20190924_1_0291_1_09</v>
      </c>
      <c r="C436">
        <f>Instructions!G443</f>
        <v>11</v>
      </c>
      <c r="D436" t="str">
        <f>IF(ISBLANK(Instructions!H443),"",Instructions!H443)</f>
        <v>Entered</v>
      </c>
      <c r="E436" s="1">
        <f>IF(ISBLANK(Instructions!I443),"",Instructions!I443)</f>
        <v>45646</v>
      </c>
      <c r="F436" t="str">
        <f>IF(ISBLANK(Instructions!J443),"",Instructions!J443)</f>
        <v>Erica Williams</v>
      </c>
      <c r="G436" s="1" t="str">
        <f>IF(ISBLANK(Instructions!K443),"",Instructions!K443)</f>
        <v/>
      </c>
      <c r="H436" t="str">
        <f>IF(ISBLANK(Instructions!L443),"",Instructions!L443)</f>
        <v/>
      </c>
      <c r="I436" t="str">
        <f t="shared" si="17"/>
        <v>NULL</v>
      </c>
      <c r="J436" t="str">
        <f t="shared" si="17"/>
        <v>NULL</v>
      </c>
      <c r="K436" t="str">
        <f>Instructions!M443</f>
        <v>Added via SMSS</v>
      </c>
      <c r="L436" t="str">
        <f t="shared" si="15"/>
        <v>NULL</v>
      </c>
    </row>
    <row r="437" spans="1:12" x14ac:dyDescent="0.25">
      <c r="A437" t="str" cm="1">
        <f t="array" ref="A437">_xlfn.CONCAT(Instructions!C444,Instructions!A444,"_",TEXT(Instructions!B444,"YYYYMMDD"),"_1_",INDEX(Table1[], MATCH(1,(Table1[Estuary]=Instructions!C444)*(Table1[StationNumber]=Instructions!D444)*(Instructions!B444&gt;Table1[StartDate])*(Instructions!B444&lt;Table1[EndDate]),0),1),"_1_",Instructions!E444,"_",Instructions!F444)</f>
        <v>TBSRVY_20190924_1_0291_1_09_036</v>
      </c>
      <c r="B437" t="str" cm="1">
        <f t="array" ref="B437">_xlfn.CONCAT(Instructions!C444,Instructions!A444,"_",TEXT(Instructions!B444,"YYYYMMDD"),"_1_",INDEX(Table1[], MATCH(1,(Table1[Estuary]=Instructions!C444)*(Table1[StationNumber]=Instructions!D444)*(Instructions!B444&gt;Table1[StartDate])*(Instructions!B444&lt;Table1[EndDate]),0),1),"_1_",Instructions!E444)</f>
        <v>TBSRVY_20190924_1_0291_1_09</v>
      </c>
      <c r="C437">
        <f>Instructions!G444</f>
        <v>22</v>
      </c>
      <c r="D437" t="str">
        <f>IF(ISBLANK(Instructions!H444),"",Instructions!H444)</f>
        <v>Entered</v>
      </c>
      <c r="E437" s="1">
        <f>IF(ISBLANK(Instructions!I444),"",Instructions!I444)</f>
        <v>45646</v>
      </c>
      <c r="F437" t="str">
        <f>IF(ISBLANK(Instructions!J444),"",Instructions!J444)</f>
        <v>Erica Williams</v>
      </c>
      <c r="G437" s="1" t="str">
        <f>IF(ISBLANK(Instructions!K444),"",Instructions!K444)</f>
        <v/>
      </c>
      <c r="H437" t="str">
        <f>IF(ISBLANK(Instructions!L444),"",Instructions!L444)</f>
        <v/>
      </c>
      <c r="I437" t="str">
        <f t="shared" si="17"/>
        <v>NULL</v>
      </c>
      <c r="J437" t="str">
        <f t="shared" si="17"/>
        <v>NULL</v>
      </c>
      <c r="K437" t="str">
        <f>Instructions!M444</f>
        <v>Added via SMSS</v>
      </c>
      <c r="L437" t="str">
        <f t="shared" si="15"/>
        <v>NULL</v>
      </c>
    </row>
    <row r="438" spans="1:12" x14ac:dyDescent="0.25">
      <c r="A438" t="str" cm="1">
        <f t="array" ref="A438">_xlfn.CONCAT(Instructions!C445,Instructions!A445,"_",TEXT(Instructions!B445,"YYYYMMDD"),"_1_",INDEX(Table1[], MATCH(1,(Table1[Estuary]=Instructions!C445)*(Table1[StationNumber]=Instructions!D445)*(Instructions!B445&gt;Table1[StartDate])*(Instructions!B445&lt;Table1[EndDate]),0),1),"_1_",Instructions!E445,"_",Instructions!F445)</f>
        <v>TBSRVY_20190924_1_0291_1_09_037</v>
      </c>
      <c r="B438" t="str" cm="1">
        <f t="array" ref="B438">_xlfn.CONCAT(Instructions!C445,Instructions!A445,"_",TEXT(Instructions!B445,"YYYYMMDD"),"_1_",INDEX(Table1[], MATCH(1,(Table1[Estuary]=Instructions!C445)*(Table1[StationNumber]=Instructions!D445)*(Instructions!B445&gt;Table1[StartDate])*(Instructions!B445&lt;Table1[EndDate]),0),1),"_1_",Instructions!E445)</f>
        <v>TBSRVY_20190924_1_0291_1_09</v>
      </c>
      <c r="C438">
        <f>Instructions!G445</f>
        <v>18</v>
      </c>
      <c r="D438" t="str">
        <f>IF(ISBLANK(Instructions!H445),"",Instructions!H445)</f>
        <v>Entered</v>
      </c>
      <c r="E438" s="1">
        <f>IF(ISBLANK(Instructions!I445),"",Instructions!I445)</f>
        <v>45646</v>
      </c>
      <c r="F438" t="str">
        <f>IF(ISBLANK(Instructions!J445),"",Instructions!J445)</f>
        <v>Erica Williams</v>
      </c>
      <c r="G438" s="1" t="str">
        <f>IF(ISBLANK(Instructions!K445),"",Instructions!K445)</f>
        <v/>
      </c>
      <c r="H438" t="str">
        <f>IF(ISBLANK(Instructions!L445),"",Instructions!L445)</f>
        <v/>
      </c>
      <c r="I438" t="str">
        <f t="shared" si="17"/>
        <v>NULL</v>
      </c>
      <c r="J438" t="str">
        <f t="shared" si="17"/>
        <v>NULL</v>
      </c>
      <c r="K438" t="str">
        <f>Instructions!M445</f>
        <v>Added via SMSS</v>
      </c>
      <c r="L438" t="str">
        <f t="shared" si="15"/>
        <v>NULL</v>
      </c>
    </row>
    <row r="439" spans="1:12" x14ac:dyDescent="0.25">
      <c r="A439" t="str" cm="1">
        <f t="array" ref="A439">_xlfn.CONCAT(Instructions!C446,Instructions!A446,"_",TEXT(Instructions!B446,"YYYYMMDD"),"_1_",INDEX(Table1[], MATCH(1,(Table1[Estuary]=Instructions!C446)*(Table1[StationNumber]=Instructions!D446)*(Instructions!B446&gt;Table1[StartDate])*(Instructions!B446&lt;Table1[EndDate]),0),1),"_1_",Instructions!E446,"_",Instructions!F446)</f>
        <v>TBSRVY_20190924_1_0291_1_09_038</v>
      </c>
      <c r="B439" t="str" cm="1">
        <f t="array" ref="B439">_xlfn.CONCAT(Instructions!C446,Instructions!A446,"_",TEXT(Instructions!B446,"YYYYMMDD"),"_1_",INDEX(Table1[], MATCH(1,(Table1[Estuary]=Instructions!C446)*(Table1[StationNumber]=Instructions!D446)*(Instructions!B446&gt;Table1[StartDate])*(Instructions!B446&lt;Table1[EndDate]),0),1),"_1_",Instructions!E446)</f>
        <v>TBSRVY_20190924_1_0291_1_09</v>
      </c>
      <c r="C439">
        <f>Instructions!G446</f>
        <v>67</v>
      </c>
      <c r="D439" t="str">
        <f>IF(ISBLANK(Instructions!H446),"",Instructions!H446)</f>
        <v>Entered</v>
      </c>
      <c r="E439" s="1">
        <f>IF(ISBLANK(Instructions!I446),"",Instructions!I446)</f>
        <v>45646</v>
      </c>
      <c r="F439" t="str">
        <f>IF(ISBLANK(Instructions!J446),"",Instructions!J446)</f>
        <v>Erica Williams</v>
      </c>
      <c r="G439" s="1" t="str">
        <f>IF(ISBLANK(Instructions!K446),"",Instructions!K446)</f>
        <v/>
      </c>
      <c r="H439" t="str">
        <f>IF(ISBLANK(Instructions!L446),"",Instructions!L446)</f>
        <v/>
      </c>
      <c r="I439" t="str">
        <f t="shared" si="17"/>
        <v>NULL</v>
      </c>
      <c r="J439" t="str">
        <f t="shared" si="17"/>
        <v>NULL</v>
      </c>
      <c r="K439" t="str">
        <f>Instructions!M446</f>
        <v>Added via SMSS</v>
      </c>
      <c r="L439" t="str">
        <f t="shared" si="15"/>
        <v>NULL</v>
      </c>
    </row>
    <row r="440" spans="1:12" x14ac:dyDescent="0.25">
      <c r="A440" t="str" cm="1">
        <f t="array" ref="A440">_xlfn.CONCAT(Instructions!C447,Instructions!A447,"_",TEXT(Instructions!B447,"YYYYMMDD"),"_1_",INDEX(Table1[], MATCH(1,(Table1[Estuary]=Instructions!C447)*(Table1[StationNumber]=Instructions!D447)*(Instructions!B447&gt;Table1[StartDate])*(Instructions!B447&lt;Table1[EndDate]),0),1),"_1_",Instructions!E447,"_",Instructions!F447)</f>
        <v>TBSRVY_20190924_1_0291_1_09_039</v>
      </c>
      <c r="B440" t="str" cm="1">
        <f t="array" ref="B440">_xlfn.CONCAT(Instructions!C447,Instructions!A447,"_",TEXT(Instructions!B447,"YYYYMMDD"),"_1_",INDEX(Table1[], MATCH(1,(Table1[Estuary]=Instructions!C447)*(Table1[StationNumber]=Instructions!D447)*(Instructions!B447&gt;Table1[StartDate])*(Instructions!B447&lt;Table1[EndDate]),0),1),"_1_",Instructions!E447)</f>
        <v>TBSRVY_20190924_1_0291_1_09</v>
      </c>
      <c r="C440">
        <f>Instructions!G447</f>
        <v>18</v>
      </c>
      <c r="D440" t="str">
        <f>IF(ISBLANK(Instructions!H447),"",Instructions!H447)</f>
        <v>Entered</v>
      </c>
      <c r="E440" s="1">
        <f>IF(ISBLANK(Instructions!I447),"",Instructions!I447)</f>
        <v>45646</v>
      </c>
      <c r="F440" t="str">
        <f>IF(ISBLANK(Instructions!J447),"",Instructions!J447)</f>
        <v>Erica Williams</v>
      </c>
      <c r="G440" s="1" t="str">
        <f>IF(ISBLANK(Instructions!K447),"",Instructions!K447)</f>
        <v/>
      </c>
      <c r="H440" t="str">
        <f>IF(ISBLANK(Instructions!L447),"",Instructions!L447)</f>
        <v/>
      </c>
      <c r="I440" t="str">
        <f t="shared" si="17"/>
        <v>NULL</v>
      </c>
      <c r="J440" t="str">
        <f t="shared" si="17"/>
        <v>NULL</v>
      </c>
      <c r="K440" t="str">
        <f>Instructions!M447</f>
        <v>Added via SMSS</v>
      </c>
      <c r="L440" t="str">
        <f t="shared" si="15"/>
        <v>NULL</v>
      </c>
    </row>
    <row r="441" spans="1:12" x14ac:dyDescent="0.25">
      <c r="A441" t="str" cm="1">
        <f t="array" ref="A441">_xlfn.CONCAT(Instructions!C448,Instructions!A448,"_",TEXT(Instructions!B448,"YYYYMMDD"),"_1_",INDEX(Table1[], MATCH(1,(Table1[Estuary]=Instructions!C448)*(Table1[StationNumber]=Instructions!D448)*(Instructions!B448&gt;Table1[StartDate])*(Instructions!B448&lt;Table1[EndDate]),0),1),"_1_",Instructions!E448,"_",Instructions!F448)</f>
        <v>TBSRVY_20190924_1_0291_1_09_040</v>
      </c>
      <c r="B441" t="str" cm="1">
        <f t="array" ref="B441">_xlfn.CONCAT(Instructions!C448,Instructions!A448,"_",TEXT(Instructions!B448,"YYYYMMDD"),"_1_",INDEX(Table1[], MATCH(1,(Table1[Estuary]=Instructions!C448)*(Table1[StationNumber]=Instructions!D448)*(Instructions!B448&gt;Table1[StartDate])*(Instructions!B448&lt;Table1[EndDate]),0),1),"_1_",Instructions!E448)</f>
        <v>TBSRVY_20190924_1_0291_1_09</v>
      </c>
      <c r="C441">
        <f>Instructions!G448</f>
        <v>41</v>
      </c>
      <c r="D441" t="str">
        <f>IF(ISBLANK(Instructions!H448),"",Instructions!H448)</f>
        <v>Entered</v>
      </c>
      <c r="E441" s="1">
        <f>IF(ISBLANK(Instructions!I448),"",Instructions!I448)</f>
        <v>45646</v>
      </c>
      <c r="F441" t="str">
        <f>IF(ISBLANK(Instructions!J448),"",Instructions!J448)</f>
        <v>Erica Williams</v>
      </c>
      <c r="G441" s="1" t="str">
        <f>IF(ISBLANK(Instructions!K448),"",Instructions!K448)</f>
        <v/>
      </c>
      <c r="H441" t="str">
        <f>IF(ISBLANK(Instructions!L448),"",Instructions!L448)</f>
        <v/>
      </c>
      <c r="I441" t="str">
        <f t="shared" si="17"/>
        <v>NULL</v>
      </c>
      <c r="J441" t="str">
        <f t="shared" si="17"/>
        <v>NULL</v>
      </c>
      <c r="K441" t="str">
        <f>Instructions!M448</f>
        <v>Added via SMSS</v>
      </c>
      <c r="L441" t="str">
        <f t="shared" si="15"/>
        <v>NULL</v>
      </c>
    </row>
    <row r="442" spans="1:12" x14ac:dyDescent="0.25">
      <c r="A442" t="str" cm="1">
        <f t="array" ref="A442">_xlfn.CONCAT(Instructions!C449,Instructions!A449,"_",TEXT(Instructions!B449,"YYYYMMDD"),"_1_",INDEX(Table1[], MATCH(1,(Table1[Estuary]=Instructions!C449)*(Table1[StationNumber]=Instructions!D449)*(Instructions!B449&gt;Table1[StartDate])*(Instructions!B449&lt;Table1[EndDate]),0),1),"_1_",Instructions!E449,"_",Instructions!F449)</f>
        <v>TBSRVY_20190924_1_0291_1_09_041</v>
      </c>
      <c r="B442" t="str" cm="1">
        <f t="array" ref="B442">_xlfn.CONCAT(Instructions!C449,Instructions!A449,"_",TEXT(Instructions!B449,"YYYYMMDD"),"_1_",INDEX(Table1[], MATCH(1,(Table1[Estuary]=Instructions!C449)*(Table1[StationNumber]=Instructions!D449)*(Instructions!B449&gt;Table1[StartDate])*(Instructions!B449&lt;Table1[EndDate]),0),1),"_1_",Instructions!E449)</f>
        <v>TBSRVY_20190924_1_0291_1_09</v>
      </c>
      <c r="C442">
        <f>Instructions!G449</f>
        <v>35</v>
      </c>
      <c r="D442" t="str">
        <f>IF(ISBLANK(Instructions!H449),"",Instructions!H449)</f>
        <v>Entered</v>
      </c>
      <c r="E442" s="1">
        <f>IF(ISBLANK(Instructions!I449),"",Instructions!I449)</f>
        <v>45646</v>
      </c>
      <c r="F442" t="str">
        <f>IF(ISBLANK(Instructions!J449),"",Instructions!J449)</f>
        <v>Erica Williams</v>
      </c>
      <c r="G442" s="1" t="str">
        <f>IF(ISBLANK(Instructions!K449),"",Instructions!K449)</f>
        <v/>
      </c>
      <c r="H442" t="str">
        <f>IF(ISBLANK(Instructions!L449),"",Instructions!L449)</f>
        <v/>
      </c>
      <c r="I442" t="str">
        <f t="shared" si="17"/>
        <v>NULL</v>
      </c>
      <c r="J442" t="str">
        <f t="shared" si="17"/>
        <v>NULL</v>
      </c>
      <c r="K442" t="str">
        <f>Instructions!M449</f>
        <v>Added via SMSS</v>
      </c>
      <c r="L442" t="str">
        <f t="shared" si="15"/>
        <v>NULL</v>
      </c>
    </row>
    <row r="443" spans="1:12" x14ac:dyDescent="0.25">
      <c r="A443" t="str" cm="1">
        <f t="array" ref="A443">_xlfn.CONCAT(Instructions!C450,Instructions!A450,"_",TEXT(Instructions!B450,"YYYYMMDD"),"_1_",INDEX(Table1[], MATCH(1,(Table1[Estuary]=Instructions!C450)*(Table1[StationNumber]=Instructions!D450)*(Instructions!B450&gt;Table1[StartDate])*(Instructions!B450&lt;Table1[EndDate]),0),1),"_1_",Instructions!E450,"_",Instructions!F450)</f>
        <v>TBSRVY_20190924_1_0291_1_09_042</v>
      </c>
      <c r="B443" t="str" cm="1">
        <f t="array" ref="B443">_xlfn.CONCAT(Instructions!C450,Instructions!A450,"_",TEXT(Instructions!B450,"YYYYMMDD"),"_1_",INDEX(Table1[], MATCH(1,(Table1[Estuary]=Instructions!C450)*(Table1[StationNumber]=Instructions!D450)*(Instructions!B450&gt;Table1[StartDate])*(Instructions!B450&lt;Table1[EndDate]),0),1),"_1_",Instructions!E450)</f>
        <v>TBSRVY_20190924_1_0291_1_09</v>
      </c>
      <c r="C443">
        <f>Instructions!G450</f>
        <v>15</v>
      </c>
      <c r="D443" t="str">
        <f>IF(ISBLANK(Instructions!H450),"",Instructions!H450)</f>
        <v>Entered</v>
      </c>
      <c r="E443" s="1">
        <f>IF(ISBLANK(Instructions!I450),"",Instructions!I450)</f>
        <v>45646</v>
      </c>
      <c r="F443" t="str">
        <f>IF(ISBLANK(Instructions!J450),"",Instructions!J450)</f>
        <v>Erica Williams</v>
      </c>
      <c r="G443" s="1" t="str">
        <f>IF(ISBLANK(Instructions!K450),"",Instructions!K450)</f>
        <v/>
      </c>
      <c r="H443" t="str">
        <f>IF(ISBLANK(Instructions!L450),"",Instructions!L450)</f>
        <v/>
      </c>
      <c r="I443" t="str">
        <f t="shared" si="17"/>
        <v>NULL</v>
      </c>
      <c r="J443" t="str">
        <f t="shared" si="17"/>
        <v>NULL</v>
      </c>
      <c r="K443" t="str">
        <f>Instructions!M450</f>
        <v>Added via SMSS</v>
      </c>
      <c r="L443" t="str">
        <f t="shared" si="15"/>
        <v>NULL</v>
      </c>
    </row>
    <row r="444" spans="1:12" x14ac:dyDescent="0.25">
      <c r="A444" t="str" cm="1">
        <f t="array" ref="A444">_xlfn.CONCAT(Instructions!C451,Instructions!A451,"_",TEXT(Instructions!B451,"YYYYMMDD"),"_1_",INDEX(Table1[], MATCH(1,(Table1[Estuary]=Instructions!C451)*(Table1[StationNumber]=Instructions!D451)*(Instructions!B451&gt;Table1[StartDate])*(Instructions!B451&lt;Table1[EndDate]),0),1),"_1_",Instructions!E451,"_",Instructions!F451)</f>
        <v>TBSRVY_20190924_1_0291_1_09_043</v>
      </c>
      <c r="B444" t="str" cm="1">
        <f t="array" ref="B444">_xlfn.CONCAT(Instructions!C451,Instructions!A451,"_",TEXT(Instructions!B451,"YYYYMMDD"),"_1_",INDEX(Table1[], MATCH(1,(Table1[Estuary]=Instructions!C451)*(Table1[StationNumber]=Instructions!D451)*(Instructions!B451&gt;Table1[StartDate])*(Instructions!B451&lt;Table1[EndDate]),0),1),"_1_",Instructions!E451)</f>
        <v>TBSRVY_20190924_1_0291_1_09</v>
      </c>
      <c r="C444">
        <f>Instructions!G451</f>
        <v>20</v>
      </c>
      <c r="D444" t="str">
        <f>IF(ISBLANK(Instructions!H451),"",Instructions!H451)</f>
        <v>Entered</v>
      </c>
      <c r="E444" s="1">
        <f>IF(ISBLANK(Instructions!I451),"",Instructions!I451)</f>
        <v>45646</v>
      </c>
      <c r="F444" t="str">
        <f>IF(ISBLANK(Instructions!J451),"",Instructions!J451)</f>
        <v>Erica Williams</v>
      </c>
      <c r="G444" s="1" t="str">
        <f>IF(ISBLANK(Instructions!K451),"",Instructions!K451)</f>
        <v/>
      </c>
      <c r="H444" t="str">
        <f>IF(ISBLANK(Instructions!L451),"",Instructions!L451)</f>
        <v/>
      </c>
      <c r="I444" t="str">
        <f t="shared" si="17"/>
        <v>NULL</v>
      </c>
      <c r="J444" t="str">
        <f t="shared" si="17"/>
        <v>NULL</v>
      </c>
      <c r="K444" t="str">
        <f>Instructions!M451</f>
        <v>Added via SMSS</v>
      </c>
      <c r="L444" t="str">
        <f t="shared" si="15"/>
        <v>NULL</v>
      </c>
    </row>
    <row r="445" spans="1:12" x14ac:dyDescent="0.25">
      <c r="A445" t="str" cm="1">
        <f t="array" ref="A445">_xlfn.CONCAT(Instructions!C452,Instructions!A452,"_",TEXT(Instructions!B452,"YYYYMMDD"),"_1_",INDEX(Table1[], MATCH(1,(Table1[Estuary]=Instructions!C452)*(Table1[StationNumber]=Instructions!D452)*(Instructions!B452&gt;Table1[StartDate])*(Instructions!B452&lt;Table1[EndDate]),0),1),"_1_",Instructions!E452,"_",Instructions!F452)</f>
        <v>TBSRVY_20190924_1_0291_1_09_044</v>
      </c>
      <c r="B445" t="str" cm="1">
        <f t="array" ref="B445">_xlfn.CONCAT(Instructions!C452,Instructions!A452,"_",TEXT(Instructions!B452,"YYYYMMDD"),"_1_",INDEX(Table1[], MATCH(1,(Table1[Estuary]=Instructions!C452)*(Table1[StationNumber]=Instructions!D452)*(Instructions!B452&gt;Table1[StartDate])*(Instructions!B452&lt;Table1[EndDate]),0),1),"_1_",Instructions!E452)</f>
        <v>TBSRVY_20190924_1_0291_1_09</v>
      </c>
      <c r="C445">
        <f>Instructions!G452</f>
        <v>47</v>
      </c>
      <c r="D445" t="str">
        <f>IF(ISBLANK(Instructions!H452),"",Instructions!H452)</f>
        <v>Entered</v>
      </c>
      <c r="E445" s="1">
        <f>IF(ISBLANK(Instructions!I452),"",Instructions!I452)</f>
        <v>45646</v>
      </c>
      <c r="F445" t="str">
        <f>IF(ISBLANK(Instructions!J452),"",Instructions!J452)</f>
        <v>Erica Williams</v>
      </c>
      <c r="G445" s="1" t="str">
        <f>IF(ISBLANK(Instructions!K452),"",Instructions!K452)</f>
        <v/>
      </c>
      <c r="H445" t="str">
        <f>IF(ISBLANK(Instructions!L452),"",Instructions!L452)</f>
        <v/>
      </c>
      <c r="I445" t="str">
        <f t="shared" si="17"/>
        <v>NULL</v>
      </c>
      <c r="J445" t="str">
        <f t="shared" si="17"/>
        <v>NULL</v>
      </c>
      <c r="K445" t="str">
        <f>Instructions!M452</f>
        <v>Added via SMSS</v>
      </c>
      <c r="L445" t="str">
        <f t="shared" si="15"/>
        <v>NULL</v>
      </c>
    </row>
    <row r="446" spans="1:12" x14ac:dyDescent="0.25">
      <c r="A446" t="str" cm="1">
        <f t="array" ref="A446">_xlfn.CONCAT(Instructions!C453,Instructions!A453,"_",TEXT(Instructions!B453,"YYYYMMDD"),"_1_",INDEX(Table1[], MATCH(1,(Table1[Estuary]=Instructions!C453)*(Table1[StationNumber]=Instructions!D453)*(Instructions!B453&gt;Table1[StartDate])*(Instructions!B453&lt;Table1[EndDate]),0),1),"_1_",Instructions!E453,"_",Instructions!F453)</f>
        <v>TBSRVY_20190924_1_0291_1_09_045</v>
      </c>
      <c r="B446" t="str" cm="1">
        <f t="array" ref="B446">_xlfn.CONCAT(Instructions!C453,Instructions!A453,"_",TEXT(Instructions!B453,"YYYYMMDD"),"_1_",INDEX(Table1[], MATCH(1,(Table1[Estuary]=Instructions!C453)*(Table1[StationNumber]=Instructions!D453)*(Instructions!B453&gt;Table1[StartDate])*(Instructions!B453&lt;Table1[EndDate]),0),1),"_1_",Instructions!E453)</f>
        <v>TBSRVY_20190924_1_0291_1_09</v>
      </c>
      <c r="C446">
        <f>Instructions!G453</f>
        <v>12</v>
      </c>
      <c r="D446" t="str">
        <f>IF(ISBLANK(Instructions!H453),"",Instructions!H453)</f>
        <v>Entered</v>
      </c>
      <c r="E446" s="1">
        <f>IF(ISBLANK(Instructions!I453),"",Instructions!I453)</f>
        <v>45646</v>
      </c>
      <c r="F446" t="str">
        <f>IF(ISBLANK(Instructions!J453),"",Instructions!J453)</f>
        <v>Erica Williams</v>
      </c>
      <c r="G446" s="1" t="str">
        <f>IF(ISBLANK(Instructions!K453),"",Instructions!K453)</f>
        <v/>
      </c>
      <c r="H446" t="str">
        <f>IF(ISBLANK(Instructions!L453),"",Instructions!L453)</f>
        <v/>
      </c>
      <c r="I446" t="str">
        <f t="shared" si="17"/>
        <v>NULL</v>
      </c>
      <c r="J446" t="str">
        <f t="shared" si="17"/>
        <v>NULL</v>
      </c>
      <c r="K446" t="str">
        <f>Instructions!M453</f>
        <v>Added via SMSS</v>
      </c>
      <c r="L446" t="str">
        <f t="shared" si="15"/>
        <v>NULL</v>
      </c>
    </row>
    <row r="447" spans="1:12" x14ac:dyDescent="0.25">
      <c r="A447" t="str" cm="1">
        <f t="array" ref="A447">_xlfn.CONCAT(Instructions!C454,Instructions!A454,"_",TEXT(Instructions!B454,"YYYYMMDD"),"_1_",INDEX(Table1[], MATCH(1,(Table1[Estuary]=Instructions!C454)*(Table1[StationNumber]=Instructions!D454)*(Instructions!B454&gt;Table1[StartDate])*(Instructions!B454&lt;Table1[EndDate]),0),1),"_1_",Instructions!E454,"_",Instructions!F454)</f>
        <v>TBSRVY_20190924_1_0291_1_09_046</v>
      </c>
      <c r="B447" t="str" cm="1">
        <f t="array" ref="B447">_xlfn.CONCAT(Instructions!C454,Instructions!A454,"_",TEXT(Instructions!B454,"YYYYMMDD"),"_1_",INDEX(Table1[], MATCH(1,(Table1[Estuary]=Instructions!C454)*(Table1[StationNumber]=Instructions!D454)*(Instructions!B454&gt;Table1[StartDate])*(Instructions!B454&lt;Table1[EndDate]),0),1),"_1_",Instructions!E454)</f>
        <v>TBSRVY_20190924_1_0291_1_09</v>
      </c>
      <c r="C447">
        <f>Instructions!G454</f>
        <v>64</v>
      </c>
      <c r="D447" t="str">
        <f>IF(ISBLANK(Instructions!H454),"",Instructions!H454)</f>
        <v>Entered</v>
      </c>
      <c r="E447" s="1">
        <f>IF(ISBLANK(Instructions!I454),"",Instructions!I454)</f>
        <v>45646</v>
      </c>
      <c r="F447" t="str">
        <f>IF(ISBLANK(Instructions!J454),"",Instructions!J454)</f>
        <v>Erica Williams</v>
      </c>
      <c r="G447" s="1" t="str">
        <f>IF(ISBLANK(Instructions!K454),"",Instructions!K454)</f>
        <v/>
      </c>
      <c r="H447" t="str">
        <f>IF(ISBLANK(Instructions!L454),"",Instructions!L454)</f>
        <v/>
      </c>
      <c r="I447" t="str">
        <f t="shared" si="17"/>
        <v>NULL</v>
      </c>
      <c r="J447" t="str">
        <f t="shared" si="17"/>
        <v>NULL</v>
      </c>
      <c r="K447" t="str">
        <f>Instructions!M454</f>
        <v>Added via SMSS</v>
      </c>
      <c r="L447" t="str">
        <f t="shared" si="15"/>
        <v>NULL</v>
      </c>
    </row>
    <row r="448" spans="1:12" x14ac:dyDescent="0.25">
      <c r="A448" t="str" cm="1">
        <f t="array" ref="A448">_xlfn.CONCAT(Instructions!C455,Instructions!A455,"_",TEXT(Instructions!B455,"YYYYMMDD"),"_1_",INDEX(Table1[], MATCH(1,(Table1[Estuary]=Instructions!C455)*(Table1[StationNumber]=Instructions!D455)*(Instructions!B455&gt;Table1[StartDate])*(Instructions!B455&lt;Table1[EndDate]),0),1),"_1_",Instructions!E455,"_",Instructions!F455)</f>
        <v>TBSRVY_20190924_1_0291_1_09_047</v>
      </c>
      <c r="B448" t="str" cm="1">
        <f t="array" ref="B448">_xlfn.CONCAT(Instructions!C455,Instructions!A455,"_",TEXT(Instructions!B455,"YYYYMMDD"),"_1_",INDEX(Table1[], MATCH(1,(Table1[Estuary]=Instructions!C455)*(Table1[StationNumber]=Instructions!D455)*(Instructions!B455&gt;Table1[StartDate])*(Instructions!B455&lt;Table1[EndDate]),0),1),"_1_",Instructions!E455)</f>
        <v>TBSRVY_20190924_1_0291_1_09</v>
      </c>
      <c r="C448">
        <f>Instructions!G455</f>
        <v>34</v>
      </c>
      <c r="D448" t="str">
        <f>IF(ISBLANK(Instructions!H455),"",Instructions!H455)</f>
        <v>Entered</v>
      </c>
      <c r="E448" s="1">
        <f>IF(ISBLANK(Instructions!I455),"",Instructions!I455)</f>
        <v>45646</v>
      </c>
      <c r="F448" t="str">
        <f>IF(ISBLANK(Instructions!J455),"",Instructions!J455)</f>
        <v>Erica Williams</v>
      </c>
      <c r="G448" s="1" t="str">
        <f>IF(ISBLANK(Instructions!K455),"",Instructions!K455)</f>
        <v/>
      </c>
      <c r="H448" t="str">
        <f>IF(ISBLANK(Instructions!L455),"",Instructions!L455)</f>
        <v/>
      </c>
      <c r="I448" t="str">
        <f t="shared" si="17"/>
        <v>NULL</v>
      </c>
      <c r="J448" t="str">
        <f t="shared" si="17"/>
        <v>NULL</v>
      </c>
      <c r="K448" t="str">
        <f>Instructions!M455</f>
        <v>Added via SMSS</v>
      </c>
      <c r="L448" t="str">
        <f t="shared" si="15"/>
        <v>NULL</v>
      </c>
    </row>
    <row r="449" spans="1:12" x14ac:dyDescent="0.25">
      <c r="A449" t="str" cm="1">
        <f t="array" ref="A449">_xlfn.CONCAT(Instructions!C456,Instructions!A456,"_",TEXT(Instructions!B456,"YYYYMMDD"),"_1_",INDEX(Table1[], MATCH(1,(Table1[Estuary]=Instructions!C456)*(Table1[StationNumber]=Instructions!D456)*(Instructions!B456&gt;Table1[StartDate])*(Instructions!B456&lt;Table1[EndDate]),0),1),"_1_",Instructions!E456,"_",Instructions!F456)</f>
        <v>TBSRVY_20190924_1_0291_1_09_048</v>
      </c>
      <c r="B449" t="str" cm="1">
        <f t="array" ref="B449">_xlfn.CONCAT(Instructions!C456,Instructions!A456,"_",TEXT(Instructions!B456,"YYYYMMDD"),"_1_",INDEX(Table1[], MATCH(1,(Table1[Estuary]=Instructions!C456)*(Table1[StationNumber]=Instructions!D456)*(Instructions!B456&gt;Table1[StartDate])*(Instructions!B456&lt;Table1[EndDate]),0),1),"_1_",Instructions!E456)</f>
        <v>TBSRVY_20190924_1_0291_1_09</v>
      </c>
      <c r="C449">
        <f>Instructions!G456</f>
        <v>23</v>
      </c>
      <c r="D449" t="str">
        <f>IF(ISBLANK(Instructions!H456),"",Instructions!H456)</f>
        <v>Entered</v>
      </c>
      <c r="E449" s="1">
        <f>IF(ISBLANK(Instructions!I456),"",Instructions!I456)</f>
        <v>45646</v>
      </c>
      <c r="F449" t="str">
        <f>IF(ISBLANK(Instructions!J456),"",Instructions!J456)</f>
        <v>Erica Williams</v>
      </c>
      <c r="G449" s="1" t="str">
        <f>IF(ISBLANK(Instructions!K456),"",Instructions!K456)</f>
        <v/>
      </c>
      <c r="H449" t="str">
        <f>IF(ISBLANK(Instructions!L456),"",Instructions!L456)</f>
        <v/>
      </c>
      <c r="I449" t="str">
        <f t="shared" si="17"/>
        <v>NULL</v>
      </c>
      <c r="J449" t="str">
        <f t="shared" si="17"/>
        <v>NULL</v>
      </c>
      <c r="K449" t="str">
        <f>Instructions!M456</f>
        <v>Added via SMSS</v>
      </c>
      <c r="L449" t="str">
        <f t="shared" si="15"/>
        <v>NULL</v>
      </c>
    </row>
    <row r="450" spans="1:12" x14ac:dyDescent="0.25">
      <c r="A450" t="str" cm="1">
        <f t="array" ref="A450">_xlfn.CONCAT(Instructions!C457,Instructions!A457,"_",TEXT(Instructions!B457,"YYYYMMDD"),"_1_",INDEX(Table1[], MATCH(1,(Table1[Estuary]=Instructions!C457)*(Table1[StationNumber]=Instructions!D457)*(Instructions!B457&gt;Table1[StartDate])*(Instructions!B457&lt;Table1[EndDate]),0),1),"_1_",Instructions!E457,"_",Instructions!F457)</f>
        <v>TBSRVY_20190924_1_0291_1_09_049</v>
      </c>
      <c r="B450" t="str" cm="1">
        <f t="array" ref="B450">_xlfn.CONCAT(Instructions!C457,Instructions!A457,"_",TEXT(Instructions!B457,"YYYYMMDD"),"_1_",INDEX(Table1[], MATCH(1,(Table1[Estuary]=Instructions!C457)*(Table1[StationNumber]=Instructions!D457)*(Instructions!B457&gt;Table1[StartDate])*(Instructions!B457&lt;Table1[EndDate]),0),1),"_1_",Instructions!E457)</f>
        <v>TBSRVY_20190924_1_0291_1_09</v>
      </c>
      <c r="C450">
        <f>Instructions!G457</f>
        <v>4</v>
      </c>
      <c r="D450" t="str">
        <f>IF(ISBLANK(Instructions!H457),"",Instructions!H457)</f>
        <v>Entered</v>
      </c>
      <c r="E450" s="1">
        <f>IF(ISBLANK(Instructions!I457),"",Instructions!I457)</f>
        <v>45646</v>
      </c>
      <c r="F450" t="str">
        <f>IF(ISBLANK(Instructions!J457),"",Instructions!J457)</f>
        <v>Erica Williams</v>
      </c>
      <c r="G450" s="1" t="str">
        <f>IF(ISBLANK(Instructions!K457),"",Instructions!K457)</f>
        <v/>
      </c>
      <c r="H450" t="str">
        <f>IF(ISBLANK(Instructions!L457),"",Instructions!L457)</f>
        <v/>
      </c>
      <c r="I450" t="str">
        <f t="shared" si="17"/>
        <v>NULL</v>
      </c>
      <c r="J450" t="str">
        <f t="shared" si="17"/>
        <v>NULL</v>
      </c>
      <c r="K450" t="str">
        <f>Instructions!M457</f>
        <v>Added via SMSS</v>
      </c>
      <c r="L450" t="str">
        <f t="shared" si="15"/>
        <v>NULL</v>
      </c>
    </row>
    <row r="451" spans="1:12" x14ac:dyDescent="0.25">
      <c r="A451" t="str" cm="1">
        <f t="array" ref="A451">_xlfn.CONCAT(Instructions!C458,Instructions!A458,"_",TEXT(Instructions!B458,"YYYYMMDD"),"_1_",INDEX(Table1[], MATCH(1,(Table1[Estuary]=Instructions!C458)*(Table1[StationNumber]=Instructions!D458)*(Instructions!B458&gt;Table1[StartDate])*(Instructions!B458&lt;Table1[EndDate]),0),1),"_1_",Instructions!E458,"_",Instructions!F458)</f>
        <v>TBSRVY_20190924_1_0291_1_09_050</v>
      </c>
      <c r="B451" t="str" cm="1">
        <f t="array" ref="B451">_xlfn.CONCAT(Instructions!C458,Instructions!A458,"_",TEXT(Instructions!B458,"YYYYMMDD"),"_1_",INDEX(Table1[], MATCH(1,(Table1[Estuary]=Instructions!C458)*(Table1[StationNumber]=Instructions!D458)*(Instructions!B458&gt;Table1[StartDate])*(Instructions!B458&lt;Table1[EndDate]),0),1),"_1_",Instructions!E458)</f>
        <v>TBSRVY_20190924_1_0291_1_09</v>
      </c>
      <c r="C451">
        <f>Instructions!G458</f>
        <v>5</v>
      </c>
      <c r="D451" t="str">
        <f>IF(ISBLANK(Instructions!H458),"",Instructions!H458)</f>
        <v>Entered</v>
      </c>
      <c r="E451" s="1">
        <f>IF(ISBLANK(Instructions!I458),"",Instructions!I458)</f>
        <v>45646</v>
      </c>
      <c r="F451" t="str">
        <f>IF(ISBLANK(Instructions!J458),"",Instructions!J458)</f>
        <v>Erica Williams</v>
      </c>
      <c r="G451" s="1" t="str">
        <f>IF(ISBLANK(Instructions!K458),"",Instructions!K458)</f>
        <v/>
      </c>
      <c r="H451" t="str">
        <f>IF(ISBLANK(Instructions!L458),"",Instructions!L458)</f>
        <v/>
      </c>
      <c r="I451" t="str">
        <f t="shared" si="17"/>
        <v>NULL</v>
      </c>
      <c r="J451" t="str">
        <f t="shared" si="17"/>
        <v>NULL</v>
      </c>
      <c r="K451" t="str">
        <f>Instructions!M458</f>
        <v>Added via SMSS</v>
      </c>
      <c r="L451" t="str">
        <f t="shared" si="15"/>
        <v>NULL</v>
      </c>
    </row>
    <row r="452" spans="1:12" x14ac:dyDescent="0.25">
      <c r="A452" t="str" cm="1">
        <f t="array" ref="A452">_xlfn.CONCAT(Instructions!C459,Instructions!A459,"_",TEXT(Instructions!B459,"YYYYMMDD"),"_1_",INDEX(Table1[], MATCH(1,(Table1[Estuary]=Instructions!C459)*(Table1[StationNumber]=Instructions!D459)*(Instructions!B459&gt;Table1[StartDate])*(Instructions!B459&lt;Table1[EndDate]),0),1),"_1_",Instructions!E459,"_",Instructions!F459)</f>
        <v>TBSRVY_20190924_1_0291_1_010_001</v>
      </c>
      <c r="B452" t="str" cm="1">
        <f t="array" ref="B452">_xlfn.CONCAT(Instructions!C459,Instructions!A459,"_",TEXT(Instructions!B459,"YYYYMMDD"),"_1_",INDEX(Table1[], MATCH(1,(Table1[Estuary]=Instructions!C459)*(Table1[StationNumber]=Instructions!D459)*(Instructions!B459&gt;Table1[StartDate])*(Instructions!B459&lt;Table1[EndDate]),0),1),"_1_",Instructions!E459)</f>
        <v>TBSRVY_20190924_1_0291_1_010</v>
      </c>
      <c r="C452">
        <f>Instructions!G459</f>
        <v>28</v>
      </c>
      <c r="D452" t="str">
        <f>IF(ISBLANK(Instructions!H459),"",Instructions!H459)</f>
        <v>Entered</v>
      </c>
      <c r="E452" s="1">
        <f>IF(ISBLANK(Instructions!I459),"",Instructions!I459)</f>
        <v>45646</v>
      </c>
      <c r="F452" t="str">
        <f>IF(ISBLANK(Instructions!J459),"",Instructions!J459)</f>
        <v>Erica Williams</v>
      </c>
      <c r="G452" s="1" t="str">
        <f>IF(ISBLANK(Instructions!K459),"",Instructions!K459)</f>
        <v/>
      </c>
      <c r="H452" t="str">
        <f>IF(ISBLANK(Instructions!L459),"",Instructions!L459)</f>
        <v/>
      </c>
      <c r="I452" t="str">
        <f t="shared" si="17"/>
        <v>NULL</v>
      </c>
      <c r="J452" t="str">
        <f t="shared" si="17"/>
        <v>NULL</v>
      </c>
      <c r="K452" t="str">
        <f>Instructions!M459</f>
        <v>Added via SMSS</v>
      </c>
      <c r="L452" t="str">
        <f t="shared" si="15"/>
        <v>NULL</v>
      </c>
    </row>
    <row r="453" spans="1:12" x14ac:dyDescent="0.25">
      <c r="A453" t="str" cm="1">
        <f t="array" ref="A453">_xlfn.CONCAT(Instructions!C460,Instructions!A460,"_",TEXT(Instructions!B460,"YYYYMMDD"),"_1_",INDEX(Table1[], MATCH(1,(Table1[Estuary]=Instructions!C460)*(Table1[StationNumber]=Instructions!D460)*(Instructions!B460&gt;Table1[StartDate])*(Instructions!B460&lt;Table1[EndDate]),0),1),"_1_",Instructions!E460,"_",Instructions!F460)</f>
        <v>TBSRVY_20190924_1_0291_1_010_002</v>
      </c>
      <c r="B453" t="str" cm="1">
        <f t="array" ref="B453">_xlfn.CONCAT(Instructions!C460,Instructions!A460,"_",TEXT(Instructions!B460,"YYYYMMDD"),"_1_",INDEX(Table1[], MATCH(1,(Table1[Estuary]=Instructions!C460)*(Table1[StationNumber]=Instructions!D460)*(Instructions!B460&gt;Table1[StartDate])*(Instructions!B460&lt;Table1[EndDate]),0),1),"_1_",Instructions!E460)</f>
        <v>TBSRVY_20190924_1_0291_1_010</v>
      </c>
      <c r="C453">
        <f>Instructions!G460</f>
        <v>67</v>
      </c>
      <c r="D453" t="str">
        <f>IF(ISBLANK(Instructions!H460),"",Instructions!H460)</f>
        <v>Entered</v>
      </c>
      <c r="E453" s="1">
        <f>IF(ISBLANK(Instructions!I460),"",Instructions!I460)</f>
        <v>45646</v>
      </c>
      <c r="F453" t="str">
        <f>IF(ISBLANK(Instructions!J460),"",Instructions!J460)</f>
        <v>Erica Williams</v>
      </c>
      <c r="G453" s="1" t="str">
        <f>IF(ISBLANK(Instructions!K460),"",Instructions!K460)</f>
        <v/>
      </c>
      <c r="H453" t="str">
        <f>IF(ISBLANK(Instructions!L460),"",Instructions!L460)</f>
        <v/>
      </c>
      <c r="I453" t="str">
        <f t="shared" si="17"/>
        <v>NULL</v>
      </c>
      <c r="J453" t="str">
        <f t="shared" si="17"/>
        <v>NULL</v>
      </c>
      <c r="K453" t="str">
        <f>Instructions!M460</f>
        <v>Added via SMSS</v>
      </c>
      <c r="L453" t="str">
        <f t="shared" si="15"/>
        <v>NULL</v>
      </c>
    </row>
    <row r="454" spans="1:12" x14ac:dyDescent="0.25">
      <c r="A454" t="str" cm="1">
        <f t="array" ref="A454">_xlfn.CONCAT(Instructions!C461,Instructions!A461,"_",TEXT(Instructions!B461,"YYYYMMDD"),"_1_",INDEX(Table1[], MATCH(1,(Table1[Estuary]=Instructions!C461)*(Table1[StationNumber]=Instructions!D461)*(Instructions!B461&gt;Table1[StartDate])*(Instructions!B461&lt;Table1[EndDate]),0),1),"_1_",Instructions!E461,"_",Instructions!F461)</f>
        <v>TBSRVY_20190924_1_0291_1_010_003</v>
      </c>
      <c r="B454" t="str" cm="1">
        <f t="array" ref="B454">_xlfn.CONCAT(Instructions!C461,Instructions!A461,"_",TEXT(Instructions!B461,"YYYYMMDD"),"_1_",INDEX(Table1[], MATCH(1,(Table1[Estuary]=Instructions!C461)*(Table1[StationNumber]=Instructions!D461)*(Instructions!B461&gt;Table1[StartDate])*(Instructions!B461&lt;Table1[EndDate]),0),1),"_1_",Instructions!E461)</f>
        <v>TBSRVY_20190924_1_0291_1_010</v>
      </c>
      <c r="C454">
        <f>Instructions!G461</f>
        <v>21</v>
      </c>
      <c r="D454" t="str">
        <f>IF(ISBLANK(Instructions!H461),"",Instructions!H461)</f>
        <v>Entered</v>
      </c>
      <c r="E454" s="1">
        <f>IF(ISBLANK(Instructions!I461),"",Instructions!I461)</f>
        <v>45646</v>
      </c>
      <c r="F454" t="str">
        <f>IF(ISBLANK(Instructions!J461),"",Instructions!J461)</f>
        <v>Erica Williams</v>
      </c>
      <c r="G454" s="1" t="str">
        <f>IF(ISBLANK(Instructions!K461),"",Instructions!K461)</f>
        <v/>
      </c>
      <c r="H454" t="str">
        <f>IF(ISBLANK(Instructions!L461),"",Instructions!L461)</f>
        <v/>
      </c>
      <c r="I454" t="str">
        <f t="shared" si="17"/>
        <v>NULL</v>
      </c>
      <c r="J454" t="str">
        <f t="shared" si="17"/>
        <v>NULL</v>
      </c>
      <c r="K454" t="str">
        <f>Instructions!M461</f>
        <v>Added via SMSS</v>
      </c>
      <c r="L454" t="str">
        <f t="shared" si="15"/>
        <v>NULL</v>
      </c>
    </row>
    <row r="455" spans="1:12" x14ac:dyDescent="0.25">
      <c r="A455" t="str" cm="1">
        <f t="array" ref="A455">_xlfn.CONCAT(Instructions!C462,Instructions!A462,"_",TEXT(Instructions!B462,"YYYYMMDD"),"_1_",INDEX(Table1[], MATCH(1,(Table1[Estuary]=Instructions!C462)*(Table1[StationNumber]=Instructions!D462)*(Instructions!B462&gt;Table1[StartDate])*(Instructions!B462&lt;Table1[EndDate]),0),1),"_1_",Instructions!E462,"_",Instructions!F462)</f>
        <v>TBSRVY_20190924_1_0291_1_010_004</v>
      </c>
      <c r="B455" t="str" cm="1">
        <f t="array" ref="B455">_xlfn.CONCAT(Instructions!C462,Instructions!A462,"_",TEXT(Instructions!B462,"YYYYMMDD"),"_1_",INDEX(Table1[], MATCH(1,(Table1[Estuary]=Instructions!C462)*(Table1[StationNumber]=Instructions!D462)*(Instructions!B462&gt;Table1[StartDate])*(Instructions!B462&lt;Table1[EndDate]),0),1),"_1_",Instructions!E462)</f>
        <v>TBSRVY_20190924_1_0291_1_010</v>
      </c>
      <c r="C455">
        <f>Instructions!G462</f>
        <v>25</v>
      </c>
      <c r="D455" t="str">
        <f>IF(ISBLANK(Instructions!H462),"",Instructions!H462)</f>
        <v>Entered</v>
      </c>
      <c r="E455" s="1">
        <f>IF(ISBLANK(Instructions!I462),"",Instructions!I462)</f>
        <v>45646</v>
      </c>
      <c r="F455" t="str">
        <f>IF(ISBLANK(Instructions!J462),"",Instructions!J462)</f>
        <v>Erica Williams</v>
      </c>
      <c r="G455" s="1" t="str">
        <f>IF(ISBLANK(Instructions!K462),"",Instructions!K462)</f>
        <v/>
      </c>
      <c r="H455" t="str">
        <f>IF(ISBLANK(Instructions!L462),"",Instructions!L462)</f>
        <v/>
      </c>
      <c r="I455" t="str">
        <f t="shared" si="17"/>
        <v>NULL</v>
      </c>
      <c r="J455" t="str">
        <f t="shared" si="17"/>
        <v>NULL</v>
      </c>
      <c r="K455" t="str">
        <f>Instructions!M462</f>
        <v>Added via SMSS</v>
      </c>
      <c r="L455" t="str">
        <f t="shared" si="15"/>
        <v>NULL</v>
      </c>
    </row>
    <row r="456" spans="1:12" x14ac:dyDescent="0.25">
      <c r="A456" t="str" cm="1">
        <f t="array" ref="A456">_xlfn.CONCAT(Instructions!C463,Instructions!A463,"_",TEXT(Instructions!B463,"YYYYMMDD"),"_1_",INDEX(Table1[], MATCH(1,(Table1[Estuary]=Instructions!C463)*(Table1[StationNumber]=Instructions!D463)*(Instructions!B463&gt;Table1[StartDate])*(Instructions!B463&lt;Table1[EndDate]),0),1),"_1_",Instructions!E463,"_",Instructions!F463)</f>
        <v>TBSRVY_20190924_1_0291_1_010_005</v>
      </c>
      <c r="B456" t="str" cm="1">
        <f t="array" ref="B456">_xlfn.CONCAT(Instructions!C463,Instructions!A463,"_",TEXT(Instructions!B463,"YYYYMMDD"),"_1_",INDEX(Table1[], MATCH(1,(Table1[Estuary]=Instructions!C463)*(Table1[StationNumber]=Instructions!D463)*(Instructions!B463&gt;Table1[StartDate])*(Instructions!B463&lt;Table1[EndDate]),0),1),"_1_",Instructions!E463)</f>
        <v>TBSRVY_20190924_1_0291_1_010</v>
      </c>
      <c r="C456">
        <f>Instructions!G463</f>
        <v>25</v>
      </c>
      <c r="D456" t="str">
        <f>IF(ISBLANK(Instructions!H463),"",Instructions!H463)</f>
        <v>Entered</v>
      </c>
      <c r="E456" s="1">
        <f>IF(ISBLANK(Instructions!I463),"",Instructions!I463)</f>
        <v>45646</v>
      </c>
      <c r="F456" t="str">
        <f>IF(ISBLANK(Instructions!J463),"",Instructions!J463)</f>
        <v>Erica Williams</v>
      </c>
      <c r="G456" s="1" t="str">
        <f>IF(ISBLANK(Instructions!K463),"",Instructions!K463)</f>
        <v/>
      </c>
      <c r="H456" t="str">
        <f>IF(ISBLANK(Instructions!L463),"",Instructions!L463)</f>
        <v/>
      </c>
      <c r="I456" t="str">
        <f t="shared" si="17"/>
        <v>NULL</v>
      </c>
      <c r="J456" t="str">
        <f t="shared" si="17"/>
        <v>NULL</v>
      </c>
      <c r="K456" t="str">
        <f>Instructions!M463</f>
        <v>Added via SMSS</v>
      </c>
      <c r="L456" t="str">
        <f t="shared" si="15"/>
        <v>NULL</v>
      </c>
    </row>
    <row r="457" spans="1:12" x14ac:dyDescent="0.25">
      <c r="A457" t="str" cm="1">
        <f t="array" ref="A457">_xlfn.CONCAT(Instructions!C464,Instructions!A464,"_",TEXT(Instructions!B464,"YYYYMMDD"),"_1_",INDEX(Table1[], MATCH(1,(Table1[Estuary]=Instructions!C464)*(Table1[StationNumber]=Instructions!D464)*(Instructions!B464&gt;Table1[StartDate])*(Instructions!B464&lt;Table1[EndDate]),0),1),"_1_",Instructions!E464,"_",Instructions!F464)</f>
        <v>TBSRVY_20190924_1_0291_1_010_006</v>
      </c>
      <c r="B457" t="str" cm="1">
        <f t="array" ref="B457">_xlfn.CONCAT(Instructions!C464,Instructions!A464,"_",TEXT(Instructions!B464,"YYYYMMDD"),"_1_",INDEX(Table1[], MATCH(1,(Table1[Estuary]=Instructions!C464)*(Table1[StationNumber]=Instructions!D464)*(Instructions!B464&gt;Table1[StartDate])*(Instructions!B464&lt;Table1[EndDate]),0),1),"_1_",Instructions!E464)</f>
        <v>TBSRVY_20190924_1_0291_1_010</v>
      </c>
      <c r="C457">
        <f>Instructions!G464</f>
        <v>7</v>
      </c>
      <c r="D457" t="str">
        <f>IF(ISBLANK(Instructions!H464),"",Instructions!H464)</f>
        <v>Entered</v>
      </c>
      <c r="E457" s="1">
        <f>IF(ISBLANK(Instructions!I464),"",Instructions!I464)</f>
        <v>45646</v>
      </c>
      <c r="F457" t="str">
        <f>IF(ISBLANK(Instructions!J464),"",Instructions!J464)</f>
        <v>Erica Williams</v>
      </c>
      <c r="G457" s="1" t="str">
        <f>IF(ISBLANK(Instructions!K464),"",Instructions!K464)</f>
        <v/>
      </c>
      <c r="H457" t="str">
        <f>IF(ISBLANK(Instructions!L464),"",Instructions!L464)</f>
        <v/>
      </c>
      <c r="I457" t="str">
        <f t="shared" si="17"/>
        <v>NULL</v>
      </c>
      <c r="J457" t="str">
        <f t="shared" si="17"/>
        <v>NULL</v>
      </c>
      <c r="K457" t="str">
        <f>Instructions!M464</f>
        <v>Added via SMSS</v>
      </c>
      <c r="L457" t="str">
        <f t="shared" si="15"/>
        <v>NULL</v>
      </c>
    </row>
    <row r="458" spans="1:12" x14ac:dyDescent="0.25">
      <c r="A458" t="str" cm="1">
        <f t="array" ref="A458">_xlfn.CONCAT(Instructions!C465,Instructions!A465,"_",TEXT(Instructions!B465,"YYYYMMDD"),"_1_",INDEX(Table1[], MATCH(1,(Table1[Estuary]=Instructions!C465)*(Table1[StationNumber]=Instructions!D465)*(Instructions!B465&gt;Table1[StartDate])*(Instructions!B465&lt;Table1[EndDate]),0),1),"_1_",Instructions!E465,"_",Instructions!F465)</f>
        <v>TBSRVY_20190924_1_0291_1_010_007</v>
      </c>
      <c r="B458" t="str" cm="1">
        <f t="array" ref="B458">_xlfn.CONCAT(Instructions!C465,Instructions!A465,"_",TEXT(Instructions!B465,"YYYYMMDD"),"_1_",INDEX(Table1[], MATCH(1,(Table1[Estuary]=Instructions!C465)*(Table1[StationNumber]=Instructions!D465)*(Instructions!B465&gt;Table1[StartDate])*(Instructions!B465&lt;Table1[EndDate]),0),1),"_1_",Instructions!E465)</f>
        <v>TBSRVY_20190924_1_0291_1_010</v>
      </c>
      <c r="C458">
        <f>Instructions!G465</f>
        <v>34</v>
      </c>
      <c r="D458" t="str">
        <f>IF(ISBLANK(Instructions!H465),"",Instructions!H465)</f>
        <v>Entered</v>
      </c>
      <c r="E458" s="1">
        <f>IF(ISBLANK(Instructions!I465),"",Instructions!I465)</f>
        <v>45646</v>
      </c>
      <c r="F458" t="str">
        <f>IF(ISBLANK(Instructions!J465),"",Instructions!J465)</f>
        <v>Erica Williams</v>
      </c>
      <c r="G458" s="1" t="str">
        <f>IF(ISBLANK(Instructions!K465),"",Instructions!K465)</f>
        <v/>
      </c>
      <c r="H458" t="str">
        <f>IF(ISBLANK(Instructions!L465),"",Instructions!L465)</f>
        <v/>
      </c>
      <c r="I458" t="str">
        <f t="shared" si="17"/>
        <v>NULL</v>
      </c>
      <c r="J458" t="str">
        <f t="shared" si="17"/>
        <v>NULL</v>
      </c>
      <c r="K458" t="str">
        <f>Instructions!M465</f>
        <v>Added via SMSS</v>
      </c>
      <c r="L458" t="str">
        <f t="shared" si="15"/>
        <v>NULL</v>
      </c>
    </row>
    <row r="459" spans="1:12" x14ac:dyDescent="0.25">
      <c r="A459" t="str" cm="1">
        <f t="array" ref="A459">_xlfn.CONCAT(Instructions!C466,Instructions!A466,"_",TEXT(Instructions!B466,"YYYYMMDD"),"_1_",INDEX(Table1[], MATCH(1,(Table1[Estuary]=Instructions!C466)*(Table1[StationNumber]=Instructions!D466)*(Instructions!B466&gt;Table1[StartDate])*(Instructions!B466&lt;Table1[EndDate]),0),1),"_1_",Instructions!E466,"_",Instructions!F466)</f>
        <v>TBSRVY_20190924_1_0291_1_010_008</v>
      </c>
      <c r="B459" t="str" cm="1">
        <f t="array" ref="B459">_xlfn.CONCAT(Instructions!C466,Instructions!A466,"_",TEXT(Instructions!B466,"YYYYMMDD"),"_1_",INDEX(Table1[], MATCH(1,(Table1[Estuary]=Instructions!C466)*(Table1[StationNumber]=Instructions!D466)*(Instructions!B466&gt;Table1[StartDate])*(Instructions!B466&lt;Table1[EndDate]),0),1),"_1_",Instructions!E466)</f>
        <v>TBSRVY_20190924_1_0291_1_010</v>
      </c>
      <c r="C459">
        <f>Instructions!G466</f>
        <v>37</v>
      </c>
      <c r="D459" t="str">
        <f>IF(ISBLANK(Instructions!H466),"",Instructions!H466)</f>
        <v>Entered</v>
      </c>
      <c r="E459" s="1">
        <f>IF(ISBLANK(Instructions!I466),"",Instructions!I466)</f>
        <v>45646</v>
      </c>
      <c r="F459" t="str">
        <f>IF(ISBLANK(Instructions!J466),"",Instructions!J466)</f>
        <v>Erica Williams</v>
      </c>
      <c r="G459" s="1" t="str">
        <f>IF(ISBLANK(Instructions!K466),"",Instructions!K466)</f>
        <v/>
      </c>
      <c r="H459" t="str">
        <f>IF(ISBLANK(Instructions!L466),"",Instructions!L466)</f>
        <v/>
      </c>
      <c r="I459" t="str">
        <f t="shared" si="17"/>
        <v>NULL</v>
      </c>
      <c r="J459" t="str">
        <f t="shared" si="17"/>
        <v>NULL</v>
      </c>
      <c r="K459" t="str">
        <f>Instructions!M466</f>
        <v>Added via SMSS</v>
      </c>
      <c r="L459" t="str">
        <f t="shared" si="15"/>
        <v>NULL</v>
      </c>
    </row>
    <row r="460" spans="1:12" x14ac:dyDescent="0.25">
      <c r="A460" t="str" cm="1">
        <f t="array" ref="A460">_xlfn.CONCAT(Instructions!C467,Instructions!A467,"_",TEXT(Instructions!B467,"YYYYMMDD"),"_1_",INDEX(Table1[], MATCH(1,(Table1[Estuary]=Instructions!C467)*(Table1[StationNumber]=Instructions!D467)*(Instructions!B467&gt;Table1[StartDate])*(Instructions!B467&lt;Table1[EndDate]),0),1),"_1_",Instructions!E467,"_",Instructions!F467)</f>
        <v>TBSRVY_20190924_1_0291_1_010_009</v>
      </c>
      <c r="B460" t="str" cm="1">
        <f t="array" ref="B460">_xlfn.CONCAT(Instructions!C467,Instructions!A467,"_",TEXT(Instructions!B467,"YYYYMMDD"),"_1_",INDEX(Table1[], MATCH(1,(Table1[Estuary]=Instructions!C467)*(Table1[StationNumber]=Instructions!D467)*(Instructions!B467&gt;Table1[StartDate])*(Instructions!B467&lt;Table1[EndDate]),0),1),"_1_",Instructions!E467)</f>
        <v>TBSRVY_20190924_1_0291_1_010</v>
      </c>
      <c r="C460">
        <f>Instructions!G467</f>
        <v>7</v>
      </c>
      <c r="D460" t="str">
        <f>IF(ISBLANK(Instructions!H467),"",Instructions!H467)</f>
        <v>Entered</v>
      </c>
      <c r="E460" s="1">
        <f>IF(ISBLANK(Instructions!I467),"",Instructions!I467)</f>
        <v>45646</v>
      </c>
      <c r="F460" t="str">
        <f>IF(ISBLANK(Instructions!J467),"",Instructions!J467)</f>
        <v>Erica Williams</v>
      </c>
      <c r="G460" s="1" t="str">
        <f>IF(ISBLANK(Instructions!K467),"",Instructions!K467)</f>
        <v/>
      </c>
      <c r="H460" t="str">
        <f>IF(ISBLANK(Instructions!L467),"",Instructions!L467)</f>
        <v/>
      </c>
      <c r="I460" t="str">
        <f t="shared" si="17"/>
        <v>NULL</v>
      </c>
      <c r="J460" t="str">
        <f t="shared" si="17"/>
        <v>NULL</v>
      </c>
      <c r="K460" t="str">
        <f>Instructions!M467</f>
        <v>Added via SMSS</v>
      </c>
      <c r="L460" t="str">
        <f t="shared" si="15"/>
        <v>NULL</v>
      </c>
    </row>
    <row r="461" spans="1:12" x14ac:dyDescent="0.25">
      <c r="A461" t="str" cm="1">
        <f t="array" ref="A461">_xlfn.CONCAT(Instructions!C468,Instructions!A468,"_",TEXT(Instructions!B468,"YYYYMMDD"),"_1_",INDEX(Table1[], MATCH(1,(Table1[Estuary]=Instructions!C468)*(Table1[StationNumber]=Instructions!D468)*(Instructions!B468&gt;Table1[StartDate])*(Instructions!B468&lt;Table1[EndDate]),0),1),"_1_",Instructions!E468,"_",Instructions!F468)</f>
        <v>TBSRVY_20190924_1_0291_1_010_010</v>
      </c>
      <c r="B461" t="str" cm="1">
        <f t="array" ref="B461">_xlfn.CONCAT(Instructions!C468,Instructions!A468,"_",TEXT(Instructions!B468,"YYYYMMDD"),"_1_",INDEX(Table1[], MATCH(1,(Table1[Estuary]=Instructions!C468)*(Table1[StationNumber]=Instructions!D468)*(Instructions!B468&gt;Table1[StartDate])*(Instructions!B468&lt;Table1[EndDate]),0),1),"_1_",Instructions!E468)</f>
        <v>TBSRVY_20190924_1_0291_1_010</v>
      </c>
      <c r="C461">
        <f>Instructions!G468</f>
        <v>5</v>
      </c>
      <c r="D461" t="str">
        <f>IF(ISBLANK(Instructions!H468),"",Instructions!H468)</f>
        <v>Entered</v>
      </c>
      <c r="E461" s="1">
        <f>IF(ISBLANK(Instructions!I468),"",Instructions!I468)</f>
        <v>45646</v>
      </c>
      <c r="F461" t="str">
        <f>IF(ISBLANK(Instructions!J468),"",Instructions!J468)</f>
        <v>Erica Williams</v>
      </c>
      <c r="G461" s="1" t="str">
        <f>IF(ISBLANK(Instructions!K468),"",Instructions!K468)</f>
        <v/>
      </c>
      <c r="H461" t="str">
        <f>IF(ISBLANK(Instructions!L468),"",Instructions!L468)</f>
        <v/>
      </c>
      <c r="I461" t="str">
        <f t="shared" si="17"/>
        <v>NULL</v>
      </c>
      <c r="J461" t="str">
        <f t="shared" si="17"/>
        <v>NULL</v>
      </c>
      <c r="K461" t="str">
        <f>Instructions!M468</f>
        <v>Added via SMSS</v>
      </c>
      <c r="L461" t="str">
        <f t="shared" si="15"/>
        <v>NULL</v>
      </c>
    </row>
    <row r="462" spans="1:12" x14ac:dyDescent="0.25">
      <c r="A462" t="str" cm="1">
        <f t="array" ref="A462">_xlfn.CONCAT(Instructions!C469,Instructions!A469,"_",TEXT(Instructions!B469,"YYYYMMDD"),"_1_",INDEX(Table1[], MATCH(1,(Table1[Estuary]=Instructions!C469)*(Table1[StationNumber]=Instructions!D469)*(Instructions!B469&gt;Table1[StartDate])*(Instructions!B469&lt;Table1[EndDate]),0),1),"_1_",Instructions!E469,"_",Instructions!F469)</f>
        <v>TBSRVY_20190924_1_0291_1_010_011</v>
      </c>
      <c r="B462" t="str" cm="1">
        <f t="array" ref="B462">_xlfn.CONCAT(Instructions!C469,Instructions!A469,"_",TEXT(Instructions!B469,"YYYYMMDD"),"_1_",INDEX(Table1[], MATCH(1,(Table1[Estuary]=Instructions!C469)*(Table1[StationNumber]=Instructions!D469)*(Instructions!B469&gt;Table1[StartDate])*(Instructions!B469&lt;Table1[EndDate]),0),1),"_1_",Instructions!E469)</f>
        <v>TBSRVY_20190924_1_0291_1_010</v>
      </c>
      <c r="C462">
        <f>Instructions!G469</f>
        <v>7</v>
      </c>
      <c r="D462" t="str">
        <f>IF(ISBLANK(Instructions!H469),"",Instructions!H469)</f>
        <v>Entered</v>
      </c>
      <c r="E462" s="1">
        <f>IF(ISBLANK(Instructions!I469),"",Instructions!I469)</f>
        <v>45646</v>
      </c>
      <c r="F462" t="str">
        <f>IF(ISBLANK(Instructions!J469),"",Instructions!J469)</f>
        <v>Erica Williams</v>
      </c>
      <c r="G462" s="1" t="str">
        <f>IF(ISBLANK(Instructions!K469),"",Instructions!K469)</f>
        <v/>
      </c>
      <c r="H462" t="str">
        <f>IF(ISBLANK(Instructions!L469),"",Instructions!L469)</f>
        <v/>
      </c>
      <c r="I462" t="str">
        <f t="shared" si="17"/>
        <v>NULL</v>
      </c>
      <c r="J462" t="str">
        <f t="shared" si="17"/>
        <v>NULL</v>
      </c>
      <c r="K462" t="str">
        <f>Instructions!M469</f>
        <v>Added via SMSS</v>
      </c>
      <c r="L462" t="str">
        <f t="shared" si="15"/>
        <v>NULL</v>
      </c>
    </row>
    <row r="463" spans="1:12" x14ac:dyDescent="0.25">
      <c r="A463" t="str" cm="1">
        <f t="array" ref="A463">_xlfn.CONCAT(Instructions!C470,Instructions!A470,"_",TEXT(Instructions!B470,"YYYYMMDD"),"_1_",INDEX(Table1[], MATCH(1,(Table1[Estuary]=Instructions!C470)*(Table1[StationNumber]=Instructions!D470)*(Instructions!B470&gt;Table1[StartDate])*(Instructions!B470&lt;Table1[EndDate]),0),1),"_1_",Instructions!E470,"_",Instructions!F470)</f>
        <v>TBSRVY_20190924_1_0291_1_010_012</v>
      </c>
      <c r="B463" t="str" cm="1">
        <f t="array" ref="B463">_xlfn.CONCAT(Instructions!C470,Instructions!A470,"_",TEXT(Instructions!B470,"YYYYMMDD"),"_1_",INDEX(Table1[], MATCH(1,(Table1[Estuary]=Instructions!C470)*(Table1[StationNumber]=Instructions!D470)*(Instructions!B470&gt;Table1[StartDate])*(Instructions!B470&lt;Table1[EndDate]),0),1),"_1_",Instructions!E470)</f>
        <v>TBSRVY_20190924_1_0291_1_010</v>
      </c>
      <c r="C463">
        <f>Instructions!G470</f>
        <v>13</v>
      </c>
      <c r="D463" t="str">
        <f>IF(ISBLANK(Instructions!H470),"",Instructions!H470)</f>
        <v>Entered</v>
      </c>
      <c r="E463" s="1">
        <f>IF(ISBLANK(Instructions!I470),"",Instructions!I470)</f>
        <v>45646</v>
      </c>
      <c r="F463" t="str">
        <f>IF(ISBLANK(Instructions!J470),"",Instructions!J470)</f>
        <v>Erica Williams</v>
      </c>
      <c r="G463" s="1" t="str">
        <f>IF(ISBLANK(Instructions!K470),"",Instructions!K470)</f>
        <v/>
      </c>
      <c r="H463" t="str">
        <f>IF(ISBLANK(Instructions!L470),"",Instructions!L470)</f>
        <v/>
      </c>
      <c r="I463" t="str">
        <f t="shared" si="17"/>
        <v>NULL</v>
      </c>
      <c r="J463" t="str">
        <f t="shared" si="17"/>
        <v>NULL</v>
      </c>
      <c r="K463" t="str">
        <f>Instructions!M470</f>
        <v>Added via SMSS</v>
      </c>
      <c r="L463" t="str">
        <f t="shared" si="15"/>
        <v>NULL</v>
      </c>
    </row>
    <row r="464" spans="1:12" x14ac:dyDescent="0.25">
      <c r="A464" t="str" cm="1">
        <f t="array" ref="A464">_xlfn.CONCAT(Instructions!C471,Instructions!A471,"_",TEXT(Instructions!B471,"YYYYMMDD"),"_1_",INDEX(Table1[], MATCH(1,(Table1[Estuary]=Instructions!C471)*(Table1[StationNumber]=Instructions!D471)*(Instructions!B471&gt;Table1[StartDate])*(Instructions!B471&lt;Table1[EndDate]),0),1),"_1_",Instructions!E471,"_",Instructions!F471)</f>
        <v>TBSRVY_20190924_1_0291_1_010_013</v>
      </c>
      <c r="B464" t="str" cm="1">
        <f t="array" ref="B464">_xlfn.CONCAT(Instructions!C471,Instructions!A471,"_",TEXT(Instructions!B471,"YYYYMMDD"),"_1_",INDEX(Table1[], MATCH(1,(Table1[Estuary]=Instructions!C471)*(Table1[StationNumber]=Instructions!D471)*(Instructions!B471&gt;Table1[StartDate])*(Instructions!B471&lt;Table1[EndDate]),0),1),"_1_",Instructions!E471)</f>
        <v>TBSRVY_20190924_1_0291_1_010</v>
      </c>
      <c r="C464">
        <f>Instructions!G471</f>
        <v>10</v>
      </c>
      <c r="D464" t="str">
        <f>IF(ISBLANK(Instructions!H471),"",Instructions!H471)</f>
        <v>Entered</v>
      </c>
      <c r="E464" s="1">
        <f>IF(ISBLANK(Instructions!I471),"",Instructions!I471)</f>
        <v>45646</v>
      </c>
      <c r="F464" t="str">
        <f>IF(ISBLANK(Instructions!J471),"",Instructions!J471)</f>
        <v>Erica Williams</v>
      </c>
      <c r="G464" s="1" t="str">
        <f>IF(ISBLANK(Instructions!K471),"",Instructions!K471)</f>
        <v/>
      </c>
      <c r="H464" t="str">
        <f>IF(ISBLANK(Instructions!L471),"",Instructions!L471)</f>
        <v/>
      </c>
      <c r="I464" t="str">
        <f t="shared" si="17"/>
        <v>NULL</v>
      </c>
      <c r="J464" t="str">
        <f t="shared" si="17"/>
        <v>NULL</v>
      </c>
      <c r="K464" t="str">
        <f>Instructions!M471</f>
        <v>Added via SMSS</v>
      </c>
      <c r="L464" t="str">
        <f t="shared" si="15"/>
        <v>NULL</v>
      </c>
    </row>
    <row r="465" spans="1:12" x14ac:dyDescent="0.25">
      <c r="A465" t="str" cm="1">
        <f t="array" ref="A465">_xlfn.CONCAT(Instructions!C472,Instructions!A472,"_",TEXT(Instructions!B472,"YYYYMMDD"),"_1_",INDEX(Table1[], MATCH(1,(Table1[Estuary]=Instructions!C472)*(Table1[StationNumber]=Instructions!D472)*(Instructions!B472&gt;Table1[StartDate])*(Instructions!B472&lt;Table1[EndDate]),0),1),"_1_",Instructions!E472,"_",Instructions!F472)</f>
        <v>TBSRVY_20190924_1_0291_1_010_014</v>
      </c>
      <c r="B465" t="str" cm="1">
        <f t="array" ref="B465">_xlfn.CONCAT(Instructions!C472,Instructions!A472,"_",TEXT(Instructions!B472,"YYYYMMDD"),"_1_",INDEX(Table1[], MATCH(1,(Table1[Estuary]=Instructions!C472)*(Table1[StationNumber]=Instructions!D472)*(Instructions!B472&gt;Table1[StartDate])*(Instructions!B472&lt;Table1[EndDate]),0),1),"_1_",Instructions!E472)</f>
        <v>TBSRVY_20190924_1_0291_1_010</v>
      </c>
      <c r="C465">
        <f>Instructions!G472</f>
        <v>40</v>
      </c>
      <c r="D465" t="str">
        <f>IF(ISBLANK(Instructions!H472),"",Instructions!H472)</f>
        <v>Entered</v>
      </c>
      <c r="E465" s="1">
        <f>IF(ISBLANK(Instructions!I472),"",Instructions!I472)</f>
        <v>45646</v>
      </c>
      <c r="F465" t="str">
        <f>IF(ISBLANK(Instructions!J472),"",Instructions!J472)</f>
        <v>Erica Williams</v>
      </c>
      <c r="G465" s="1" t="str">
        <f>IF(ISBLANK(Instructions!K472),"",Instructions!K472)</f>
        <v/>
      </c>
      <c r="H465" t="str">
        <f>IF(ISBLANK(Instructions!L472),"",Instructions!L472)</f>
        <v/>
      </c>
      <c r="I465" t="str">
        <f t="shared" si="17"/>
        <v>NULL</v>
      </c>
      <c r="J465" t="str">
        <f t="shared" si="17"/>
        <v>NULL</v>
      </c>
      <c r="K465" t="str">
        <f>Instructions!M472</f>
        <v>Added via SMSS</v>
      </c>
      <c r="L465" t="str">
        <f t="shared" si="15"/>
        <v>NULL</v>
      </c>
    </row>
    <row r="466" spans="1:12" x14ac:dyDescent="0.25">
      <c r="A466" t="str" cm="1">
        <f t="array" ref="A466">_xlfn.CONCAT(Instructions!C473,Instructions!A473,"_",TEXT(Instructions!B473,"YYYYMMDD"),"_1_",INDEX(Table1[], MATCH(1,(Table1[Estuary]=Instructions!C473)*(Table1[StationNumber]=Instructions!D473)*(Instructions!B473&gt;Table1[StartDate])*(Instructions!B473&lt;Table1[EndDate]),0),1),"_1_",Instructions!E473,"_",Instructions!F473)</f>
        <v>TBSRVY_20190924_1_0291_1_010_015</v>
      </c>
      <c r="B466" t="str" cm="1">
        <f t="array" ref="B466">_xlfn.CONCAT(Instructions!C473,Instructions!A473,"_",TEXT(Instructions!B473,"YYYYMMDD"),"_1_",INDEX(Table1[], MATCH(1,(Table1[Estuary]=Instructions!C473)*(Table1[StationNumber]=Instructions!D473)*(Instructions!B473&gt;Table1[StartDate])*(Instructions!B473&lt;Table1[EndDate]),0),1),"_1_",Instructions!E473)</f>
        <v>TBSRVY_20190924_1_0291_1_010</v>
      </c>
      <c r="C466">
        <f>Instructions!G473</f>
        <v>5</v>
      </c>
      <c r="D466" t="str">
        <f>IF(ISBLANK(Instructions!H473),"",Instructions!H473)</f>
        <v>Entered</v>
      </c>
      <c r="E466" s="1">
        <f>IF(ISBLANK(Instructions!I473),"",Instructions!I473)</f>
        <v>45646</v>
      </c>
      <c r="F466" t="str">
        <f>IF(ISBLANK(Instructions!J473),"",Instructions!J473)</f>
        <v>Erica Williams</v>
      </c>
      <c r="G466" s="1" t="str">
        <f>IF(ISBLANK(Instructions!K473),"",Instructions!K473)</f>
        <v/>
      </c>
      <c r="H466" t="str">
        <f>IF(ISBLANK(Instructions!L473),"",Instructions!L473)</f>
        <v/>
      </c>
      <c r="I466" t="str">
        <f t="shared" si="17"/>
        <v>NULL</v>
      </c>
      <c r="J466" t="str">
        <f t="shared" si="17"/>
        <v>NULL</v>
      </c>
      <c r="K466" t="str">
        <f>Instructions!M473</f>
        <v>Added via SMSS</v>
      </c>
      <c r="L466" t="str">
        <f t="shared" si="15"/>
        <v>NULL</v>
      </c>
    </row>
    <row r="467" spans="1:12" x14ac:dyDescent="0.25">
      <c r="A467" t="str" cm="1">
        <f t="array" ref="A467">_xlfn.CONCAT(Instructions!C474,Instructions!A474,"_",TEXT(Instructions!B474,"YYYYMMDD"),"_1_",INDEX(Table1[], MATCH(1,(Table1[Estuary]=Instructions!C474)*(Table1[StationNumber]=Instructions!D474)*(Instructions!B474&gt;Table1[StartDate])*(Instructions!B474&lt;Table1[EndDate]),0),1),"_1_",Instructions!E474,"_",Instructions!F474)</f>
        <v>TBSRVY_20190924_1_0291_1_010_016</v>
      </c>
      <c r="B467" t="str" cm="1">
        <f t="array" ref="B467">_xlfn.CONCAT(Instructions!C474,Instructions!A474,"_",TEXT(Instructions!B474,"YYYYMMDD"),"_1_",INDEX(Table1[], MATCH(1,(Table1[Estuary]=Instructions!C474)*(Table1[StationNumber]=Instructions!D474)*(Instructions!B474&gt;Table1[StartDate])*(Instructions!B474&lt;Table1[EndDate]),0),1),"_1_",Instructions!E474)</f>
        <v>TBSRVY_20190924_1_0291_1_010</v>
      </c>
      <c r="C467">
        <f>Instructions!G474</f>
        <v>34</v>
      </c>
      <c r="D467" t="str">
        <f>IF(ISBLANK(Instructions!H474),"",Instructions!H474)</f>
        <v>Entered</v>
      </c>
      <c r="E467" s="1">
        <f>IF(ISBLANK(Instructions!I474),"",Instructions!I474)</f>
        <v>45646</v>
      </c>
      <c r="F467" t="str">
        <f>IF(ISBLANK(Instructions!J474),"",Instructions!J474)</f>
        <v>Erica Williams</v>
      </c>
      <c r="G467" s="1" t="str">
        <f>IF(ISBLANK(Instructions!K474),"",Instructions!K474)</f>
        <v/>
      </c>
      <c r="H467" t="str">
        <f>IF(ISBLANK(Instructions!L474),"",Instructions!L474)</f>
        <v/>
      </c>
      <c r="I467" t="str">
        <f t="shared" si="17"/>
        <v>NULL</v>
      </c>
      <c r="J467" t="str">
        <f t="shared" si="17"/>
        <v>NULL</v>
      </c>
      <c r="K467" t="str">
        <f>Instructions!M474</f>
        <v>Added via SMSS</v>
      </c>
      <c r="L467" t="str">
        <f t="shared" si="15"/>
        <v>NULL</v>
      </c>
    </row>
    <row r="468" spans="1:12" x14ac:dyDescent="0.25">
      <c r="A468" t="str" cm="1">
        <f t="array" ref="A468">_xlfn.CONCAT(Instructions!C475,Instructions!A475,"_",TEXT(Instructions!B475,"YYYYMMDD"),"_1_",INDEX(Table1[], MATCH(1,(Table1[Estuary]=Instructions!C475)*(Table1[StationNumber]=Instructions!D475)*(Instructions!B475&gt;Table1[StartDate])*(Instructions!B475&lt;Table1[EndDate]),0),1),"_1_",Instructions!E475,"_",Instructions!F475)</f>
        <v>TBSRVY_20190924_1_0291_1_010_017</v>
      </c>
      <c r="B468" t="str" cm="1">
        <f t="array" ref="B468">_xlfn.CONCAT(Instructions!C475,Instructions!A475,"_",TEXT(Instructions!B475,"YYYYMMDD"),"_1_",INDEX(Table1[], MATCH(1,(Table1[Estuary]=Instructions!C475)*(Table1[StationNumber]=Instructions!D475)*(Instructions!B475&gt;Table1[StartDate])*(Instructions!B475&lt;Table1[EndDate]),0),1),"_1_",Instructions!E475)</f>
        <v>TBSRVY_20190924_1_0291_1_010</v>
      </c>
      <c r="C468">
        <f>Instructions!G475</f>
        <v>15</v>
      </c>
      <c r="D468" t="str">
        <f>IF(ISBLANK(Instructions!H475),"",Instructions!H475)</f>
        <v>Entered</v>
      </c>
      <c r="E468" s="1">
        <f>IF(ISBLANK(Instructions!I475),"",Instructions!I475)</f>
        <v>45646</v>
      </c>
      <c r="F468" t="str">
        <f>IF(ISBLANK(Instructions!J475),"",Instructions!J475)</f>
        <v>Erica Williams</v>
      </c>
      <c r="G468" s="1" t="str">
        <f>IF(ISBLANK(Instructions!K475),"",Instructions!K475)</f>
        <v/>
      </c>
      <c r="H468" t="str">
        <f>IF(ISBLANK(Instructions!L475),"",Instructions!L475)</f>
        <v/>
      </c>
      <c r="I468" t="str">
        <f t="shared" si="17"/>
        <v>NULL</v>
      </c>
      <c r="J468" t="str">
        <f t="shared" si="17"/>
        <v>NULL</v>
      </c>
      <c r="K468" t="str">
        <f>Instructions!M475</f>
        <v>Added via SMSS</v>
      </c>
      <c r="L468" t="str">
        <f t="shared" si="15"/>
        <v>NULL</v>
      </c>
    </row>
    <row r="469" spans="1:12" x14ac:dyDescent="0.25">
      <c r="A469" t="str" cm="1">
        <f t="array" ref="A469">_xlfn.CONCAT(Instructions!C476,Instructions!A476,"_",TEXT(Instructions!B476,"YYYYMMDD"),"_1_",INDEX(Table1[], MATCH(1,(Table1[Estuary]=Instructions!C476)*(Table1[StationNumber]=Instructions!D476)*(Instructions!B476&gt;Table1[StartDate])*(Instructions!B476&lt;Table1[EndDate]),0),1),"_1_",Instructions!E476,"_",Instructions!F476)</f>
        <v>TBSRVY_20190924_1_0291_1_010_018</v>
      </c>
      <c r="B469" t="str" cm="1">
        <f t="array" ref="B469">_xlfn.CONCAT(Instructions!C476,Instructions!A476,"_",TEXT(Instructions!B476,"YYYYMMDD"),"_1_",INDEX(Table1[], MATCH(1,(Table1[Estuary]=Instructions!C476)*(Table1[StationNumber]=Instructions!D476)*(Instructions!B476&gt;Table1[StartDate])*(Instructions!B476&lt;Table1[EndDate]),0),1),"_1_",Instructions!E476)</f>
        <v>TBSRVY_20190924_1_0291_1_010</v>
      </c>
      <c r="C469">
        <f>Instructions!G476</f>
        <v>21</v>
      </c>
      <c r="D469" t="str">
        <f>IF(ISBLANK(Instructions!H476),"",Instructions!H476)</f>
        <v>Entered</v>
      </c>
      <c r="E469" s="1">
        <f>IF(ISBLANK(Instructions!I476),"",Instructions!I476)</f>
        <v>45646</v>
      </c>
      <c r="F469" t="str">
        <f>IF(ISBLANK(Instructions!J476),"",Instructions!J476)</f>
        <v>Erica Williams</v>
      </c>
      <c r="G469" s="1" t="str">
        <f>IF(ISBLANK(Instructions!K476),"",Instructions!K476)</f>
        <v/>
      </c>
      <c r="H469" t="str">
        <f>IF(ISBLANK(Instructions!L476),"",Instructions!L476)</f>
        <v/>
      </c>
      <c r="I469" t="str">
        <f t="shared" si="17"/>
        <v>NULL</v>
      </c>
      <c r="J469" t="str">
        <f t="shared" si="17"/>
        <v>NULL</v>
      </c>
      <c r="K469" t="str">
        <f>Instructions!M476</f>
        <v>Added via SMSS</v>
      </c>
      <c r="L469" t="str">
        <f t="shared" si="15"/>
        <v>NULL</v>
      </c>
    </row>
    <row r="470" spans="1:12" x14ac:dyDescent="0.25">
      <c r="A470" t="str" cm="1">
        <f t="array" ref="A470">_xlfn.CONCAT(Instructions!C477,Instructions!A477,"_",TEXT(Instructions!B477,"YYYYMMDD"),"_1_",INDEX(Table1[], MATCH(1,(Table1[Estuary]=Instructions!C477)*(Table1[StationNumber]=Instructions!D477)*(Instructions!B477&gt;Table1[StartDate])*(Instructions!B477&lt;Table1[EndDate]),0),1),"_1_",Instructions!E477,"_",Instructions!F477)</f>
        <v>TBSRVY_20190924_1_0291_1_010_019</v>
      </c>
      <c r="B470" t="str" cm="1">
        <f t="array" ref="B470">_xlfn.CONCAT(Instructions!C477,Instructions!A477,"_",TEXT(Instructions!B477,"YYYYMMDD"),"_1_",INDEX(Table1[], MATCH(1,(Table1[Estuary]=Instructions!C477)*(Table1[StationNumber]=Instructions!D477)*(Instructions!B477&gt;Table1[StartDate])*(Instructions!B477&lt;Table1[EndDate]),0),1),"_1_",Instructions!E477)</f>
        <v>TBSRVY_20190924_1_0291_1_010</v>
      </c>
      <c r="C470">
        <f>Instructions!G477</f>
        <v>20</v>
      </c>
      <c r="D470" t="str">
        <f>IF(ISBLANK(Instructions!H477),"",Instructions!H477)</f>
        <v>Entered</v>
      </c>
      <c r="E470" s="1">
        <f>IF(ISBLANK(Instructions!I477),"",Instructions!I477)</f>
        <v>45646</v>
      </c>
      <c r="F470" t="str">
        <f>IF(ISBLANK(Instructions!J477),"",Instructions!J477)</f>
        <v>Erica Williams</v>
      </c>
      <c r="G470" s="1" t="str">
        <f>IF(ISBLANK(Instructions!K477),"",Instructions!K477)</f>
        <v/>
      </c>
      <c r="H470" t="str">
        <f>IF(ISBLANK(Instructions!L477),"",Instructions!L477)</f>
        <v/>
      </c>
      <c r="I470" t="str">
        <f t="shared" si="17"/>
        <v>NULL</v>
      </c>
      <c r="J470" t="str">
        <f t="shared" si="17"/>
        <v>NULL</v>
      </c>
      <c r="K470" t="str">
        <f>Instructions!M477</f>
        <v>Added via SMSS</v>
      </c>
      <c r="L470" t="str">
        <f t="shared" si="15"/>
        <v>NULL</v>
      </c>
    </row>
    <row r="471" spans="1:12" x14ac:dyDescent="0.25">
      <c r="A471" t="str" cm="1">
        <f t="array" ref="A471">_xlfn.CONCAT(Instructions!C478,Instructions!A478,"_",TEXT(Instructions!B478,"YYYYMMDD"),"_1_",INDEX(Table1[], MATCH(1,(Table1[Estuary]=Instructions!C478)*(Table1[StationNumber]=Instructions!D478)*(Instructions!B478&gt;Table1[StartDate])*(Instructions!B478&lt;Table1[EndDate]),0),1),"_1_",Instructions!E478,"_",Instructions!F478)</f>
        <v>TBSRVY_20190924_1_0291_1_010_020</v>
      </c>
      <c r="B471" t="str" cm="1">
        <f t="array" ref="B471">_xlfn.CONCAT(Instructions!C478,Instructions!A478,"_",TEXT(Instructions!B478,"YYYYMMDD"),"_1_",INDEX(Table1[], MATCH(1,(Table1[Estuary]=Instructions!C478)*(Table1[StationNumber]=Instructions!D478)*(Instructions!B478&gt;Table1[StartDate])*(Instructions!B478&lt;Table1[EndDate]),0),1),"_1_",Instructions!E478)</f>
        <v>TBSRVY_20190924_1_0291_1_010</v>
      </c>
      <c r="C471">
        <f>Instructions!G478</f>
        <v>40</v>
      </c>
      <c r="D471" t="str">
        <f>IF(ISBLANK(Instructions!H478),"",Instructions!H478)</f>
        <v>Entered</v>
      </c>
      <c r="E471" s="1">
        <f>IF(ISBLANK(Instructions!I478),"",Instructions!I478)</f>
        <v>45646</v>
      </c>
      <c r="F471" t="str">
        <f>IF(ISBLANK(Instructions!J478),"",Instructions!J478)</f>
        <v>Erica Williams</v>
      </c>
      <c r="G471" s="1" t="str">
        <f>IF(ISBLANK(Instructions!K478),"",Instructions!K478)</f>
        <v/>
      </c>
      <c r="H471" t="str">
        <f>IF(ISBLANK(Instructions!L478),"",Instructions!L478)</f>
        <v/>
      </c>
      <c r="I471" t="str">
        <f t="shared" si="17"/>
        <v>NULL</v>
      </c>
      <c r="J471" t="str">
        <f t="shared" si="17"/>
        <v>NULL</v>
      </c>
      <c r="K471" t="str">
        <f>Instructions!M478</f>
        <v>Added via SMSS</v>
      </c>
      <c r="L471" t="str">
        <f t="shared" si="15"/>
        <v>NULL</v>
      </c>
    </row>
    <row r="472" spans="1:12" x14ac:dyDescent="0.25">
      <c r="A472" t="str" cm="1">
        <f t="array" ref="A472">_xlfn.CONCAT(Instructions!C479,Instructions!A479,"_",TEXT(Instructions!B479,"YYYYMMDD"),"_1_",INDEX(Table1[], MATCH(1,(Table1[Estuary]=Instructions!C479)*(Table1[StationNumber]=Instructions!D479)*(Instructions!B479&gt;Table1[StartDate])*(Instructions!B479&lt;Table1[EndDate]),0),1),"_1_",Instructions!E479,"_",Instructions!F479)</f>
        <v>TBSRVY_20190924_1_0291_1_010_021</v>
      </c>
      <c r="B472" t="str" cm="1">
        <f t="array" ref="B472">_xlfn.CONCAT(Instructions!C479,Instructions!A479,"_",TEXT(Instructions!B479,"YYYYMMDD"),"_1_",INDEX(Table1[], MATCH(1,(Table1[Estuary]=Instructions!C479)*(Table1[StationNumber]=Instructions!D479)*(Instructions!B479&gt;Table1[StartDate])*(Instructions!B479&lt;Table1[EndDate]),0),1),"_1_",Instructions!E479)</f>
        <v>TBSRVY_20190924_1_0291_1_010</v>
      </c>
      <c r="C472">
        <f>Instructions!G479</f>
        <v>25</v>
      </c>
      <c r="D472" t="str">
        <f>IF(ISBLANK(Instructions!H479),"",Instructions!H479)</f>
        <v>Entered</v>
      </c>
      <c r="E472" s="1">
        <f>IF(ISBLANK(Instructions!I479),"",Instructions!I479)</f>
        <v>45646</v>
      </c>
      <c r="F472" t="str">
        <f>IF(ISBLANK(Instructions!J479),"",Instructions!J479)</f>
        <v>Erica Williams</v>
      </c>
      <c r="G472" s="1" t="str">
        <f>IF(ISBLANK(Instructions!K479),"",Instructions!K479)</f>
        <v/>
      </c>
      <c r="H472" t="str">
        <f>IF(ISBLANK(Instructions!L479),"",Instructions!L479)</f>
        <v/>
      </c>
      <c r="I472" t="str">
        <f t="shared" si="17"/>
        <v>NULL</v>
      </c>
      <c r="J472" t="str">
        <f t="shared" si="17"/>
        <v>NULL</v>
      </c>
      <c r="K472" t="str">
        <f>Instructions!M479</f>
        <v>Added via SMSS</v>
      </c>
      <c r="L472" t="str">
        <f t="shared" si="15"/>
        <v>NULL</v>
      </c>
    </row>
    <row r="473" spans="1:12" x14ac:dyDescent="0.25">
      <c r="A473" t="str" cm="1">
        <f t="array" ref="A473">_xlfn.CONCAT(Instructions!C480,Instructions!A480,"_",TEXT(Instructions!B480,"YYYYMMDD"),"_1_",INDEX(Table1[], MATCH(1,(Table1[Estuary]=Instructions!C480)*(Table1[StationNumber]=Instructions!D480)*(Instructions!B480&gt;Table1[StartDate])*(Instructions!B480&lt;Table1[EndDate]),0),1),"_1_",Instructions!E480,"_",Instructions!F480)</f>
        <v>TBSRVY_20190924_1_0291_1_010_022</v>
      </c>
      <c r="B473" t="str" cm="1">
        <f t="array" ref="B473">_xlfn.CONCAT(Instructions!C480,Instructions!A480,"_",TEXT(Instructions!B480,"YYYYMMDD"),"_1_",INDEX(Table1[], MATCH(1,(Table1[Estuary]=Instructions!C480)*(Table1[StationNumber]=Instructions!D480)*(Instructions!B480&gt;Table1[StartDate])*(Instructions!B480&lt;Table1[EndDate]),0),1),"_1_",Instructions!E480)</f>
        <v>TBSRVY_20190924_1_0291_1_010</v>
      </c>
      <c r="C473">
        <f>Instructions!G480</f>
        <v>30</v>
      </c>
      <c r="D473" t="str">
        <f>IF(ISBLANK(Instructions!H480),"",Instructions!H480)</f>
        <v>Entered</v>
      </c>
      <c r="E473" s="1">
        <f>IF(ISBLANK(Instructions!I480),"",Instructions!I480)</f>
        <v>45646</v>
      </c>
      <c r="F473" t="str">
        <f>IF(ISBLANK(Instructions!J480),"",Instructions!J480)</f>
        <v>Erica Williams</v>
      </c>
      <c r="G473" s="1" t="str">
        <f>IF(ISBLANK(Instructions!K480),"",Instructions!K480)</f>
        <v/>
      </c>
      <c r="H473" t="str">
        <f>IF(ISBLANK(Instructions!L480),"",Instructions!L480)</f>
        <v/>
      </c>
      <c r="I473" t="str">
        <f t="shared" si="17"/>
        <v>NULL</v>
      </c>
      <c r="J473" t="str">
        <f t="shared" si="17"/>
        <v>NULL</v>
      </c>
      <c r="K473" t="str">
        <f>Instructions!M480</f>
        <v>Added via SMSS</v>
      </c>
      <c r="L473" t="str">
        <f t="shared" si="15"/>
        <v>NULL</v>
      </c>
    </row>
    <row r="474" spans="1:12" x14ac:dyDescent="0.25">
      <c r="A474" t="str" cm="1">
        <f t="array" ref="A474">_xlfn.CONCAT(Instructions!C481,Instructions!A481,"_",TEXT(Instructions!B481,"YYYYMMDD"),"_1_",INDEX(Table1[], MATCH(1,(Table1[Estuary]=Instructions!C481)*(Table1[StationNumber]=Instructions!D481)*(Instructions!B481&gt;Table1[StartDate])*(Instructions!B481&lt;Table1[EndDate]),0),1),"_1_",Instructions!E481,"_",Instructions!F481)</f>
        <v>TBSRVY_20190924_1_0291_1_010_023</v>
      </c>
      <c r="B474" t="str" cm="1">
        <f t="array" ref="B474">_xlfn.CONCAT(Instructions!C481,Instructions!A481,"_",TEXT(Instructions!B481,"YYYYMMDD"),"_1_",INDEX(Table1[], MATCH(1,(Table1[Estuary]=Instructions!C481)*(Table1[StationNumber]=Instructions!D481)*(Instructions!B481&gt;Table1[StartDate])*(Instructions!B481&lt;Table1[EndDate]),0),1),"_1_",Instructions!E481)</f>
        <v>TBSRVY_20190924_1_0291_1_010</v>
      </c>
      <c r="C474">
        <f>Instructions!G481</f>
        <v>32</v>
      </c>
      <c r="D474" t="str">
        <f>IF(ISBLANK(Instructions!H481),"",Instructions!H481)</f>
        <v>Entered</v>
      </c>
      <c r="E474" s="1">
        <f>IF(ISBLANK(Instructions!I481),"",Instructions!I481)</f>
        <v>45646</v>
      </c>
      <c r="F474" t="str">
        <f>IF(ISBLANK(Instructions!J481),"",Instructions!J481)</f>
        <v>Erica Williams</v>
      </c>
      <c r="G474" s="1" t="str">
        <f>IF(ISBLANK(Instructions!K481),"",Instructions!K481)</f>
        <v/>
      </c>
      <c r="H474" t="str">
        <f>IF(ISBLANK(Instructions!L481),"",Instructions!L481)</f>
        <v/>
      </c>
      <c r="I474" t="str">
        <f t="shared" si="17"/>
        <v>NULL</v>
      </c>
      <c r="J474" t="str">
        <f t="shared" si="17"/>
        <v>NULL</v>
      </c>
      <c r="K474" t="str">
        <f>Instructions!M481</f>
        <v>Added via SMSS</v>
      </c>
      <c r="L474" t="str">
        <f t="shared" si="15"/>
        <v>NULL</v>
      </c>
    </row>
    <row r="475" spans="1:12" x14ac:dyDescent="0.25">
      <c r="A475" t="str" cm="1">
        <f t="array" ref="A475">_xlfn.CONCAT(Instructions!C482,Instructions!A482,"_",TEXT(Instructions!B482,"YYYYMMDD"),"_1_",INDEX(Table1[], MATCH(1,(Table1[Estuary]=Instructions!C482)*(Table1[StationNumber]=Instructions!D482)*(Instructions!B482&gt;Table1[StartDate])*(Instructions!B482&lt;Table1[EndDate]),0),1),"_1_",Instructions!E482,"_",Instructions!F482)</f>
        <v>TBSRVY_20190924_1_0291_1_010_024</v>
      </c>
      <c r="B475" t="str" cm="1">
        <f t="array" ref="B475">_xlfn.CONCAT(Instructions!C482,Instructions!A482,"_",TEXT(Instructions!B482,"YYYYMMDD"),"_1_",INDEX(Table1[], MATCH(1,(Table1[Estuary]=Instructions!C482)*(Table1[StationNumber]=Instructions!D482)*(Instructions!B482&gt;Table1[StartDate])*(Instructions!B482&lt;Table1[EndDate]),0),1),"_1_",Instructions!E482)</f>
        <v>TBSRVY_20190924_1_0291_1_010</v>
      </c>
      <c r="C475">
        <f>Instructions!G482</f>
        <v>42</v>
      </c>
      <c r="D475" t="str">
        <f>IF(ISBLANK(Instructions!H482),"",Instructions!H482)</f>
        <v>Entered</v>
      </c>
      <c r="E475" s="1">
        <f>IF(ISBLANK(Instructions!I482),"",Instructions!I482)</f>
        <v>45646</v>
      </c>
      <c r="F475" t="str">
        <f>IF(ISBLANK(Instructions!J482),"",Instructions!J482)</f>
        <v>Erica Williams</v>
      </c>
      <c r="G475" s="1" t="str">
        <f>IF(ISBLANK(Instructions!K482),"",Instructions!K482)</f>
        <v/>
      </c>
      <c r="H475" t="str">
        <f>IF(ISBLANK(Instructions!L482),"",Instructions!L482)</f>
        <v/>
      </c>
      <c r="I475" t="str">
        <f t="shared" si="17"/>
        <v>NULL</v>
      </c>
      <c r="J475" t="str">
        <f t="shared" si="17"/>
        <v>NULL</v>
      </c>
      <c r="K475" t="str">
        <f>Instructions!M482</f>
        <v>Added via SMSS</v>
      </c>
      <c r="L475" t="str">
        <f t="shared" si="15"/>
        <v>NULL</v>
      </c>
    </row>
    <row r="476" spans="1:12" x14ac:dyDescent="0.25">
      <c r="A476" t="str" cm="1">
        <f t="array" ref="A476">_xlfn.CONCAT(Instructions!C483,Instructions!A483,"_",TEXT(Instructions!B483,"YYYYMMDD"),"_1_",INDEX(Table1[], MATCH(1,(Table1[Estuary]=Instructions!C483)*(Table1[StationNumber]=Instructions!D483)*(Instructions!B483&gt;Table1[StartDate])*(Instructions!B483&lt;Table1[EndDate]),0),1),"_1_",Instructions!E483,"_",Instructions!F483)</f>
        <v>TBSRVY_20190924_1_0291_1_010_025</v>
      </c>
      <c r="B476" t="str" cm="1">
        <f t="array" ref="B476">_xlfn.CONCAT(Instructions!C483,Instructions!A483,"_",TEXT(Instructions!B483,"YYYYMMDD"),"_1_",INDEX(Table1[], MATCH(1,(Table1[Estuary]=Instructions!C483)*(Table1[StationNumber]=Instructions!D483)*(Instructions!B483&gt;Table1[StartDate])*(Instructions!B483&lt;Table1[EndDate]),0),1),"_1_",Instructions!E483)</f>
        <v>TBSRVY_20190924_1_0291_1_010</v>
      </c>
      <c r="C476">
        <f>Instructions!G483</f>
        <v>34</v>
      </c>
      <c r="D476" t="str">
        <f>IF(ISBLANK(Instructions!H483),"",Instructions!H483)</f>
        <v>Entered</v>
      </c>
      <c r="E476" s="1">
        <f>IF(ISBLANK(Instructions!I483),"",Instructions!I483)</f>
        <v>45646</v>
      </c>
      <c r="F476" t="str">
        <f>IF(ISBLANK(Instructions!J483),"",Instructions!J483)</f>
        <v>Erica Williams</v>
      </c>
      <c r="G476" s="1" t="str">
        <f>IF(ISBLANK(Instructions!K483),"",Instructions!K483)</f>
        <v/>
      </c>
      <c r="H476" t="str">
        <f>IF(ISBLANK(Instructions!L483),"",Instructions!L483)</f>
        <v/>
      </c>
      <c r="I476" t="str">
        <f t="shared" si="17"/>
        <v>NULL</v>
      </c>
      <c r="J476" t="str">
        <f t="shared" si="17"/>
        <v>NULL</v>
      </c>
      <c r="K476" t="str">
        <f>Instructions!M483</f>
        <v>Added via SMSS</v>
      </c>
      <c r="L476" t="str">
        <f t="shared" si="15"/>
        <v>NULL</v>
      </c>
    </row>
    <row r="477" spans="1:12" x14ac:dyDescent="0.25">
      <c r="A477" t="str" cm="1">
        <f t="array" ref="A477">_xlfn.CONCAT(Instructions!C484,Instructions!A484,"_",TEXT(Instructions!B484,"YYYYMMDD"),"_1_",INDEX(Table1[], MATCH(1,(Table1[Estuary]=Instructions!C484)*(Table1[StationNumber]=Instructions!D484)*(Instructions!B484&gt;Table1[StartDate])*(Instructions!B484&lt;Table1[EndDate]),0),1),"_1_",Instructions!E484,"_",Instructions!F484)</f>
        <v>TBSRVY_20190924_1_0291_1_010_026</v>
      </c>
      <c r="B477" t="str" cm="1">
        <f t="array" ref="B477">_xlfn.CONCAT(Instructions!C484,Instructions!A484,"_",TEXT(Instructions!B484,"YYYYMMDD"),"_1_",INDEX(Table1[], MATCH(1,(Table1[Estuary]=Instructions!C484)*(Table1[StationNumber]=Instructions!D484)*(Instructions!B484&gt;Table1[StartDate])*(Instructions!B484&lt;Table1[EndDate]),0),1),"_1_",Instructions!E484)</f>
        <v>TBSRVY_20190924_1_0291_1_010</v>
      </c>
      <c r="C477">
        <f>Instructions!G484</f>
        <v>47</v>
      </c>
      <c r="D477" t="str">
        <f>IF(ISBLANK(Instructions!H484),"",Instructions!H484)</f>
        <v>Entered</v>
      </c>
      <c r="E477" s="1">
        <f>IF(ISBLANK(Instructions!I484),"",Instructions!I484)</f>
        <v>45646</v>
      </c>
      <c r="F477" t="str">
        <f>IF(ISBLANK(Instructions!J484),"",Instructions!J484)</f>
        <v>Erica Williams</v>
      </c>
      <c r="G477" s="1" t="str">
        <f>IF(ISBLANK(Instructions!K484),"",Instructions!K484)</f>
        <v/>
      </c>
      <c r="H477" t="str">
        <f>IF(ISBLANK(Instructions!L484),"",Instructions!L484)</f>
        <v/>
      </c>
      <c r="I477" t="str">
        <f t="shared" si="17"/>
        <v>NULL</v>
      </c>
      <c r="J477" t="str">
        <f t="shared" si="17"/>
        <v>NULL</v>
      </c>
      <c r="K477" t="str">
        <f>Instructions!M484</f>
        <v>Added via SMSS</v>
      </c>
      <c r="L477" t="str">
        <f t="shared" si="15"/>
        <v>NULL</v>
      </c>
    </row>
    <row r="478" spans="1:12" x14ac:dyDescent="0.25">
      <c r="A478" t="str" cm="1">
        <f t="array" ref="A478">_xlfn.CONCAT(Instructions!C485,Instructions!A485,"_",TEXT(Instructions!B485,"YYYYMMDD"),"_1_",INDEX(Table1[], MATCH(1,(Table1[Estuary]=Instructions!C485)*(Table1[StationNumber]=Instructions!D485)*(Instructions!B485&gt;Table1[StartDate])*(Instructions!B485&lt;Table1[EndDate]),0),1),"_1_",Instructions!E485,"_",Instructions!F485)</f>
        <v>TBSRVY_20190924_1_0291_1_010_027</v>
      </c>
      <c r="B478" t="str" cm="1">
        <f t="array" ref="B478">_xlfn.CONCAT(Instructions!C485,Instructions!A485,"_",TEXT(Instructions!B485,"YYYYMMDD"),"_1_",INDEX(Table1[], MATCH(1,(Table1[Estuary]=Instructions!C485)*(Table1[StationNumber]=Instructions!D485)*(Instructions!B485&gt;Table1[StartDate])*(Instructions!B485&lt;Table1[EndDate]),0),1),"_1_",Instructions!E485)</f>
        <v>TBSRVY_20190924_1_0291_1_010</v>
      </c>
      <c r="C478">
        <f>Instructions!G485</f>
        <v>41</v>
      </c>
      <c r="D478" t="str">
        <f>IF(ISBLANK(Instructions!H485),"",Instructions!H485)</f>
        <v>Entered</v>
      </c>
      <c r="E478" s="1">
        <f>IF(ISBLANK(Instructions!I485),"",Instructions!I485)</f>
        <v>45646</v>
      </c>
      <c r="F478" t="str">
        <f>IF(ISBLANK(Instructions!J485),"",Instructions!J485)</f>
        <v>Erica Williams</v>
      </c>
      <c r="G478" s="1" t="str">
        <f>IF(ISBLANK(Instructions!K485),"",Instructions!K485)</f>
        <v/>
      </c>
      <c r="H478" t="str">
        <f>IF(ISBLANK(Instructions!L485),"",Instructions!L485)</f>
        <v/>
      </c>
      <c r="I478" t="str">
        <f t="shared" si="17"/>
        <v>NULL</v>
      </c>
      <c r="J478" t="str">
        <f t="shared" si="17"/>
        <v>NULL</v>
      </c>
      <c r="K478" t="str">
        <f>Instructions!M485</f>
        <v>Added via SMSS</v>
      </c>
      <c r="L478" t="str">
        <f t="shared" si="15"/>
        <v>NULL</v>
      </c>
    </row>
    <row r="479" spans="1:12" x14ac:dyDescent="0.25">
      <c r="A479" t="str" cm="1">
        <f t="array" ref="A479">_xlfn.CONCAT(Instructions!C486,Instructions!A486,"_",TEXT(Instructions!B486,"YYYYMMDD"),"_1_",INDEX(Table1[], MATCH(1,(Table1[Estuary]=Instructions!C486)*(Table1[StationNumber]=Instructions!D486)*(Instructions!B486&gt;Table1[StartDate])*(Instructions!B486&lt;Table1[EndDate]),0),1),"_1_",Instructions!E486,"_",Instructions!F486)</f>
        <v>TBSRVY_20190924_1_0291_1_010_028</v>
      </c>
      <c r="B479" t="str" cm="1">
        <f t="array" ref="B479">_xlfn.CONCAT(Instructions!C486,Instructions!A486,"_",TEXT(Instructions!B486,"YYYYMMDD"),"_1_",INDEX(Table1[], MATCH(1,(Table1[Estuary]=Instructions!C486)*(Table1[StationNumber]=Instructions!D486)*(Instructions!B486&gt;Table1[StartDate])*(Instructions!B486&lt;Table1[EndDate]),0),1),"_1_",Instructions!E486)</f>
        <v>TBSRVY_20190924_1_0291_1_010</v>
      </c>
      <c r="C479">
        <f>Instructions!G486</f>
        <v>43</v>
      </c>
      <c r="D479" t="str">
        <f>IF(ISBLANK(Instructions!H486),"",Instructions!H486)</f>
        <v>Entered</v>
      </c>
      <c r="E479" s="1">
        <f>IF(ISBLANK(Instructions!I486),"",Instructions!I486)</f>
        <v>45646</v>
      </c>
      <c r="F479" t="str">
        <f>IF(ISBLANK(Instructions!J486),"",Instructions!J486)</f>
        <v>Erica Williams</v>
      </c>
      <c r="G479" s="1" t="str">
        <f>IF(ISBLANK(Instructions!K486),"",Instructions!K486)</f>
        <v/>
      </c>
      <c r="H479" t="str">
        <f>IF(ISBLANK(Instructions!L486),"",Instructions!L486)</f>
        <v/>
      </c>
      <c r="I479" t="str">
        <f t="shared" si="17"/>
        <v>NULL</v>
      </c>
      <c r="J479" t="str">
        <f t="shared" si="17"/>
        <v>NULL</v>
      </c>
      <c r="K479" t="str">
        <f>Instructions!M486</f>
        <v>Added via SMSS</v>
      </c>
      <c r="L479" t="str">
        <f t="shared" si="15"/>
        <v>NULL</v>
      </c>
    </row>
    <row r="480" spans="1:12" x14ac:dyDescent="0.25">
      <c r="A480" t="str" cm="1">
        <f t="array" ref="A480">_xlfn.CONCAT(Instructions!C487,Instructions!A487,"_",TEXT(Instructions!B487,"YYYYMMDD"),"_1_",INDEX(Table1[], MATCH(1,(Table1[Estuary]=Instructions!C487)*(Table1[StationNumber]=Instructions!D487)*(Instructions!B487&gt;Table1[StartDate])*(Instructions!B487&lt;Table1[EndDate]),0),1),"_1_",Instructions!E487,"_",Instructions!F487)</f>
        <v>TBSRVY_20190924_1_0291_1_010_029</v>
      </c>
      <c r="B480" t="str" cm="1">
        <f t="array" ref="B480">_xlfn.CONCAT(Instructions!C487,Instructions!A487,"_",TEXT(Instructions!B487,"YYYYMMDD"),"_1_",INDEX(Table1[], MATCH(1,(Table1[Estuary]=Instructions!C487)*(Table1[StationNumber]=Instructions!D487)*(Instructions!B487&gt;Table1[StartDate])*(Instructions!B487&lt;Table1[EndDate]),0),1),"_1_",Instructions!E487)</f>
        <v>TBSRVY_20190924_1_0291_1_010</v>
      </c>
      <c r="C480">
        <f>Instructions!G487</f>
        <v>4</v>
      </c>
      <c r="D480" t="str">
        <f>IF(ISBLANK(Instructions!H487),"",Instructions!H487)</f>
        <v>Entered</v>
      </c>
      <c r="E480" s="1">
        <f>IF(ISBLANK(Instructions!I487),"",Instructions!I487)</f>
        <v>45646</v>
      </c>
      <c r="F480" t="str">
        <f>IF(ISBLANK(Instructions!J487),"",Instructions!J487)</f>
        <v>Erica Williams</v>
      </c>
      <c r="G480" s="1" t="str">
        <f>IF(ISBLANK(Instructions!K487),"",Instructions!K487)</f>
        <v/>
      </c>
      <c r="H480" t="str">
        <f>IF(ISBLANK(Instructions!L487),"",Instructions!L487)</f>
        <v/>
      </c>
      <c r="I480" t="str">
        <f t="shared" si="17"/>
        <v>NULL</v>
      </c>
      <c r="J480" t="str">
        <f t="shared" si="17"/>
        <v>NULL</v>
      </c>
      <c r="K480" t="str">
        <f>Instructions!M487</f>
        <v>Added via SMSS</v>
      </c>
      <c r="L480" t="str">
        <f t="shared" si="15"/>
        <v>NULL</v>
      </c>
    </row>
    <row r="481" spans="1:12" x14ac:dyDescent="0.25">
      <c r="A481" t="str" cm="1">
        <f t="array" ref="A481">_xlfn.CONCAT(Instructions!C488,Instructions!A488,"_",TEXT(Instructions!B488,"YYYYMMDD"),"_1_",INDEX(Table1[], MATCH(1,(Table1[Estuary]=Instructions!C488)*(Table1[StationNumber]=Instructions!D488)*(Instructions!B488&gt;Table1[StartDate])*(Instructions!B488&lt;Table1[EndDate]),0),1),"_1_",Instructions!E488,"_",Instructions!F488)</f>
        <v>TBSRVY_20190924_1_0291_1_010_030</v>
      </c>
      <c r="B481" t="str" cm="1">
        <f t="array" ref="B481">_xlfn.CONCAT(Instructions!C488,Instructions!A488,"_",TEXT(Instructions!B488,"YYYYMMDD"),"_1_",INDEX(Table1[], MATCH(1,(Table1[Estuary]=Instructions!C488)*(Table1[StationNumber]=Instructions!D488)*(Instructions!B488&gt;Table1[StartDate])*(Instructions!B488&lt;Table1[EndDate]),0),1),"_1_",Instructions!E488)</f>
        <v>TBSRVY_20190924_1_0291_1_010</v>
      </c>
      <c r="C481">
        <f>Instructions!G488</f>
        <v>24</v>
      </c>
      <c r="D481" t="str">
        <f>IF(ISBLANK(Instructions!H488),"",Instructions!H488)</f>
        <v>Entered</v>
      </c>
      <c r="E481" s="1">
        <f>IF(ISBLANK(Instructions!I488),"",Instructions!I488)</f>
        <v>45646</v>
      </c>
      <c r="F481" t="str">
        <f>IF(ISBLANK(Instructions!J488),"",Instructions!J488)</f>
        <v>Erica Williams</v>
      </c>
      <c r="G481" s="1" t="str">
        <f>IF(ISBLANK(Instructions!K488),"",Instructions!K488)</f>
        <v/>
      </c>
      <c r="H481" t="str">
        <f>IF(ISBLANK(Instructions!L488),"",Instructions!L488)</f>
        <v/>
      </c>
      <c r="I481" t="str">
        <f t="shared" si="17"/>
        <v>NULL</v>
      </c>
      <c r="J481" t="str">
        <f t="shared" si="17"/>
        <v>NULL</v>
      </c>
      <c r="K481" t="str">
        <f>Instructions!M488</f>
        <v>Added via SMSS</v>
      </c>
      <c r="L481" t="str">
        <f t="shared" si="15"/>
        <v>NULL</v>
      </c>
    </row>
    <row r="482" spans="1:12" x14ac:dyDescent="0.25">
      <c r="A482" t="str" cm="1">
        <f t="array" ref="A482">_xlfn.CONCAT(Instructions!C489,Instructions!A489,"_",TEXT(Instructions!B489,"YYYYMMDD"),"_1_",INDEX(Table1[], MATCH(1,(Table1[Estuary]=Instructions!C489)*(Table1[StationNumber]=Instructions!D489)*(Instructions!B489&gt;Table1[StartDate])*(Instructions!B489&lt;Table1[EndDate]),0),1),"_1_",Instructions!E489,"_",Instructions!F489)</f>
        <v>TBSRVY_20190924_1_0291_1_010_031</v>
      </c>
      <c r="B482" t="str" cm="1">
        <f t="array" ref="B482">_xlfn.CONCAT(Instructions!C489,Instructions!A489,"_",TEXT(Instructions!B489,"YYYYMMDD"),"_1_",INDEX(Table1[], MATCH(1,(Table1[Estuary]=Instructions!C489)*(Table1[StationNumber]=Instructions!D489)*(Instructions!B489&gt;Table1[StartDate])*(Instructions!B489&lt;Table1[EndDate]),0),1),"_1_",Instructions!E489)</f>
        <v>TBSRVY_20190924_1_0291_1_010</v>
      </c>
      <c r="C482">
        <f>Instructions!G489</f>
        <v>24</v>
      </c>
      <c r="D482" t="str">
        <f>IF(ISBLANK(Instructions!H489),"",Instructions!H489)</f>
        <v>Entered</v>
      </c>
      <c r="E482" s="1">
        <f>IF(ISBLANK(Instructions!I489),"",Instructions!I489)</f>
        <v>45646</v>
      </c>
      <c r="F482" t="str">
        <f>IF(ISBLANK(Instructions!J489),"",Instructions!J489)</f>
        <v>Erica Williams</v>
      </c>
      <c r="G482" s="1" t="str">
        <f>IF(ISBLANK(Instructions!K489),"",Instructions!K489)</f>
        <v/>
      </c>
      <c r="H482" t="str">
        <f>IF(ISBLANK(Instructions!L489),"",Instructions!L489)</f>
        <v/>
      </c>
      <c r="I482" t="str">
        <f t="shared" si="17"/>
        <v>NULL</v>
      </c>
      <c r="J482" t="str">
        <f t="shared" si="17"/>
        <v>NULL</v>
      </c>
      <c r="K482" t="str">
        <f>Instructions!M489</f>
        <v>Added via SMSS</v>
      </c>
      <c r="L482" t="str">
        <f t="shared" si="15"/>
        <v>NULL</v>
      </c>
    </row>
    <row r="483" spans="1:12" x14ac:dyDescent="0.25">
      <c r="A483" t="str" cm="1">
        <f t="array" ref="A483">_xlfn.CONCAT(Instructions!C490,Instructions!A490,"_",TEXT(Instructions!B490,"YYYYMMDD"),"_1_",INDEX(Table1[], MATCH(1,(Table1[Estuary]=Instructions!C490)*(Table1[StationNumber]=Instructions!D490)*(Instructions!B490&gt;Table1[StartDate])*(Instructions!B490&lt;Table1[EndDate]),0),1),"_1_",Instructions!E490,"_",Instructions!F490)</f>
        <v>TBSRVY_20190924_1_0291_1_010_032</v>
      </c>
      <c r="B483" t="str" cm="1">
        <f t="array" ref="B483">_xlfn.CONCAT(Instructions!C490,Instructions!A490,"_",TEXT(Instructions!B490,"YYYYMMDD"),"_1_",INDEX(Table1[], MATCH(1,(Table1[Estuary]=Instructions!C490)*(Table1[StationNumber]=Instructions!D490)*(Instructions!B490&gt;Table1[StartDate])*(Instructions!B490&lt;Table1[EndDate]),0),1),"_1_",Instructions!E490)</f>
        <v>TBSRVY_20190924_1_0291_1_010</v>
      </c>
      <c r="C483">
        <f>Instructions!G490</f>
        <v>25</v>
      </c>
      <c r="D483" t="str">
        <f>IF(ISBLANK(Instructions!H490),"",Instructions!H490)</f>
        <v>Entered</v>
      </c>
      <c r="E483" s="1">
        <f>IF(ISBLANK(Instructions!I490),"",Instructions!I490)</f>
        <v>45646</v>
      </c>
      <c r="F483" t="str">
        <f>IF(ISBLANK(Instructions!J490),"",Instructions!J490)</f>
        <v>Erica Williams</v>
      </c>
      <c r="G483" s="1" t="str">
        <f>IF(ISBLANK(Instructions!K490),"",Instructions!K490)</f>
        <v/>
      </c>
      <c r="H483" t="str">
        <f>IF(ISBLANK(Instructions!L490),"",Instructions!L490)</f>
        <v/>
      </c>
      <c r="I483" t="str">
        <f t="shared" si="17"/>
        <v>NULL</v>
      </c>
      <c r="J483" t="str">
        <f t="shared" si="17"/>
        <v>NULL</v>
      </c>
      <c r="K483" t="str">
        <f>Instructions!M490</f>
        <v>Added via SMSS</v>
      </c>
      <c r="L483" t="str">
        <f t="shared" si="15"/>
        <v>NULL</v>
      </c>
    </row>
    <row r="484" spans="1:12" x14ac:dyDescent="0.25">
      <c r="A484" t="str" cm="1">
        <f t="array" ref="A484">_xlfn.CONCAT(Instructions!C491,Instructions!A491,"_",TEXT(Instructions!B491,"YYYYMMDD"),"_1_",INDEX(Table1[], MATCH(1,(Table1[Estuary]=Instructions!C491)*(Table1[StationNumber]=Instructions!D491)*(Instructions!B491&gt;Table1[StartDate])*(Instructions!B491&lt;Table1[EndDate]),0),1),"_1_",Instructions!E491,"_",Instructions!F491)</f>
        <v>TBSRVY_20190924_1_0291_1_010_033</v>
      </c>
      <c r="B484" t="str" cm="1">
        <f t="array" ref="B484">_xlfn.CONCAT(Instructions!C491,Instructions!A491,"_",TEXT(Instructions!B491,"YYYYMMDD"),"_1_",INDEX(Table1[], MATCH(1,(Table1[Estuary]=Instructions!C491)*(Table1[StationNumber]=Instructions!D491)*(Instructions!B491&gt;Table1[StartDate])*(Instructions!B491&lt;Table1[EndDate]),0),1),"_1_",Instructions!E491)</f>
        <v>TBSRVY_20190924_1_0291_1_010</v>
      </c>
      <c r="C484">
        <f>Instructions!G491</f>
        <v>74</v>
      </c>
      <c r="D484" t="str">
        <f>IF(ISBLANK(Instructions!H491),"",Instructions!H491)</f>
        <v>Entered</v>
      </c>
      <c r="E484" s="1">
        <f>IF(ISBLANK(Instructions!I491),"",Instructions!I491)</f>
        <v>45646</v>
      </c>
      <c r="F484" t="str">
        <f>IF(ISBLANK(Instructions!J491),"",Instructions!J491)</f>
        <v>Erica Williams</v>
      </c>
      <c r="G484" s="1" t="str">
        <f>IF(ISBLANK(Instructions!K491),"",Instructions!K491)</f>
        <v/>
      </c>
      <c r="H484" t="str">
        <f>IF(ISBLANK(Instructions!L491),"",Instructions!L491)</f>
        <v/>
      </c>
      <c r="I484" t="str">
        <f t="shared" si="17"/>
        <v>NULL</v>
      </c>
      <c r="J484" t="str">
        <f t="shared" si="17"/>
        <v>NULL</v>
      </c>
      <c r="K484" t="str">
        <f>Instructions!M491</f>
        <v>Added via SMSS</v>
      </c>
      <c r="L484" t="str">
        <f t="shared" si="15"/>
        <v>NULL</v>
      </c>
    </row>
    <row r="485" spans="1:12" x14ac:dyDescent="0.25">
      <c r="A485" t="str" cm="1">
        <f t="array" ref="A485">_xlfn.CONCAT(Instructions!C492,Instructions!A492,"_",TEXT(Instructions!B492,"YYYYMMDD"),"_1_",INDEX(Table1[], MATCH(1,(Table1[Estuary]=Instructions!C492)*(Table1[StationNumber]=Instructions!D492)*(Instructions!B492&gt;Table1[StartDate])*(Instructions!B492&lt;Table1[EndDate]),0),1),"_1_",Instructions!E492,"_",Instructions!F492)</f>
        <v>TBSRVY_20190924_1_0291_1_010_034</v>
      </c>
      <c r="B485" t="str" cm="1">
        <f t="array" ref="B485">_xlfn.CONCAT(Instructions!C492,Instructions!A492,"_",TEXT(Instructions!B492,"YYYYMMDD"),"_1_",INDEX(Table1[], MATCH(1,(Table1[Estuary]=Instructions!C492)*(Table1[StationNumber]=Instructions!D492)*(Instructions!B492&gt;Table1[StartDate])*(Instructions!B492&lt;Table1[EndDate]),0),1),"_1_",Instructions!E492)</f>
        <v>TBSRVY_20190924_1_0291_1_010</v>
      </c>
      <c r="C485">
        <f>Instructions!G492</f>
        <v>54</v>
      </c>
      <c r="D485" t="str">
        <f>IF(ISBLANK(Instructions!H492),"",Instructions!H492)</f>
        <v>Entered</v>
      </c>
      <c r="E485" s="1">
        <f>IF(ISBLANK(Instructions!I492),"",Instructions!I492)</f>
        <v>45646</v>
      </c>
      <c r="F485" t="str">
        <f>IF(ISBLANK(Instructions!J492),"",Instructions!J492)</f>
        <v>Erica Williams</v>
      </c>
      <c r="G485" s="1" t="str">
        <f>IF(ISBLANK(Instructions!K492),"",Instructions!K492)</f>
        <v/>
      </c>
      <c r="H485" t="str">
        <f>IF(ISBLANK(Instructions!L492),"",Instructions!L492)</f>
        <v/>
      </c>
      <c r="I485" t="str">
        <f t="shared" si="17"/>
        <v>NULL</v>
      </c>
      <c r="J485" t="str">
        <f t="shared" ref="J485" si="18">"NULL"</f>
        <v>NULL</v>
      </c>
      <c r="K485" t="str">
        <f>Instructions!M492</f>
        <v>Added via SMSS</v>
      </c>
      <c r="L485" t="str">
        <f t="shared" si="15"/>
        <v>NULL</v>
      </c>
    </row>
    <row r="486" spans="1:12" x14ac:dyDescent="0.25">
      <c r="A486" t="str" cm="1">
        <f t="array" ref="A486">_xlfn.CONCAT(Instructions!C493,Instructions!A493,"_",TEXT(Instructions!B493,"YYYYMMDD"),"_1_",INDEX(Table1[], MATCH(1,(Table1[Estuary]=Instructions!C493)*(Table1[StationNumber]=Instructions!D493)*(Instructions!B493&gt;Table1[StartDate])*(Instructions!B493&lt;Table1[EndDate]),0),1),"_1_",Instructions!E493,"_",Instructions!F493)</f>
        <v>TBSRVY_20190924_1_0291_1_010_035</v>
      </c>
      <c r="B486" t="str" cm="1">
        <f t="array" ref="B486">_xlfn.CONCAT(Instructions!C493,Instructions!A493,"_",TEXT(Instructions!B493,"YYYYMMDD"),"_1_",INDEX(Table1[], MATCH(1,(Table1[Estuary]=Instructions!C493)*(Table1[StationNumber]=Instructions!D493)*(Instructions!B493&gt;Table1[StartDate])*(Instructions!B493&lt;Table1[EndDate]),0),1),"_1_",Instructions!E493)</f>
        <v>TBSRVY_20190924_1_0291_1_010</v>
      </c>
      <c r="C486">
        <f>Instructions!G493</f>
        <v>16</v>
      </c>
      <c r="D486" t="str">
        <f>IF(ISBLANK(Instructions!H493),"",Instructions!H493)</f>
        <v>Entered</v>
      </c>
      <c r="E486" s="1">
        <f>IF(ISBLANK(Instructions!I493),"",Instructions!I493)</f>
        <v>45646</v>
      </c>
      <c r="F486" t="str">
        <f>IF(ISBLANK(Instructions!J493),"",Instructions!J493)</f>
        <v>Erica Williams</v>
      </c>
      <c r="G486" s="1" t="str">
        <f>IF(ISBLANK(Instructions!K493),"",Instructions!K493)</f>
        <v/>
      </c>
      <c r="H486" t="str">
        <f>IF(ISBLANK(Instructions!L493),"",Instructions!L493)</f>
        <v/>
      </c>
      <c r="I486" t="str">
        <f t="shared" ref="I486:J549" si="19">"NULL"</f>
        <v>NULL</v>
      </c>
      <c r="J486" t="str">
        <f t="shared" si="19"/>
        <v>NULL</v>
      </c>
      <c r="K486" t="str">
        <f>Instructions!M493</f>
        <v>Added via SMSS</v>
      </c>
      <c r="L486" t="str">
        <f t="shared" si="15"/>
        <v>NULL</v>
      </c>
    </row>
    <row r="487" spans="1:12" x14ac:dyDescent="0.25">
      <c r="A487" t="str" cm="1">
        <f t="array" ref="A487">_xlfn.CONCAT(Instructions!C494,Instructions!A494,"_",TEXT(Instructions!B494,"YYYYMMDD"),"_1_",INDEX(Table1[], MATCH(1,(Table1[Estuary]=Instructions!C494)*(Table1[StationNumber]=Instructions!D494)*(Instructions!B494&gt;Table1[StartDate])*(Instructions!B494&lt;Table1[EndDate]),0),1),"_1_",Instructions!E494,"_",Instructions!F494)</f>
        <v>TBSRVY_20190924_1_0291_1_010_036</v>
      </c>
      <c r="B487" t="str" cm="1">
        <f t="array" ref="B487">_xlfn.CONCAT(Instructions!C494,Instructions!A494,"_",TEXT(Instructions!B494,"YYYYMMDD"),"_1_",INDEX(Table1[], MATCH(1,(Table1[Estuary]=Instructions!C494)*(Table1[StationNumber]=Instructions!D494)*(Instructions!B494&gt;Table1[StartDate])*(Instructions!B494&lt;Table1[EndDate]),0),1),"_1_",Instructions!E494)</f>
        <v>TBSRVY_20190924_1_0291_1_010</v>
      </c>
      <c r="C487">
        <f>Instructions!G494</f>
        <v>31</v>
      </c>
      <c r="D487" t="str">
        <f>IF(ISBLANK(Instructions!H494),"",Instructions!H494)</f>
        <v>Entered</v>
      </c>
      <c r="E487" s="1">
        <f>IF(ISBLANK(Instructions!I494),"",Instructions!I494)</f>
        <v>45646</v>
      </c>
      <c r="F487" t="str">
        <f>IF(ISBLANK(Instructions!J494),"",Instructions!J494)</f>
        <v>Erica Williams</v>
      </c>
      <c r="G487" s="1" t="str">
        <f>IF(ISBLANK(Instructions!K494),"",Instructions!K494)</f>
        <v/>
      </c>
      <c r="H487" t="str">
        <f>IF(ISBLANK(Instructions!L494),"",Instructions!L494)</f>
        <v/>
      </c>
      <c r="I487" t="str">
        <f t="shared" si="19"/>
        <v>NULL</v>
      </c>
      <c r="J487" t="str">
        <f t="shared" si="19"/>
        <v>NULL</v>
      </c>
      <c r="K487" t="str">
        <f>Instructions!M494</f>
        <v>Added via SMSS</v>
      </c>
      <c r="L487" t="str">
        <f t="shared" si="15"/>
        <v>NULL</v>
      </c>
    </row>
    <row r="488" spans="1:12" x14ac:dyDescent="0.25">
      <c r="A488" t="str" cm="1">
        <f t="array" ref="A488">_xlfn.CONCAT(Instructions!C495,Instructions!A495,"_",TEXT(Instructions!B495,"YYYYMMDD"),"_1_",INDEX(Table1[], MATCH(1,(Table1[Estuary]=Instructions!C495)*(Table1[StationNumber]=Instructions!D495)*(Instructions!B495&gt;Table1[StartDate])*(Instructions!B495&lt;Table1[EndDate]),0),1),"_1_",Instructions!E495,"_",Instructions!F495)</f>
        <v>TBSRVY_20190924_1_0291_1_010_037</v>
      </c>
      <c r="B488" t="str" cm="1">
        <f t="array" ref="B488">_xlfn.CONCAT(Instructions!C495,Instructions!A495,"_",TEXT(Instructions!B495,"YYYYMMDD"),"_1_",INDEX(Table1[], MATCH(1,(Table1[Estuary]=Instructions!C495)*(Table1[StationNumber]=Instructions!D495)*(Instructions!B495&gt;Table1[StartDate])*(Instructions!B495&lt;Table1[EndDate]),0),1),"_1_",Instructions!E495)</f>
        <v>TBSRVY_20190924_1_0291_1_010</v>
      </c>
      <c r="C488">
        <f>Instructions!G495</f>
        <v>30</v>
      </c>
      <c r="D488" t="str">
        <f>IF(ISBLANK(Instructions!H495),"",Instructions!H495)</f>
        <v>Entered</v>
      </c>
      <c r="E488" s="1">
        <f>IF(ISBLANK(Instructions!I495),"",Instructions!I495)</f>
        <v>45646</v>
      </c>
      <c r="F488" t="str">
        <f>IF(ISBLANK(Instructions!J495),"",Instructions!J495)</f>
        <v>Erica Williams</v>
      </c>
      <c r="G488" s="1" t="str">
        <f>IF(ISBLANK(Instructions!K495),"",Instructions!K495)</f>
        <v/>
      </c>
      <c r="H488" t="str">
        <f>IF(ISBLANK(Instructions!L495),"",Instructions!L495)</f>
        <v/>
      </c>
      <c r="I488" t="str">
        <f t="shared" si="19"/>
        <v>NULL</v>
      </c>
      <c r="J488" t="str">
        <f t="shared" si="19"/>
        <v>NULL</v>
      </c>
      <c r="K488" t="str">
        <f>Instructions!M495</f>
        <v>Added via SMSS</v>
      </c>
      <c r="L488" t="str">
        <f t="shared" si="15"/>
        <v>NULL</v>
      </c>
    </row>
    <row r="489" spans="1:12" x14ac:dyDescent="0.25">
      <c r="A489" t="str" cm="1">
        <f t="array" ref="A489">_xlfn.CONCAT(Instructions!C496,Instructions!A496,"_",TEXT(Instructions!B496,"YYYYMMDD"),"_1_",INDEX(Table1[], MATCH(1,(Table1[Estuary]=Instructions!C496)*(Table1[StationNumber]=Instructions!D496)*(Instructions!B496&gt;Table1[StartDate])*(Instructions!B496&lt;Table1[EndDate]),0),1),"_1_",Instructions!E496,"_",Instructions!F496)</f>
        <v>TBSRVY_20190924_1_0291_1_010_038</v>
      </c>
      <c r="B489" t="str" cm="1">
        <f t="array" ref="B489">_xlfn.CONCAT(Instructions!C496,Instructions!A496,"_",TEXT(Instructions!B496,"YYYYMMDD"),"_1_",INDEX(Table1[], MATCH(1,(Table1[Estuary]=Instructions!C496)*(Table1[StationNumber]=Instructions!D496)*(Instructions!B496&gt;Table1[StartDate])*(Instructions!B496&lt;Table1[EndDate]),0),1),"_1_",Instructions!E496)</f>
        <v>TBSRVY_20190924_1_0291_1_010</v>
      </c>
      <c r="C489">
        <f>Instructions!G496</f>
        <v>48</v>
      </c>
      <c r="D489" t="str">
        <f>IF(ISBLANK(Instructions!H496),"",Instructions!H496)</f>
        <v>Entered</v>
      </c>
      <c r="E489" s="1">
        <f>IF(ISBLANK(Instructions!I496),"",Instructions!I496)</f>
        <v>45646</v>
      </c>
      <c r="F489" t="str">
        <f>IF(ISBLANK(Instructions!J496),"",Instructions!J496)</f>
        <v>Erica Williams</v>
      </c>
      <c r="G489" s="1" t="str">
        <f>IF(ISBLANK(Instructions!K496),"",Instructions!K496)</f>
        <v/>
      </c>
      <c r="H489" t="str">
        <f>IF(ISBLANK(Instructions!L496),"",Instructions!L496)</f>
        <v/>
      </c>
      <c r="I489" t="str">
        <f t="shared" si="19"/>
        <v>NULL</v>
      </c>
      <c r="J489" t="str">
        <f t="shared" si="19"/>
        <v>NULL</v>
      </c>
      <c r="K489" t="str">
        <f>Instructions!M496</f>
        <v>Added via SMSS</v>
      </c>
      <c r="L489" t="str">
        <f t="shared" si="15"/>
        <v>NULL</v>
      </c>
    </row>
    <row r="490" spans="1:12" x14ac:dyDescent="0.25">
      <c r="A490" t="str" cm="1">
        <f t="array" ref="A490">_xlfn.CONCAT(Instructions!C497,Instructions!A497,"_",TEXT(Instructions!B497,"YYYYMMDD"),"_1_",INDEX(Table1[], MATCH(1,(Table1[Estuary]=Instructions!C497)*(Table1[StationNumber]=Instructions!D497)*(Instructions!B497&gt;Table1[StartDate])*(Instructions!B497&lt;Table1[EndDate]),0),1),"_1_",Instructions!E497,"_",Instructions!F497)</f>
        <v>TBSRVY_20190924_1_0291_1_010_039</v>
      </c>
      <c r="B490" t="str" cm="1">
        <f t="array" ref="B490">_xlfn.CONCAT(Instructions!C497,Instructions!A497,"_",TEXT(Instructions!B497,"YYYYMMDD"),"_1_",INDEX(Table1[], MATCH(1,(Table1[Estuary]=Instructions!C497)*(Table1[StationNumber]=Instructions!D497)*(Instructions!B497&gt;Table1[StartDate])*(Instructions!B497&lt;Table1[EndDate]),0),1),"_1_",Instructions!E497)</f>
        <v>TBSRVY_20190924_1_0291_1_010</v>
      </c>
      <c r="C490">
        <f>Instructions!G497</f>
        <v>14</v>
      </c>
      <c r="D490" t="str">
        <f>IF(ISBLANK(Instructions!H497),"",Instructions!H497)</f>
        <v>Entered</v>
      </c>
      <c r="E490" s="1">
        <f>IF(ISBLANK(Instructions!I497),"",Instructions!I497)</f>
        <v>45646</v>
      </c>
      <c r="F490" t="str">
        <f>IF(ISBLANK(Instructions!J497),"",Instructions!J497)</f>
        <v>Erica Williams</v>
      </c>
      <c r="G490" s="1" t="str">
        <f>IF(ISBLANK(Instructions!K497),"",Instructions!K497)</f>
        <v/>
      </c>
      <c r="H490" t="str">
        <f>IF(ISBLANK(Instructions!L497),"",Instructions!L497)</f>
        <v/>
      </c>
      <c r="I490" t="str">
        <f t="shared" si="19"/>
        <v>NULL</v>
      </c>
      <c r="J490" t="str">
        <f t="shared" si="19"/>
        <v>NULL</v>
      </c>
      <c r="K490" t="str">
        <f>Instructions!M497</f>
        <v>Added via SMSS</v>
      </c>
      <c r="L490" t="str">
        <f t="shared" si="15"/>
        <v>NULL</v>
      </c>
    </row>
    <row r="491" spans="1:12" x14ac:dyDescent="0.25">
      <c r="A491" t="str" cm="1">
        <f t="array" ref="A491">_xlfn.CONCAT(Instructions!C498,Instructions!A498,"_",TEXT(Instructions!B498,"YYYYMMDD"),"_1_",INDEX(Table1[], MATCH(1,(Table1[Estuary]=Instructions!C498)*(Table1[StationNumber]=Instructions!D498)*(Instructions!B498&gt;Table1[StartDate])*(Instructions!B498&lt;Table1[EndDate]),0),1),"_1_",Instructions!E498,"_",Instructions!F498)</f>
        <v>TBSRVY_20190924_1_0291_1_010_040</v>
      </c>
      <c r="B491" t="str" cm="1">
        <f t="array" ref="B491">_xlfn.CONCAT(Instructions!C498,Instructions!A498,"_",TEXT(Instructions!B498,"YYYYMMDD"),"_1_",INDEX(Table1[], MATCH(1,(Table1[Estuary]=Instructions!C498)*(Table1[StationNumber]=Instructions!D498)*(Instructions!B498&gt;Table1[StartDate])*(Instructions!B498&lt;Table1[EndDate]),0),1),"_1_",Instructions!E498)</f>
        <v>TBSRVY_20190924_1_0291_1_010</v>
      </c>
      <c r="C491">
        <f>Instructions!G498</f>
        <v>12</v>
      </c>
      <c r="D491" t="str">
        <f>IF(ISBLANK(Instructions!H498),"",Instructions!H498)</f>
        <v>Entered</v>
      </c>
      <c r="E491" s="1">
        <f>IF(ISBLANK(Instructions!I498),"",Instructions!I498)</f>
        <v>45646</v>
      </c>
      <c r="F491" t="str">
        <f>IF(ISBLANK(Instructions!J498),"",Instructions!J498)</f>
        <v>Erica Williams</v>
      </c>
      <c r="G491" s="1" t="str">
        <f>IF(ISBLANK(Instructions!K498),"",Instructions!K498)</f>
        <v/>
      </c>
      <c r="H491" t="str">
        <f>IF(ISBLANK(Instructions!L498),"",Instructions!L498)</f>
        <v/>
      </c>
      <c r="I491" t="str">
        <f t="shared" si="19"/>
        <v>NULL</v>
      </c>
      <c r="J491" t="str">
        <f t="shared" si="19"/>
        <v>NULL</v>
      </c>
      <c r="K491" t="str">
        <f>Instructions!M498</f>
        <v>Added via SMSS</v>
      </c>
      <c r="L491" t="str">
        <f t="shared" si="15"/>
        <v>NULL</v>
      </c>
    </row>
    <row r="492" spans="1:12" x14ac:dyDescent="0.25">
      <c r="A492" t="str" cm="1">
        <f t="array" ref="A492">_xlfn.CONCAT(Instructions!C499,Instructions!A499,"_",TEXT(Instructions!B499,"YYYYMMDD"),"_1_",INDEX(Table1[], MATCH(1,(Table1[Estuary]=Instructions!C499)*(Table1[StationNumber]=Instructions!D499)*(Instructions!B499&gt;Table1[StartDate])*(Instructions!B499&lt;Table1[EndDate]),0),1),"_1_",Instructions!E499,"_",Instructions!F499)</f>
        <v>TBSRVY_20190924_1_0291_1_010_041</v>
      </c>
      <c r="B492" t="str" cm="1">
        <f t="array" ref="B492">_xlfn.CONCAT(Instructions!C499,Instructions!A499,"_",TEXT(Instructions!B499,"YYYYMMDD"),"_1_",INDEX(Table1[], MATCH(1,(Table1[Estuary]=Instructions!C499)*(Table1[StationNumber]=Instructions!D499)*(Instructions!B499&gt;Table1[StartDate])*(Instructions!B499&lt;Table1[EndDate]),0),1),"_1_",Instructions!E499)</f>
        <v>TBSRVY_20190924_1_0291_1_010</v>
      </c>
      <c r="C492">
        <f>Instructions!G499</f>
        <v>30</v>
      </c>
      <c r="D492" t="str">
        <f>IF(ISBLANK(Instructions!H499),"",Instructions!H499)</f>
        <v>Entered</v>
      </c>
      <c r="E492" s="1">
        <f>IF(ISBLANK(Instructions!I499),"",Instructions!I499)</f>
        <v>45646</v>
      </c>
      <c r="F492" t="str">
        <f>IF(ISBLANK(Instructions!J499),"",Instructions!J499)</f>
        <v>Erica Williams</v>
      </c>
      <c r="G492" s="1" t="str">
        <f>IF(ISBLANK(Instructions!K499),"",Instructions!K499)</f>
        <v/>
      </c>
      <c r="H492" t="str">
        <f>IF(ISBLANK(Instructions!L499),"",Instructions!L499)</f>
        <v/>
      </c>
      <c r="I492" t="str">
        <f t="shared" si="19"/>
        <v>NULL</v>
      </c>
      <c r="J492" t="str">
        <f t="shared" si="19"/>
        <v>NULL</v>
      </c>
      <c r="K492" t="str">
        <f>Instructions!M499</f>
        <v>Added via SMSS</v>
      </c>
      <c r="L492" t="str">
        <f t="shared" si="15"/>
        <v>NULL</v>
      </c>
    </row>
    <row r="493" spans="1:12" x14ac:dyDescent="0.25">
      <c r="A493" t="str" cm="1">
        <f t="array" ref="A493">_xlfn.CONCAT(Instructions!C500,Instructions!A500,"_",TEXT(Instructions!B500,"YYYYMMDD"),"_1_",INDEX(Table1[], MATCH(1,(Table1[Estuary]=Instructions!C500)*(Table1[StationNumber]=Instructions!D500)*(Instructions!B500&gt;Table1[StartDate])*(Instructions!B500&lt;Table1[EndDate]),0),1),"_1_",Instructions!E500,"_",Instructions!F500)</f>
        <v>TBSRVY_20190924_1_0291_1_010_042</v>
      </c>
      <c r="B493" t="str" cm="1">
        <f t="array" ref="B493">_xlfn.CONCAT(Instructions!C500,Instructions!A500,"_",TEXT(Instructions!B500,"YYYYMMDD"),"_1_",INDEX(Table1[], MATCH(1,(Table1[Estuary]=Instructions!C500)*(Table1[StationNumber]=Instructions!D500)*(Instructions!B500&gt;Table1[StartDate])*(Instructions!B500&lt;Table1[EndDate]),0),1),"_1_",Instructions!E500)</f>
        <v>TBSRVY_20190924_1_0291_1_010</v>
      </c>
      <c r="C493">
        <f>Instructions!G500</f>
        <v>10</v>
      </c>
      <c r="D493" t="str">
        <f>IF(ISBLANK(Instructions!H500),"",Instructions!H500)</f>
        <v>Entered</v>
      </c>
      <c r="E493" s="1">
        <f>IF(ISBLANK(Instructions!I500),"",Instructions!I500)</f>
        <v>45646</v>
      </c>
      <c r="F493" t="str">
        <f>IF(ISBLANK(Instructions!J500),"",Instructions!J500)</f>
        <v>Erica Williams</v>
      </c>
      <c r="G493" s="1" t="str">
        <f>IF(ISBLANK(Instructions!K500),"",Instructions!K500)</f>
        <v/>
      </c>
      <c r="H493" t="str">
        <f>IF(ISBLANK(Instructions!L500),"",Instructions!L500)</f>
        <v/>
      </c>
      <c r="I493" t="str">
        <f t="shared" si="19"/>
        <v>NULL</v>
      </c>
      <c r="J493" t="str">
        <f t="shared" si="19"/>
        <v>NULL</v>
      </c>
      <c r="K493" t="str">
        <f>Instructions!M500</f>
        <v>Added via SMSS</v>
      </c>
      <c r="L493" t="str">
        <f t="shared" si="15"/>
        <v>NULL</v>
      </c>
    </row>
    <row r="494" spans="1:12" x14ac:dyDescent="0.25">
      <c r="A494" t="str" cm="1">
        <f t="array" ref="A494">_xlfn.CONCAT(Instructions!C501,Instructions!A501,"_",TEXT(Instructions!B501,"YYYYMMDD"),"_1_",INDEX(Table1[], MATCH(1,(Table1[Estuary]=Instructions!C501)*(Table1[StationNumber]=Instructions!D501)*(Instructions!B501&gt;Table1[StartDate])*(Instructions!B501&lt;Table1[EndDate]),0),1),"_1_",Instructions!E501,"_",Instructions!F501)</f>
        <v>TBSRVY_20190924_1_0291_1_010_043</v>
      </c>
      <c r="B494" t="str" cm="1">
        <f t="array" ref="B494">_xlfn.CONCAT(Instructions!C501,Instructions!A501,"_",TEXT(Instructions!B501,"YYYYMMDD"),"_1_",INDEX(Table1[], MATCH(1,(Table1[Estuary]=Instructions!C501)*(Table1[StationNumber]=Instructions!D501)*(Instructions!B501&gt;Table1[StartDate])*(Instructions!B501&lt;Table1[EndDate]),0),1),"_1_",Instructions!E501)</f>
        <v>TBSRVY_20190924_1_0291_1_010</v>
      </c>
      <c r="C494">
        <f>Instructions!G501</f>
        <v>5</v>
      </c>
      <c r="D494" t="str">
        <f>IF(ISBLANK(Instructions!H501),"",Instructions!H501)</f>
        <v>Entered</v>
      </c>
      <c r="E494" s="1">
        <f>IF(ISBLANK(Instructions!I501),"",Instructions!I501)</f>
        <v>45646</v>
      </c>
      <c r="F494" t="str">
        <f>IF(ISBLANK(Instructions!J501),"",Instructions!J501)</f>
        <v>Erica Williams</v>
      </c>
      <c r="G494" s="1" t="str">
        <f>IF(ISBLANK(Instructions!K501),"",Instructions!K501)</f>
        <v/>
      </c>
      <c r="H494" t="str">
        <f>IF(ISBLANK(Instructions!L501),"",Instructions!L501)</f>
        <v/>
      </c>
      <c r="I494" t="str">
        <f t="shared" si="19"/>
        <v>NULL</v>
      </c>
      <c r="J494" t="str">
        <f t="shared" si="19"/>
        <v>NULL</v>
      </c>
      <c r="K494" t="str">
        <f>Instructions!M501</f>
        <v>Added via SMSS</v>
      </c>
      <c r="L494" t="str">
        <f t="shared" si="15"/>
        <v>NULL</v>
      </c>
    </row>
    <row r="495" spans="1:12" x14ac:dyDescent="0.25">
      <c r="A495" t="str" cm="1">
        <f t="array" ref="A495">_xlfn.CONCAT(Instructions!C502,Instructions!A502,"_",TEXT(Instructions!B502,"YYYYMMDD"),"_1_",INDEX(Table1[], MATCH(1,(Table1[Estuary]=Instructions!C502)*(Table1[StationNumber]=Instructions!D502)*(Instructions!B502&gt;Table1[StartDate])*(Instructions!B502&lt;Table1[EndDate]),0),1),"_1_",Instructions!E502,"_",Instructions!F502)</f>
        <v>TBSRVY_20190924_1_0291_1_010_044</v>
      </c>
      <c r="B495" t="str" cm="1">
        <f t="array" ref="B495">_xlfn.CONCAT(Instructions!C502,Instructions!A502,"_",TEXT(Instructions!B502,"YYYYMMDD"),"_1_",INDEX(Table1[], MATCH(1,(Table1[Estuary]=Instructions!C502)*(Table1[StationNumber]=Instructions!D502)*(Instructions!B502&gt;Table1[StartDate])*(Instructions!B502&lt;Table1[EndDate]),0),1),"_1_",Instructions!E502)</f>
        <v>TBSRVY_20190924_1_0291_1_010</v>
      </c>
      <c r="C495">
        <f>Instructions!G502</f>
        <v>7</v>
      </c>
      <c r="D495" t="str">
        <f>IF(ISBLANK(Instructions!H502),"",Instructions!H502)</f>
        <v>Entered</v>
      </c>
      <c r="E495" s="1">
        <f>IF(ISBLANK(Instructions!I502),"",Instructions!I502)</f>
        <v>45646</v>
      </c>
      <c r="F495" t="str">
        <f>IF(ISBLANK(Instructions!J502),"",Instructions!J502)</f>
        <v>Erica Williams</v>
      </c>
      <c r="G495" s="1" t="str">
        <f>IF(ISBLANK(Instructions!K502),"",Instructions!K502)</f>
        <v/>
      </c>
      <c r="H495" t="str">
        <f>IF(ISBLANK(Instructions!L502),"",Instructions!L502)</f>
        <v/>
      </c>
      <c r="I495" t="str">
        <f t="shared" si="19"/>
        <v>NULL</v>
      </c>
      <c r="J495" t="str">
        <f t="shared" si="19"/>
        <v>NULL</v>
      </c>
      <c r="K495" t="str">
        <f>Instructions!M502</f>
        <v>Added via SMSS</v>
      </c>
      <c r="L495" t="str">
        <f t="shared" si="15"/>
        <v>NULL</v>
      </c>
    </row>
    <row r="496" spans="1:12" x14ac:dyDescent="0.25">
      <c r="A496" t="str" cm="1">
        <f t="array" ref="A496">_xlfn.CONCAT(Instructions!C503,Instructions!A503,"_",TEXT(Instructions!B503,"YYYYMMDD"),"_1_",INDEX(Table1[], MATCH(1,(Table1[Estuary]=Instructions!C503)*(Table1[StationNumber]=Instructions!D503)*(Instructions!B503&gt;Table1[StartDate])*(Instructions!B503&lt;Table1[EndDate]),0),1),"_1_",Instructions!E503,"_",Instructions!F503)</f>
        <v>TBSRVY_20190924_1_0291_1_010_045</v>
      </c>
      <c r="B496" t="str" cm="1">
        <f t="array" ref="B496">_xlfn.CONCAT(Instructions!C503,Instructions!A503,"_",TEXT(Instructions!B503,"YYYYMMDD"),"_1_",INDEX(Table1[], MATCH(1,(Table1[Estuary]=Instructions!C503)*(Table1[StationNumber]=Instructions!D503)*(Instructions!B503&gt;Table1[StartDate])*(Instructions!B503&lt;Table1[EndDate]),0),1),"_1_",Instructions!E503)</f>
        <v>TBSRVY_20190924_1_0291_1_010</v>
      </c>
      <c r="C496">
        <f>Instructions!G503</f>
        <v>5</v>
      </c>
      <c r="D496" t="str">
        <f>IF(ISBLANK(Instructions!H503),"",Instructions!H503)</f>
        <v>Entered</v>
      </c>
      <c r="E496" s="1">
        <f>IF(ISBLANK(Instructions!I503),"",Instructions!I503)</f>
        <v>45646</v>
      </c>
      <c r="F496" t="str">
        <f>IF(ISBLANK(Instructions!J503),"",Instructions!J503)</f>
        <v>Erica Williams</v>
      </c>
      <c r="G496" s="1" t="str">
        <f>IF(ISBLANK(Instructions!K503),"",Instructions!K503)</f>
        <v/>
      </c>
      <c r="H496" t="str">
        <f>IF(ISBLANK(Instructions!L503),"",Instructions!L503)</f>
        <v/>
      </c>
      <c r="I496" t="str">
        <f t="shared" si="19"/>
        <v>NULL</v>
      </c>
      <c r="J496" t="str">
        <f t="shared" si="19"/>
        <v>NULL</v>
      </c>
      <c r="K496" t="str">
        <f>Instructions!M503</f>
        <v>Added via SMSS</v>
      </c>
      <c r="L496" t="str">
        <f t="shared" si="15"/>
        <v>NULL</v>
      </c>
    </row>
    <row r="497" spans="1:12" x14ac:dyDescent="0.25">
      <c r="A497" t="str" cm="1">
        <f t="array" ref="A497">_xlfn.CONCAT(Instructions!C504,Instructions!A504,"_",TEXT(Instructions!B504,"YYYYMMDD"),"_1_",INDEX(Table1[], MATCH(1,(Table1[Estuary]=Instructions!C504)*(Table1[StationNumber]=Instructions!D504)*(Instructions!B504&gt;Table1[StartDate])*(Instructions!B504&lt;Table1[EndDate]),0),1),"_1_",Instructions!E504,"_",Instructions!F504)</f>
        <v>TBSRVY_20190924_1_0291_1_010_046</v>
      </c>
      <c r="B497" t="str" cm="1">
        <f t="array" ref="B497">_xlfn.CONCAT(Instructions!C504,Instructions!A504,"_",TEXT(Instructions!B504,"YYYYMMDD"),"_1_",INDEX(Table1[], MATCH(1,(Table1[Estuary]=Instructions!C504)*(Table1[StationNumber]=Instructions!D504)*(Instructions!B504&gt;Table1[StartDate])*(Instructions!B504&lt;Table1[EndDate]),0),1),"_1_",Instructions!E504)</f>
        <v>TBSRVY_20190924_1_0291_1_010</v>
      </c>
      <c r="C497">
        <f>Instructions!G504</f>
        <v>35</v>
      </c>
      <c r="D497" t="str">
        <f>IF(ISBLANK(Instructions!H504),"",Instructions!H504)</f>
        <v>Entered</v>
      </c>
      <c r="E497" s="1">
        <f>IF(ISBLANK(Instructions!I504),"",Instructions!I504)</f>
        <v>45646</v>
      </c>
      <c r="F497" t="str">
        <f>IF(ISBLANK(Instructions!J504),"",Instructions!J504)</f>
        <v>Erica Williams</v>
      </c>
      <c r="G497" s="1" t="str">
        <f>IF(ISBLANK(Instructions!K504),"",Instructions!K504)</f>
        <v/>
      </c>
      <c r="H497" t="str">
        <f>IF(ISBLANK(Instructions!L504),"",Instructions!L504)</f>
        <v/>
      </c>
      <c r="I497" t="str">
        <f t="shared" si="19"/>
        <v>NULL</v>
      </c>
      <c r="J497" t="str">
        <f t="shared" si="19"/>
        <v>NULL</v>
      </c>
      <c r="K497" t="str">
        <f>Instructions!M504</f>
        <v>Added via SMSS</v>
      </c>
      <c r="L497" t="str">
        <f t="shared" si="15"/>
        <v>NULL</v>
      </c>
    </row>
    <row r="498" spans="1:12" x14ac:dyDescent="0.25">
      <c r="A498" t="str" cm="1">
        <f t="array" ref="A498">_xlfn.CONCAT(Instructions!C505,Instructions!A505,"_",TEXT(Instructions!B505,"YYYYMMDD"),"_1_",INDEX(Table1[], MATCH(1,(Table1[Estuary]=Instructions!C505)*(Table1[StationNumber]=Instructions!D505)*(Instructions!B505&gt;Table1[StartDate])*(Instructions!B505&lt;Table1[EndDate]),0),1),"_1_",Instructions!E505,"_",Instructions!F505)</f>
        <v>TBSRVY_20190924_1_0291_1_010_047</v>
      </c>
      <c r="B498" t="str" cm="1">
        <f t="array" ref="B498">_xlfn.CONCAT(Instructions!C505,Instructions!A505,"_",TEXT(Instructions!B505,"YYYYMMDD"),"_1_",INDEX(Table1[], MATCH(1,(Table1[Estuary]=Instructions!C505)*(Table1[StationNumber]=Instructions!D505)*(Instructions!B505&gt;Table1[StartDate])*(Instructions!B505&lt;Table1[EndDate]),0),1),"_1_",Instructions!E505)</f>
        <v>TBSRVY_20190924_1_0291_1_010</v>
      </c>
      <c r="C498">
        <f>Instructions!G505</f>
        <v>17</v>
      </c>
      <c r="D498" t="str">
        <f>IF(ISBLANK(Instructions!H505),"",Instructions!H505)</f>
        <v>Entered</v>
      </c>
      <c r="E498" s="1">
        <f>IF(ISBLANK(Instructions!I505),"",Instructions!I505)</f>
        <v>45646</v>
      </c>
      <c r="F498" t="str">
        <f>IF(ISBLANK(Instructions!J505),"",Instructions!J505)</f>
        <v>Erica Williams</v>
      </c>
      <c r="G498" s="1" t="str">
        <f>IF(ISBLANK(Instructions!K505),"",Instructions!K505)</f>
        <v/>
      </c>
      <c r="H498" t="str">
        <f>IF(ISBLANK(Instructions!L505),"",Instructions!L505)</f>
        <v/>
      </c>
      <c r="I498" t="str">
        <f t="shared" si="19"/>
        <v>NULL</v>
      </c>
      <c r="J498" t="str">
        <f t="shared" si="19"/>
        <v>NULL</v>
      </c>
      <c r="K498" t="str">
        <f>Instructions!M505</f>
        <v>Added via SMSS</v>
      </c>
      <c r="L498" t="str">
        <f t="shared" si="15"/>
        <v>NULL</v>
      </c>
    </row>
    <row r="499" spans="1:12" x14ac:dyDescent="0.25">
      <c r="A499" t="str" cm="1">
        <f t="array" ref="A499">_xlfn.CONCAT(Instructions!C506,Instructions!A506,"_",TEXT(Instructions!B506,"YYYYMMDD"),"_1_",INDEX(Table1[], MATCH(1,(Table1[Estuary]=Instructions!C506)*(Table1[StationNumber]=Instructions!D506)*(Instructions!B506&gt;Table1[StartDate])*(Instructions!B506&lt;Table1[EndDate]),0),1),"_1_",Instructions!E506,"_",Instructions!F506)</f>
        <v>TBSRVY_20190924_1_0291_1_010_048</v>
      </c>
      <c r="B499" t="str" cm="1">
        <f t="array" ref="B499">_xlfn.CONCAT(Instructions!C506,Instructions!A506,"_",TEXT(Instructions!B506,"YYYYMMDD"),"_1_",INDEX(Table1[], MATCH(1,(Table1[Estuary]=Instructions!C506)*(Table1[StationNumber]=Instructions!D506)*(Instructions!B506&gt;Table1[StartDate])*(Instructions!B506&lt;Table1[EndDate]),0),1),"_1_",Instructions!E506)</f>
        <v>TBSRVY_20190924_1_0291_1_010</v>
      </c>
      <c r="C499">
        <f>Instructions!G506</f>
        <v>22</v>
      </c>
      <c r="D499" t="str">
        <f>IF(ISBLANK(Instructions!H506),"",Instructions!H506)</f>
        <v>Entered</v>
      </c>
      <c r="E499" s="1">
        <f>IF(ISBLANK(Instructions!I506),"",Instructions!I506)</f>
        <v>45646</v>
      </c>
      <c r="F499" t="str">
        <f>IF(ISBLANK(Instructions!J506),"",Instructions!J506)</f>
        <v>Erica Williams</v>
      </c>
      <c r="G499" s="1" t="str">
        <f>IF(ISBLANK(Instructions!K506),"",Instructions!K506)</f>
        <v/>
      </c>
      <c r="H499" t="str">
        <f>IF(ISBLANK(Instructions!L506),"",Instructions!L506)</f>
        <v/>
      </c>
      <c r="I499" t="str">
        <f t="shared" si="19"/>
        <v>NULL</v>
      </c>
      <c r="J499" t="str">
        <f t="shared" si="19"/>
        <v>NULL</v>
      </c>
      <c r="K499" t="str">
        <f>Instructions!M506</f>
        <v>Added via SMSS</v>
      </c>
      <c r="L499" t="str">
        <f t="shared" si="15"/>
        <v>NULL</v>
      </c>
    </row>
    <row r="500" spans="1:12" x14ac:dyDescent="0.25">
      <c r="A500" t="str" cm="1">
        <f t="array" ref="A500">_xlfn.CONCAT(Instructions!C507,Instructions!A507,"_",TEXT(Instructions!B507,"YYYYMMDD"),"_1_",INDEX(Table1[], MATCH(1,(Table1[Estuary]=Instructions!C507)*(Table1[StationNumber]=Instructions!D507)*(Instructions!B507&gt;Table1[StartDate])*(Instructions!B507&lt;Table1[EndDate]),0),1),"_1_",Instructions!E507,"_",Instructions!F507)</f>
        <v>TBSRVY_20190924_1_0291_1_010_049</v>
      </c>
      <c r="B500" t="str" cm="1">
        <f t="array" ref="B500">_xlfn.CONCAT(Instructions!C507,Instructions!A507,"_",TEXT(Instructions!B507,"YYYYMMDD"),"_1_",INDEX(Table1[], MATCH(1,(Table1[Estuary]=Instructions!C507)*(Table1[StationNumber]=Instructions!D507)*(Instructions!B507&gt;Table1[StartDate])*(Instructions!B507&lt;Table1[EndDate]),0),1),"_1_",Instructions!E507)</f>
        <v>TBSRVY_20190924_1_0291_1_010</v>
      </c>
      <c r="C500">
        <f>Instructions!G507</f>
        <v>32</v>
      </c>
      <c r="D500" t="str">
        <f>IF(ISBLANK(Instructions!H507),"",Instructions!H507)</f>
        <v>Entered</v>
      </c>
      <c r="E500" s="1">
        <f>IF(ISBLANK(Instructions!I507),"",Instructions!I507)</f>
        <v>45646</v>
      </c>
      <c r="F500" t="str">
        <f>IF(ISBLANK(Instructions!J507),"",Instructions!J507)</f>
        <v>Erica Williams</v>
      </c>
      <c r="G500" s="1" t="str">
        <f>IF(ISBLANK(Instructions!K507),"",Instructions!K507)</f>
        <v/>
      </c>
      <c r="H500" t="str">
        <f>IF(ISBLANK(Instructions!L507),"",Instructions!L507)</f>
        <v/>
      </c>
      <c r="I500" t="str">
        <f t="shared" si="19"/>
        <v>NULL</v>
      </c>
      <c r="J500" t="str">
        <f t="shared" si="19"/>
        <v>NULL</v>
      </c>
      <c r="K500" t="str">
        <f>Instructions!M507</f>
        <v>Added via SMSS</v>
      </c>
      <c r="L500" t="str">
        <f t="shared" si="15"/>
        <v>NULL</v>
      </c>
    </row>
    <row r="501" spans="1:12" x14ac:dyDescent="0.25">
      <c r="A501" t="str" cm="1">
        <f t="array" ref="A501">_xlfn.CONCAT(Instructions!C508,Instructions!A508,"_",TEXT(Instructions!B508,"YYYYMMDD"),"_1_",INDEX(Table1[], MATCH(1,(Table1[Estuary]=Instructions!C508)*(Table1[StationNumber]=Instructions!D508)*(Instructions!B508&gt;Table1[StartDate])*(Instructions!B508&lt;Table1[EndDate]),0),1),"_1_",Instructions!E508,"_",Instructions!F508)</f>
        <v>TBSRVY_20190924_1_0291_1_010_050</v>
      </c>
      <c r="B501" t="str" cm="1">
        <f t="array" ref="B501">_xlfn.CONCAT(Instructions!C508,Instructions!A508,"_",TEXT(Instructions!B508,"YYYYMMDD"),"_1_",INDEX(Table1[], MATCH(1,(Table1[Estuary]=Instructions!C508)*(Table1[StationNumber]=Instructions!D508)*(Instructions!B508&gt;Table1[StartDate])*(Instructions!B508&lt;Table1[EndDate]),0),1),"_1_",Instructions!E508)</f>
        <v>TBSRVY_20190924_1_0291_1_010</v>
      </c>
      <c r="C501">
        <f>Instructions!G508</f>
        <v>27</v>
      </c>
      <c r="D501" t="str">
        <f>IF(ISBLANK(Instructions!H508),"",Instructions!H508)</f>
        <v>Entered</v>
      </c>
      <c r="E501" s="1">
        <f>IF(ISBLANK(Instructions!I508),"",Instructions!I508)</f>
        <v>45646</v>
      </c>
      <c r="F501" t="str">
        <f>IF(ISBLANK(Instructions!J508),"",Instructions!J508)</f>
        <v>Erica Williams</v>
      </c>
      <c r="G501" s="1" t="str">
        <f>IF(ISBLANK(Instructions!K508),"",Instructions!K508)</f>
        <v/>
      </c>
      <c r="H501" t="str">
        <f>IF(ISBLANK(Instructions!L508),"",Instructions!L508)</f>
        <v/>
      </c>
      <c r="I501" t="str">
        <f t="shared" si="19"/>
        <v>NULL</v>
      </c>
      <c r="J501" t="str">
        <f t="shared" si="19"/>
        <v>NULL</v>
      </c>
      <c r="K501" t="str">
        <f>Instructions!M508</f>
        <v>Added via SMSS</v>
      </c>
      <c r="L501" t="str">
        <f t="shared" si="15"/>
        <v>NULL</v>
      </c>
    </row>
    <row r="502" spans="1:12" x14ac:dyDescent="0.25">
      <c r="A502" t="str" cm="1">
        <f t="array" ref="A502">_xlfn.CONCAT(Instructions!C509,Instructions!A509,"_",TEXT(Instructions!B509,"YYYYMMDD"),"_1_",INDEX(Table1[], MATCH(1,(Table1[Estuary]=Instructions!C509)*(Table1[StationNumber]=Instructions!D509)*(Instructions!B509&gt;Table1[StartDate])*(Instructions!B509&lt;Table1[EndDate]),0),1),"_1_",Instructions!E509,"_",Instructions!F509)</f>
        <v>TBSRVY_20190924_1_0291_1_011_001</v>
      </c>
      <c r="B502" t="str" cm="1">
        <f t="array" ref="B502">_xlfn.CONCAT(Instructions!C509,Instructions!A509,"_",TEXT(Instructions!B509,"YYYYMMDD"),"_1_",INDEX(Table1[], MATCH(1,(Table1[Estuary]=Instructions!C509)*(Table1[StationNumber]=Instructions!D509)*(Instructions!B509&gt;Table1[StartDate])*(Instructions!B509&lt;Table1[EndDate]),0),1),"_1_",Instructions!E509)</f>
        <v>TBSRVY_20190924_1_0291_1_011</v>
      </c>
      <c r="C502">
        <f>Instructions!G509</f>
        <v>54</v>
      </c>
      <c r="D502" t="str">
        <f>IF(ISBLANK(Instructions!H509),"",Instructions!H509)</f>
        <v>Entered</v>
      </c>
      <c r="E502" s="1">
        <f>IF(ISBLANK(Instructions!I509),"",Instructions!I509)</f>
        <v>45646</v>
      </c>
      <c r="F502" t="str">
        <f>IF(ISBLANK(Instructions!J509),"",Instructions!J509)</f>
        <v>Erica Williams</v>
      </c>
      <c r="G502" s="1" t="str">
        <f>IF(ISBLANK(Instructions!K509),"",Instructions!K509)</f>
        <v/>
      </c>
      <c r="H502" t="str">
        <f>IF(ISBLANK(Instructions!L509),"",Instructions!L509)</f>
        <v/>
      </c>
      <c r="I502" t="str">
        <f t="shared" si="19"/>
        <v>NULL</v>
      </c>
      <c r="J502" t="str">
        <f t="shared" si="19"/>
        <v>NULL</v>
      </c>
      <c r="K502" t="str">
        <f>Instructions!M509</f>
        <v>Added via SMSS</v>
      </c>
      <c r="L502" t="str">
        <f t="shared" si="15"/>
        <v>NULL</v>
      </c>
    </row>
    <row r="503" spans="1:12" x14ac:dyDescent="0.25">
      <c r="A503" t="str" cm="1">
        <f t="array" ref="A503">_xlfn.CONCAT(Instructions!C510,Instructions!A510,"_",TEXT(Instructions!B510,"YYYYMMDD"),"_1_",INDEX(Table1[], MATCH(1,(Table1[Estuary]=Instructions!C510)*(Table1[StationNumber]=Instructions!D510)*(Instructions!B510&gt;Table1[StartDate])*(Instructions!B510&lt;Table1[EndDate]),0),1),"_1_",Instructions!E510,"_",Instructions!F510)</f>
        <v>TBSRVY_20190924_1_0291_1_011_002</v>
      </c>
      <c r="B503" t="str" cm="1">
        <f t="array" ref="B503">_xlfn.CONCAT(Instructions!C510,Instructions!A510,"_",TEXT(Instructions!B510,"YYYYMMDD"),"_1_",INDEX(Table1[], MATCH(1,(Table1[Estuary]=Instructions!C510)*(Table1[StationNumber]=Instructions!D510)*(Instructions!B510&gt;Table1[StartDate])*(Instructions!B510&lt;Table1[EndDate]),0),1),"_1_",Instructions!E510)</f>
        <v>TBSRVY_20190924_1_0291_1_011</v>
      </c>
      <c r="C503">
        <f>Instructions!G510</f>
        <v>21</v>
      </c>
      <c r="D503" t="str">
        <f>IF(ISBLANK(Instructions!H510),"",Instructions!H510)</f>
        <v>Entered</v>
      </c>
      <c r="E503" s="1">
        <f>IF(ISBLANK(Instructions!I510),"",Instructions!I510)</f>
        <v>45646</v>
      </c>
      <c r="F503" t="str">
        <f>IF(ISBLANK(Instructions!J510),"",Instructions!J510)</f>
        <v>Erica Williams</v>
      </c>
      <c r="G503" s="1" t="str">
        <f>IF(ISBLANK(Instructions!K510),"",Instructions!K510)</f>
        <v/>
      </c>
      <c r="H503" t="str">
        <f>IF(ISBLANK(Instructions!L510),"",Instructions!L510)</f>
        <v/>
      </c>
      <c r="I503" t="str">
        <f t="shared" si="19"/>
        <v>NULL</v>
      </c>
      <c r="J503" t="str">
        <f t="shared" si="19"/>
        <v>NULL</v>
      </c>
      <c r="K503" t="str">
        <f>Instructions!M510</f>
        <v>Added via SMSS</v>
      </c>
      <c r="L503" t="str">
        <f t="shared" si="15"/>
        <v>NULL</v>
      </c>
    </row>
    <row r="504" spans="1:12" x14ac:dyDescent="0.25">
      <c r="A504" t="str" cm="1">
        <f t="array" ref="A504">_xlfn.CONCAT(Instructions!C511,Instructions!A511,"_",TEXT(Instructions!B511,"YYYYMMDD"),"_1_",INDEX(Table1[], MATCH(1,(Table1[Estuary]=Instructions!C511)*(Table1[StationNumber]=Instructions!D511)*(Instructions!B511&gt;Table1[StartDate])*(Instructions!B511&lt;Table1[EndDate]),0),1),"_1_",Instructions!E511,"_",Instructions!F511)</f>
        <v>TBSRVY_20190924_1_0291_1_011_003</v>
      </c>
      <c r="B504" t="str" cm="1">
        <f t="array" ref="B504">_xlfn.CONCAT(Instructions!C511,Instructions!A511,"_",TEXT(Instructions!B511,"YYYYMMDD"),"_1_",INDEX(Table1[], MATCH(1,(Table1[Estuary]=Instructions!C511)*(Table1[StationNumber]=Instructions!D511)*(Instructions!B511&gt;Table1[StartDate])*(Instructions!B511&lt;Table1[EndDate]),0),1),"_1_",Instructions!E511)</f>
        <v>TBSRVY_20190924_1_0291_1_011</v>
      </c>
      <c r="C504">
        <f>Instructions!G511</f>
        <v>12</v>
      </c>
      <c r="D504" t="str">
        <f>IF(ISBLANK(Instructions!H511),"",Instructions!H511)</f>
        <v>Entered</v>
      </c>
      <c r="E504" s="1">
        <f>IF(ISBLANK(Instructions!I511),"",Instructions!I511)</f>
        <v>45646</v>
      </c>
      <c r="F504" t="str">
        <f>IF(ISBLANK(Instructions!J511),"",Instructions!J511)</f>
        <v>Erica Williams</v>
      </c>
      <c r="G504" s="1" t="str">
        <f>IF(ISBLANK(Instructions!K511),"",Instructions!K511)</f>
        <v/>
      </c>
      <c r="H504" t="str">
        <f>IF(ISBLANK(Instructions!L511),"",Instructions!L511)</f>
        <v/>
      </c>
      <c r="I504" t="str">
        <f t="shared" si="19"/>
        <v>NULL</v>
      </c>
      <c r="J504" t="str">
        <f t="shared" si="19"/>
        <v>NULL</v>
      </c>
      <c r="K504" t="str">
        <f>Instructions!M511</f>
        <v>Added via SMSS</v>
      </c>
      <c r="L504" t="str">
        <f t="shared" si="15"/>
        <v>NULL</v>
      </c>
    </row>
    <row r="505" spans="1:12" x14ac:dyDescent="0.25">
      <c r="A505" t="str" cm="1">
        <f t="array" ref="A505">_xlfn.CONCAT(Instructions!C512,Instructions!A512,"_",TEXT(Instructions!B512,"YYYYMMDD"),"_1_",INDEX(Table1[], MATCH(1,(Table1[Estuary]=Instructions!C512)*(Table1[StationNumber]=Instructions!D512)*(Instructions!B512&gt;Table1[StartDate])*(Instructions!B512&lt;Table1[EndDate]),0),1),"_1_",Instructions!E512,"_",Instructions!F512)</f>
        <v>TBSRVY_20190924_1_0291_1_011_004</v>
      </c>
      <c r="B505" t="str" cm="1">
        <f t="array" ref="B505">_xlfn.CONCAT(Instructions!C512,Instructions!A512,"_",TEXT(Instructions!B512,"YYYYMMDD"),"_1_",INDEX(Table1[], MATCH(1,(Table1[Estuary]=Instructions!C512)*(Table1[StationNumber]=Instructions!D512)*(Instructions!B512&gt;Table1[StartDate])*(Instructions!B512&lt;Table1[EndDate]),0),1),"_1_",Instructions!E512)</f>
        <v>TBSRVY_20190924_1_0291_1_011</v>
      </c>
      <c r="C505">
        <f>Instructions!G512</f>
        <v>25</v>
      </c>
      <c r="D505" t="str">
        <f>IF(ISBLANK(Instructions!H512),"",Instructions!H512)</f>
        <v>Entered</v>
      </c>
      <c r="E505" s="1">
        <f>IF(ISBLANK(Instructions!I512),"",Instructions!I512)</f>
        <v>45646</v>
      </c>
      <c r="F505" t="str">
        <f>IF(ISBLANK(Instructions!J512),"",Instructions!J512)</f>
        <v>Erica Williams</v>
      </c>
      <c r="G505" s="1" t="str">
        <f>IF(ISBLANK(Instructions!K512),"",Instructions!K512)</f>
        <v/>
      </c>
      <c r="H505" t="str">
        <f>IF(ISBLANK(Instructions!L512),"",Instructions!L512)</f>
        <v/>
      </c>
      <c r="I505" t="str">
        <f t="shared" si="19"/>
        <v>NULL</v>
      </c>
      <c r="J505" t="str">
        <f t="shared" si="19"/>
        <v>NULL</v>
      </c>
      <c r="K505" t="str">
        <f>Instructions!M512</f>
        <v>Added via SMSS</v>
      </c>
      <c r="L505" t="str">
        <f t="shared" si="15"/>
        <v>NULL</v>
      </c>
    </row>
    <row r="506" spans="1:12" x14ac:dyDescent="0.25">
      <c r="A506" t="str" cm="1">
        <f t="array" ref="A506">_xlfn.CONCAT(Instructions!C513,Instructions!A513,"_",TEXT(Instructions!B513,"YYYYMMDD"),"_1_",INDEX(Table1[], MATCH(1,(Table1[Estuary]=Instructions!C513)*(Table1[StationNumber]=Instructions!D513)*(Instructions!B513&gt;Table1[StartDate])*(Instructions!B513&lt;Table1[EndDate]),0),1),"_1_",Instructions!E513,"_",Instructions!F513)</f>
        <v>TBSRVY_20190924_1_0291_1_011_005</v>
      </c>
      <c r="B506" t="str" cm="1">
        <f t="array" ref="B506">_xlfn.CONCAT(Instructions!C513,Instructions!A513,"_",TEXT(Instructions!B513,"YYYYMMDD"),"_1_",INDEX(Table1[], MATCH(1,(Table1[Estuary]=Instructions!C513)*(Table1[StationNumber]=Instructions!D513)*(Instructions!B513&gt;Table1[StartDate])*(Instructions!B513&lt;Table1[EndDate]),0),1),"_1_",Instructions!E513)</f>
        <v>TBSRVY_20190924_1_0291_1_011</v>
      </c>
      <c r="C506">
        <f>Instructions!G513</f>
        <v>13</v>
      </c>
      <c r="D506" t="str">
        <f>IF(ISBLANK(Instructions!H513),"",Instructions!H513)</f>
        <v>Entered</v>
      </c>
      <c r="E506" s="1">
        <f>IF(ISBLANK(Instructions!I513),"",Instructions!I513)</f>
        <v>45646</v>
      </c>
      <c r="F506" t="str">
        <f>IF(ISBLANK(Instructions!J513),"",Instructions!J513)</f>
        <v>Erica Williams</v>
      </c>
      <c r="G506" s="1" t="str">
        <f>IF(ISBLANK(Instructions!K513),"",Instructions!K513)</f>
        <v/>
      </c>
      <c r="H506" t="str">
        <f>IF(ISBLANK(Instructions!L513),"",Instructions!L513)</f>
        <v/>
      </c>
      <c r="I506" t="str">
        <f t="shared" si="19"/>
        <v>NULL</v>
      </c>
      <c r="J506" t="str">
        <f t="shared" si="19"/>
        <v>NULL</v>
      </c>
      <c r="K506" t="str">
        <f>Instructions!M513</f>
        <v>Added via SMSS</v>
      </c>
      <c r="L506" t="str">
        <f t="shared" si="15"/>
        <v>NULL</v>
      </c>
    </row>
    <row r="507" spans="1:12" x14ac:dyDescent="0.25">
      <c r="A507" t="str" cm="1">
        <f t="array" ref="A507">_xlfn.CONCAT(Instructions!C514,Instructions!A514,"_",TEXT(Instructions!B514,"YYYYMMDD"),"_1_",INDEX(Table1[], MATCH(1,(Table1[Estuary]=Instructions!C514)*(Table1[StationNumber]=Instructions!D514)*(Instructions!B514&gt;Table1[StartDate])*(Instructions!B514&lt;Table1[EndDate]),0),1),"_1_",Instructions!E514,"_",Instructions!F514)</f>
        <v>TBSRVY_20190924_1_0291_1_011_006</v>
      </c>
      <c r="B507" t="str" cm="1">
        <f t="array" ref="B507">_xlfn.CONCAT(Instructions!C514,Instructions!A514,"_",TEXT(Instructions!B514,"YYYYMMDD"),"_1_",INDEX(Table1[], MATCH(1,(Table1[Estuary]=Instructions!C514)*(Table1[StationNumber]=Instructions!D514)*(Instructions!B514&gt;Table1[StartDate])*(Instructions!B514&lt;Table1[EndDate]),0),1),"_1_",Instructions!E514)</f>
        <v>TBSRVY_20190924_1_0291_1_011</v>
      </c>
      <c r="C507">
        <f>Instructions!G514</f>
        <v>75</v>
      </c>
      <c r="D507" t="str">
        <f>IF(ISBLANK(Instructions!H514),"",Instructions!H514)</f>
        <v>Entered</v>
      </c>
      <c r="E507" s="1">
        <f>IF(ISBLANK(Instructions!I514),"",Instructions!I514)</f>
        <v>45646</v>
      </c>
      <c r="F507" t="str">
        <f>IF(ISBLANK(Instructions!J514),"",Instructions!J514)</f>
        <v>Erica Williams</v>
      </c>
      <c r="G507" s="1" t="str">
        <f>IF(ISBLANK(Instructions!K514),"",Instructions!K514)</f>
        <v/>
      </c>
      <c r="H507" t="str">
        <f>IF(ISBLANK(Instructions!L514),"",Instructions!L514)</f>
        <v/>
      </c>
      <c r="I507" t="str">
        <f t="shared" si="19"/>
        <v>NULL</v>
      </c>
      <c r="J507" t="str">
        <f t="shared" si="19"/>
        <v>NULL</v>
      </c>
      <c r="K507" t="str">
        <f>Instructions!M514</f>
        <v>Added via SMSS</v>
      </c>
      <c r="L507" t="str">
        <f t="shared" si="15"/>
        <v>NULL</v>
      </c>
    </row>
    <row r="508" spans="1:12" x14ac:dyDescent="0.25">
      <c r="A508" t="str" cm="1">
        <f t="array" ref="A508">_xlfn.CONCAT(Instructions!C515,Instructions!A515,"_",TEXT(Instructions!B515,"YYYYMMDD"),"_1_",INDEX(Table1[], MATCH(1,(Table1[Estuary]=Instructions!C515)*(Table1[StationNumber]=Instructions!D515)*(Instructions!B515&gt;Table1[StartDate])*(Instructions!B515&lt;Table1[EndDate]),0),1),"_1_",Instructions!E515,"_",Instructions!F515)</f>
        <v>TBSRVY_20190924_1_0291_1_011_007</v>
      </c>
      <c r="B508" t="str" cm="1">
        <f t="array" ref="B508">_xlfn.CONCAT(Instructions!C515,Instructions!A515,"_",TEXT(Instructions!B515,"YYYYMMDD"),"_1_",INDEX(Table1[], MATCH(1,(Table1[Estuary]=Instructions!C515)*(Table1[StationNumber]=Instructions!D515)*(Instructions!B515&gt;Table1[StartDate])*(Instructions!B515&lt;Table1[EndDate]),0),1),"_1_",Instructions!E515)</f>
        <v>TBSRVY_20190924_1_0291_1_011</v>
      </c>
      <c r="C508">
        <f>Instructions!G515</f>
        <v>20</v>
      </c>
      <c r="D508" t="str">
        <f>IF(ISBLANK(Instructions!H515),"",Instructions!H515)</f>
        <v>Entered</v>
      </c>
      <c r="E508" s="1">
        <f>IF(ISBLANK(Instructions!I515),"",Instructions!I515)</f>
        <v>45646</v>
      </c>
      <c r="F508" t="str">
        <f>IF(ISBLANK(Instructions!J515),"",Instructions!J515)</f>
        <v>Erica Williams</v>
      </c>
      <c r="G508" s="1" t="str">
        <f>IF(ISBLANK(Instructions!K515),"",Instructions!K515)</f>
        <v/>
      </c>
      <c r="H508" t="str">
        <f>IF(ISBLANK(Instructions!L515),"",Instructions!L515)</f>
        <v/>
      </c>
      <c r="I508" t="str">
        <f t="shared" si="19"/>
        <v>NULL</v>
      </c>
      <c r="J508" t="str">
        <f t="shared" si="19"/>
        <v>NULL</v>
      </c>
      <c r="K508" t="str">
        <f>Instructions!M515</f>
        <v>Added via SMSS</v>
      </c>
      <c r="L508" t="str">
        <f t="shared" si="15"/>
        <v>NULL</v>
      </c>
    </row>
    <row r="509" spans="1:12" x14ac:dyDescent="0.25">
      <c r="A509" t="str" cm="1">
        <f t="array" ref="A509">_xlfn.CONCAT(Instructions!C516,Instructions!A516,"_",TEXT(Instructions!B516,"YYYYMMDD"),"_1_",INDEX(Table1[], MATCH(1,(Table1[Estuary]=Instructions!C516)*(Table1[StationNumber]=Instructions!D516)*(Instructions!B516&gt;Table1[StartDate])*(Instructions!B516&lt;Table1[EndDate]),0),1),"_1_",Instructions!E516,"_",Instructions!F516)</f>
        <v>TBSRVY_20190924_1_0291_1_011_008</v>
      </c>
      <c r="B509" t="str" cm="1">
        <f t="array" ref="B509">_xlfn.CONCAT(Instructions!C516,Instructions!A516,"_",TEXT(Instructions!B516,"YYYYMMDD"),"_1_",INDEX(Table1[], MATCH(1,(Table1[Estuary]=Instructions!C516)*(Table1[StationNumber]=Instructions!D516)*(Instructions!B516&gt;Table1[StartDate])*(Instructions!B516&lt;Table1[EndDate]),0),1),"_1_",Instructions!E516)</f>
        <v>TBSRVY_20190924_1_0291_1_011</v>
      </c>
      <c r="C509">
        <f>Instructions!G516</f>
        <v>63</v>
      </c>
      <c r="D509" t="str">
        <f>IF(ISBLANK(Instructions!H516),"",Instructions!H516)</f>
        <v>Entered</v>
      </c>
      <c r="E509" s="1">
        <f>IF(ISBLANK(Instructions!I516),"",Instructions!I516)</f>
        <v>45646</v>
      </c>
      <c r="F509" t="str">
        <f>IF(ISBLANK(Instructions!J516),"",Instructions!J516)</f>
        <v>Erica Williams</v>
      </c>
      <c r="G509" s="1" t="str">
        <f>IF(ISBLANK(Instructions!K516),"",Instructions!K516)</f>
        <v/>
      </c>
      <c r="H509" t="str">
        <f>IF(ISBLANK(Instructions!L516),"",Instructions!L516)</f>
        <v/>
      </c>
      <c r="I509" t="str">
        <f t="shared" si="19"/>
        <v>NULL</v>
      </c>
      <c r="J509" t="str">
        <f t="shared" si="19"/>
        <v>NULL</v>
      </c>
      <c r="K509" t="str">
        <f>Instructions!M516</f>
        <v>Added via SMSS</v>
      </c>
      <c r="L509" t="str">
        <f t="shared" si="15"/>
        <v>NULL</v>
      </c>
    </row>
    <row r="510" spans="1:12" x14ac:dyDescent="0.25">
      <c r="A510" t="str" cm="1">
        <f t="array" ref="A510">_xlfn.CONCAT(Instructions!C517,Instructions!A517,"_",TEXT(Instructions!B517,"YYYYMMDD"),"_1_",INDEX(Table1[], MATCH(1,(Table1[Estuary]=Instructions!C517)*(Table1[StationNumber]=Instructions!D517)*(Instructions!B517&gt;Table1[StartDate])*(Instructions!B517&lt;Table1[EndDate]),0),1),"_1_",Instructions!E517,"_",Instructions!F517)</f>
        <v>TBSRVY_20190924_1_0291_1_011_009</v>
      </c>
      <c r="B510" t="str" cm="1">
        <f t="array" ref="B510">_xlfn.CONCAT(Instructions!C517,Instructions!A517,"_",TEXT(Instructions!B517,"YYYYMMDD"),"_1_",INDEX(Table1[], MATCH(1,(Table1[Estuary]=Instructions!C517)*(Table1[StationNumber]=Instructions!D517)*(Instructions!B517&gt;Table1[StartDate])*(Instructions!B517&lt;Table1[EndDate]),0),1),"_1_",Instructions!E517)</f>
        <v>TBSRVY_20190924_1_0291_1_011</v>
      </c>
      <c r="C510">
        <f>Instructions!G517</f>
        <v>16</v>
      </c>
      <c r="D510" t="str">
        <f>IF(ISBLANK(Instructions!H517),"",Instructions!H517)</f>
        <v>Entered</v>
      </c>
      <c r="E510" s="1">
        <f>IF(ISBLANK(Instructions!I517),"",Instructions!I517)</f>
        <v>45646</v>
      </c>
      <c r="F510" t="str">
        <f>IF(ISBLANK(Instructions!J517),"",Instructions!J517)</f>
        <v>Erica Williams</v>
      </c>
      <c r="G510" s="1" t="str">
        <f>IF(ISBLANK(Instructions!K517),"",Instructions!K517)</f>
        <v/>
      </c>
      <c r="H510" t="str">
        <f>IF(ISBLANK(Instructions!L517),"",Instructions!L517)</f>
        <v/>
      </c>
      <c r="I510" t="str">
        <f t="shared" si="19"/>
        <v>NULL</v>
      </c>
      <c r="J510" t="str">
        <f t="shared" si="19"/>
        <v>NULL</v>
      </c>
      <c r="K510" t="str">
        <f>Instructions!M517</f>
        <v>Added via SMSS</v>
      </c>
      <c r="L510" t="str">
        <f t="shared" si="15"/>
        <v>NULL</v>
      </c>
    </row>
    <row r="511" spans="1:12" x14ac:dyDescent="0.25">
      <c r="A511" t="str" cm="1">
        <f t="array" ref="A511">_xlfn.CONCAT(Instructions!C518,Instructions!A518,"_",TEXT(Instructions!B518,"YYYYMMDD"),"_1_",INDEX(Table1[], MATCH(1,(Table1[Estuary]=Instructions!C518)*(Table1[StationNumber]=Instructions!D518)*(Instructions!B518&gt;Table1[StartDate])*(Instructions!B518&lt;Table1[EndDate]),0),1),"_1_",Instructions!E518,"_",Instructions!F518)</f>
        <v>TBSRVY_20190924_1_0291_1_011_010</v>
      </c>
      <c r="B511" t="str" cm="1">
        <f t="array" ref="B511">_xlfn.CONCAT(Instructions!C518,Instructions!A518,"_",TEXT(Instructions!B518,"YYYYMMDD"),"_1_",INDEX(Table1[], MATCH(1,(Table1[Estuary]=Instructions!C518)*(Table1[StationNumber]=Instructions!D518)*(Instructions!B518&gt;Table1[StartDate])*(Instructions!B518&lt;Table1[EndDate]),0),1),"_1_",Instructions!E518)</f>
        <v>TBSRVY_20190924_1_0291_1_011</v>
      </c>
      <c r="C511">
        <f>Instructions!G518</f>
        <v>65</v>
      </c>
      <c r="D511" t="str">
        <f>IF(ISBLANK(Instructions!H518),"",Instructions!H518)</f>
        <v>Entered</v>
      </c>
      <c r="E511" s="1">
        <f>IF(ISBLANK(Instructions!I518),"",Instructions!I518)</f>
        <v>45646</v>
      </c>
      <c r="F511" t="str">
        <f>IF(ISBLANK(Instructions!J518),"",Instructions!J518)</f>
        <v>Erica Williams</v>
      </c>
      <c r="G511" s="1" t="str">
        <f>IF(ISBLANK(Instructions!K518),"",Instructions!K518)</f>
        <v/>
      </c>
      <c r="H511" t="str">
        <f>IF(ISBLANK(Instructions!L518),"",Instructions!L518)</f>
        <v/>
      </c>
      <c r="I511" t="str">
        <f t="shared" si="19"/>
        <v>NULL</v>
      </c>
      <c r="J511" t="str">
        <f t="shared" si="19"/>
        <v>NULL</v>
      </c>
      <c r="K511" t="str">
        <f>Instructions!M518</f>
        <v>Added via SMSS</v>
      </c>
      <c r="L511" t="str">
        <f t="shared" si="15"/>
        <v>NULL</v>
      </c>
    </row>
    <row r="512" spans="1:12" x14ac:dyDescent="0.25">
      <c r="A512" t="str" cm="1">
        <f t="array" ref="A512">_xlfn.CONCAT(Instructions!C519,Instructions!A519,"_",TEXT(Instructions!B519,"YYYYMMDD"),"_1_",INDEX(Table1[], MATCH(1,(Table1[Estuary]=Instructions!C519)*(Table1[StationNumber]=Instructions!D519)*(Instructions!B519&gt;Table1[StartDate])*(Instructions!B519&lt;Table1[EndDate]),0),1),"_1_",Instructions!E519,"_",Instructions!F519)</f>
        <v>TBSRVY_20190924_1_0291_1_011_011</v>
      </c>
      <c r="B512" t="str" cm="1">
        <f t="array" ref="B512">_xlfn.CONCAT(Instructions!C519,Instructions!A519,"_",TEXT(Instructions!B519,"YYYYMMDD"),"_1_",INDEX(Table1[], MATCH(1,(Table1[Estuary]=Instructions!C519)*(Table1[StationNumber]=Instructions!D519)*(Instructions!B519&gt;Table1[StartDate])*(Instructions!B519&lt;Table1[EndDate]),0),1),"_1_",Instructions!E519)</f>
        <v>TBSRVY_20190924_1_0291_1_011</v>
      </c>
      <c r="C512">
        <f>Instructions!G519</f>
        <v>16</v>
      </c>
      <c r="D512" t="str">
        <f>IF(ISBLANK(Instructions!H519),"",Instructions!H519)</f>
        <v>Entered</v>
      </c>
      <c r="E512" s="1">
        <f>IF(ISBLANK(Instructions!I519),"",Instructions!I519)</f>
        <v>45646</v>
      </c>
      <c r="F512" t="str">
        <f>IF(ISBLANK(Instructions!J519),"",Instructions!J519)</f>
        <v>Erica Williams</v>
      </c>
      <c r="G512" s="1" t="str">
        <f>IF(ISBLANK(Instructions!K519),"",Instructions!K519)</f>
        <v/>
      </c>
      <c r="H512" t="str">
        <f>IF(ISBLANK(Instructions!L519),"",Instructions!L519)</f>
        <v/>
      </c>
      <c r="I512" t="str">
        <f t="shared" si="19"/>
        <v>NULL</v>
      </c>
      <c r="J512" t="str">
        <f t="shared" si="19"/>
        <v>NULL</v>
      </c>
      <c r="K512" t="str">
        <f>Instructions!M519</f>
        <v>Added via SMSS</v>
      </c>
      <c r="L512" t="str">
        <f t="shared" si="15"/>
        <v>NULL</v>
      </c>
    </row>
    <row r="513" spans="1:12" x14ac:dyDescent="0.25">
      <c r="A513" t="str" cm="1">
        <f t="array" ref="A513">_xlfn.CONCAT(Instructions!C520,Instructions!A520,"_",TEXT(Instructions!B520,"YYYYMMDD"),"_1_",INDEX(Table1[], MATCH(1,(Table1[Estuary]=Instructions!C520)*(Table1[StationNumber]=Instructions!D520)*(Instructions!B520&gt;Table1[StartDate])*(Instructions!B520&lt;Table1[EndDate]),0),1),"_1_",Instructions!E520,"_",Instructions!F520)</f>
        <v>TBSRVY_20190924_1_0291_1_011_012</v>
      </c>
      <c r="B513" t="str" cm="1">
        <f t="array" ref="B513">_xlfn.CONCAT(Instructions!C520,Instructions!A520,"_",TEXT(Instructions!B520,"YYYYMMDD"),"_1_",INDEX(Table1[], MATCH(1,(Table1[Estuary]=Instructions!C520)*(Table1[StationNumber]=Instructions!D520)*(Instructions!B520&gt;Table1[StartDate])*(Instructions!B520&lt;Table1[EndDate]),0),1),"_1_",Instructions!E520)</f>
        <v>TBSRVY_20190924_1_0291_1_011</v>
      </c>
      <c r="C513">
        <f>Instructions!G520</f>
        <v>22</v>
      </c>
      <c r="D513" t="str">
        <f>IF(ISBLANK(Instructions!H520),"",Instructions!H520)</f>
        <v>Entered</v>
      </c>
      <c r="E513" s="1">
        <f>IF(ISBLANK(Instructions!I520),"",Instructions!I520)</f>
        <v>45646</v>
      </c>
      <c r="F513" t="str">
        <f>IF(ISBLANK(Instructions!J520),"",Instructions!J520)</f>
        <v>Erica Williams</v>
      </c>
      <c r="G513" s="1" t="str">
        <f>IF(ISBLANK(Instructions!K520),"",Instructions!K520)</f>
        <v/>
      </c>
      <c r="H513" t="str">
        <f>IF(ISBLANK(Instructions!L520),"",Instructions!L520)</f>
        <v/>
      </c>
      <c r="I513" t="str">
        <f t="shared" si="19"/>
        <v>NULL</v>
      </c>
      <c r="J513" t="str">
        <f t="shared" si="19"/>
        <v>NULL</v>
      </c>
      <c r="K513" t="str">
        <f>Instructions!M520</f>
        <v>Added via SMSS</v>
      </c>
      <c r="L513" t="str">
        <f t="shared" si="15"/>
        <v>NULL</v>
      </c>
    </row>
    <row r="514" spans="1:12" x14ac:dyDescent="0.25">
      <c r="A514" t="str" cm="1">
        <f t="array" ref="A514">_xlfn.CONCAT(Instructions!C521,Instructions!A521,"_",TEXT(Instructions!B521,"YYYYMMDD"),"_1_",INDEX(Table1[], MATCH(1,(Table1[Estuary]=Instructions!C521)*(Table1[StationNumber]=Instructions!D521)*(Instructions!B521&gt;Table1[StartDate])*(Instructions!B521&lt;Table1[EndDate]),0),1),"_1_",Instructions!E521,"_",Instructions!F521)</f>
        <v>TBSRVY_20190924_1_0291_1_011_013</v>
      </c>
      <c r="B514" t="str" cm="1">
        <f t="array" ref="B514">_xlfn.CONCAT(Instructions!C521,Instructions!A521,"_",TEXT(Instructions!B521,"YYYYMMDD"),"_1_",INDEX(Table1[], MATCH(1,(Table1[Estuary]=Instructions!C521)*(Table1[StationNumber]=Instructions!D521)*(Instructions!B521&gt;Table1[StartDate])*(Instructions!B521&lt;Table1[EndDate]),0),1),"_1_",Instructions!E521)</f>
        <v>TBSRVY_20190924_1_0291_1_011</v>
      </c>
      <c r="C514">
        <f>Instructions!G521</f>
        <v>5</v>
      </c>
      <c r="D514" t="str">
        <f>IF(ISBLANK(Instructions!H521),"",Instructions!H521)</f>
        <v>Entered</v>
      </c>
      <c r="E514" s="1">
        <f>IF(ISBLANK(Instructions!I521),"",Instructions!I521)</f>
        <v>45646</v>
      </c>
      <c r="F514" t="str">
        <f>IF(ISBLANK(Instructions!J521),"",Instructions!J521)</f>
        <v>Erica Williams</v>
      </c>
      <c r="G514" s="1" t="str">
        <f>IF(ISBLANK(Instructions!K521),"",Instructions!K521)</f>
        <v/>
      </c>
      <c r="H514" t="str">
        <f>IF(ISBLANK(Instructions!L521),"",Instructions!L521)</f>
        <v/>
      </c>
      <c r="I514" t="str">
        <f t="shared" si="19"/>
        <v>NULL</v>
      </c>
      <c r="J514" t="str">
        <f t="shared" si="19"/>
        <v>NULL</v>
      </c>
      <c r="K514" t="str">
        <f>Instructions!M521</f>
        <v>Added via SMSS</v>
      </c>
      <c r="L514" t="str">
        <f t="shared" si="15"/>
        <v>NULL</v>
      </c>
    </row>
    <row r="515" spans="1:12" x14ac:dyDescent="0.25">
      <c r="A515" t="str" cm="1">
        <f t="array" ref="A515">_xlfn.CONCAT(Instructions!C522,Instructions!A522,"_",TEXT(Instructions!B522,"YYYYMMDD"),"_1_",INDEX(Table1[], MATCH(1,(Table1[Estuary]=Instructions!C522)*(Table1[StationNumber]=Instructions!D522)*(Instructions!B522&gt;Table1[StartDate])*(Instructions!B522&lt;Table1[EndDate]),0),1),"_1_",Instructions!E522,"_",Instructions!F522)</f>
        <v>TBSRVY_20190924_1_0291_1_011_014</v>
      </c>
      <c r="B515" t="str" cm="1">
        <f t="array" ref="B515">_xlfn.CONCAT(Instructions!C522,Instructions!A522,"_",TEXT(Instructions!B522,"YYYYMMDD"),"_1_",INDEX(Table1[], MATCH(1,(Table1[Estuary]=Instructions!C522)*(Table1[StationNumber]=Instructions!D522)*(Instructions!B522&gt;Table1[StartDate])*(Instructions!B522&lt;Table1[EndDate]),0),1),"_1_",Instructions!E522)</f>
        <v>TBSRVY_20190924_1_0291_1_011</v>
      </c>
      <c r="C515">
        <f>Instructions!G522</f>
        <v>20</v>
      </c>
      <c r="D515" t="str">
        <f>IF(ISBLANK(Instructions!H522),"",Instructions!H522)</f>
        <v>Entered</v>
      </c>
      <c r="E515" s="1">
        <f>IF(ISBLANK(Instructions!I522),"",Instructions!I522)</f>
        <v>45646</v>
      </c>
      <c r="F515" t="str">
        <f>IF(ISBLANK(Instructions!J522),"",Instructions!J522)</f>
        <v>Erica Williams</v>
      </c>
      <c r="G515" s="1" t="str">
        <f>IF(ISBLANK(Instructions!K522),"",Instructions!K522)</f>
        <v/>
      </c>
      <c r="H515" t="str">
        <f>IF(ISBLANK(Instructions!L522),"",Instructions!L522)</f>
        <v/>
      </c>
      <c r="I515" t="str">
        <f t="shared" si="19"/>
        <v>NULL</v>
      </c>
      <c r="J515" t="str">
        <f t="shared" si="19"/>
        <v>NULL</v>
      </c>
      <c r="K515" t="str">
        <f>Instructions!M522</f>
        <v>Added via SMSS</v>
      </c>
      <c r="L515" t="str">
        <f t="shared" si="15"/>
        <v>NULL</v>
      </c>
    </row>
    <row r="516" spans="1:12" x14ac:dyDescent="0.25">
      <c r="A516" t="str" cm="1">
        <f t="array" ref="A516">_xlfn.CONCAT(Instructions!C523,Instructions!A523,"_",TEXT(Instructions!B523,"YYYYMMDD"),"_1_",INDEX(Table1[], MATCH(1,(Table1[Estuary]=Instructions!C523)*(Table1[StationNumber]=Instructions!D523)*(Instructions!B523&gt;Table1[StartDate])*(Instructions!B523&lt;Table1[EndDate]),0),1),"_1_",Instructions!E523,"_",Instructions!F523)</f>
        <v>TBSRVY_20190924_1_0291_1_011_015</v>
      </c>
      <c r="B516" t="str" cm="1">
        <f t="array" ref="B516">_xlfn.CONCAT(Instructions!C523,Instructions!A523,"_",TEXT(Instructions!B523,"YYYYMMDD"),"_1_",INDEX(Table1[], MATCH(1,(Table1[Estuary]=Instructions!C523)*(Table1[StationNumber]=Instructions!D523)*(Instructions!B523&gt;Table1[StartDate])*(Instructions!B523&lt;Table1[EndDate]),0),1),"_1_",Instructions!E523)</f>
        <v>TBSRVY_20190924_1_0291_1_011</v>
      </c>
      <c r="C516">
        <f>Instructions!G523</f>
        <v>19</v>
      </c>
      <c r="D516" t="str">
        <f>IF(ISBLANK(Instructions!H523),"",Instructions!H523)</f>
        <v>Entered</v>
      </c>
      <c r="E516" s="1">
        <f>IF(ISBLANK(Instructions!I523),"",Instructions!I523)</f>
        <v>45646</v>
      </c>
      <c r="F516" t="str">
        <f>IF(ISBLANK(Instructions!J523),"",Instructions!J523)</f>
        <v>Erica Williams</v>
      </c>
      <c r="G516" s="1" t="str">
        <f>IF(ISBLANK(Instructions!K523),"",Instructions!K523)</f>
        <v/>
      </c>
      <c r="H516" t="str">
        <f>IF(ISBLANK(Instructions!L523),"",Instructions!L523)</f>
        <v/>
      </c>
      <c r="I516" t="str">
        <f t="shared" si="19"/>
        <v>NULL</v>
      </c>
      <c r="J516" t="str">
        <f t="shared" si="19"/>
        <v>NULL</v>
      </c>
      <c r="K516" t="str">
        <f>Instructions!M523</f>
        <v>Added via SMSS</v>
      </c>
      <c r="L516" t="str">
        <f t="shared" si="15"/>
        <v>NULL</v>
      </c>
    </row>
    <row r="517" spans="1:12" x14ac:dyDescent="0.25">
      <c r="A517" t="str" cm="1">
        <f t="array" ref="A517">_xlfn.CONCAT(Instructions!C524,Instructions!A524,"_",TEXT(Instructions!B524,"YYYYMMDD"),"_1_",INDEX(Table1[], MATCH(1,(Table1[Estuary]=Instructions!C524)*(Table1[StationNumber]=Instructions!D524)*(Instructions!B524&gt;Table1[StartDate])*(Instructions!B524&lt;Table1[EndDate]),0),1),"_1_",Instructions!E524,"_",Instructions!F524)</f>
        <v>TBSRVY_20190924_1_0291_1_011_016</v>
      </c>
      <c r="B517" t="str" cm="1">
        <f t="array" ref="B517">_xlfn.CONCAT(Instructions!C524,Instructions!A524,"_",TEXT(Instructions!B524,"YYYYMMDD"),"_1_",INDEX(Table1[], MATCH(1,(Table1[Estuary]=Instructions!C524)*(Table1[StationNumber]=Instructions!D524)*(Instructions!B524&gt;Table1[StartDate])*(Instructions!B524&lt;Table1[EndDate]),0),1),"_1_",Instructions!E524)</f>
        <v>TBSRVY_20190924_1_0291_1_011</v>
      </c>
      <c r="C517">
        <f>Instructions!G524</f>
        <v>28</v>
      </c>
      <c r="D517" t="str">
        <f>IF(ISBLANK(Instructions!H524),"",Instructions!H524)</f>
        <v>Entered</v>
      </c>
      <c r="E517" s="1">
        <f>IF(ISBLANK(Instructions!I524),"",Instructions!I524)</f>
        <v>45646</v>
      </c>
      <c r="F517" t="str">
        <f>IF(ISBLANK(Instructions!J524),"",Instructions!J524)</f>
        <v>Erica Williams</v>
      </c>
      <c r="G517" s="1" t="str">
        <f>IF(ISBLANK(Instructions!K524),"",Instructions!K524)</f>
        <v/>
      </c>
      <c r="H517" t="str">
        <f>IF(ISBLANK(Instructions!L524),"",Instructions!L524)</f>
        <v/>
      </c>
      <c r="I517" t="str">
        <f t="shared" si="19"/>
        <v>NULL</v>
      </c>
      <c r="J517" t="str">
        <f t="shared" si="19"/>
        <v>NULL</v>
      </c>
      <c r="K517" t="str">
        <f>Instructions!M524</f>
        <v>Added via SMSS</v>
      </c>
      <c r="L517" t="str">
        <f t="shared" si="15"/>
        <v>NULL</v>
      </c>
    </row>
    <row r="518" spans="1:12" x14ac:dyDescent="0.25">
      <c r="A518" t="str" cm="1">
        <f t="array" ref="A518">_xlfn.CONCAT(Instructions!C525,Instructions!A525,"_",TEXT(Instructions!B525,"YYYYMMDD"),"_1_",INDEX(Table1[], MATCH(1,(Table1[Estuary]=Instructions!C525)*(Table1[StationNumber]=Instructions!D525)*(Instructions!B525&gt;Table1[StartDate])*(Instructions!B525&lt;Table1[EndDate]),0),1),"_1_",Instructions!E525,"_",Instructions!F525)</f>
        <v>TBSRVY_20190924_1_0291_1_011_017</v>
      </c>
      <c r="B518" t="str" cm="1">
        <f t="array" ref="B518">_xlfn.CONCAT(Instructions!C525,Instructions!A525,"_",TEXT(Instructions!B525,"YYYYMMDD"),"_1_",INDEX(Table1[], MATCH(1,(Table1[Estuary]=Instructions!C525)*(Table1[StationNumber]=Instructions!D525)*(Instructions!B525&gt;Table1[StartDate])*(Instructions!B525&lt;Table1[EndDate]),0),1),"_1_",Instructions!E525)</f>
        <v>TBSRVY_20190924_1_0291_1_011</v>
      </c>
      <c r="C518">
        <f>Instructions!G525</f>
        <v>11</v>
      </c>
      <c r="D518" t="str">
        <f>IF(ISBLANK(Instructions!H525),"",Instructions!H525)</f>
        <v>Entered</v>
      </c>
      <c r="E518" s="1">
        <f>IF(ISBLANK(Instructions!I525),"",Instructions!I525)</f>
        <v>45646</v>
      </c>
      <c r="F518" t="str">
        <f>IF(ISBLANK(Instructions!J525),"",Instructions!J525)</f>
        <v>Erica Williams</v>
      </c>
      <c r="G518" s="1" t="str">
        <f>IF(ISBLANK(Instructions!K525),"",Instructions!K525)</f>
        <v/>
      </c>
      <c r="H518" t="str">
        <f>IF(ISBLANK(Instructions!L525),"",Instructions!L525)</f>
        <v/>
      </c>
      <c r="I518" t="str">
        <f t="shared" si="19"/>
        <v>NULL</v>
      </c>
      <c r="J518" t="str">
        <f t="shared" si="19"/>
        <v>NULL</v>
      </c>
      <c r="K518" t="str">
        <f>Instructions!M525</f>
        <v>Added via SMSS</v>
      </c>
      <c r="L518" t="str">
        <f t="shared" si="15"/>
        <v>NULL</v>
      </c>
    </row>
    <row r="519" spans="1:12" x14ac:dyDescent="0.25">
      <c r="A519" t="str" cm="1">
        <f t="array" ref="A519">_xlfn.CONCAT(Instructions!C526,Instructions!A526,"_",TEXT(Instructions!B526,"YYYYMMDD"),"_1_",INDEX(Table1[], MATCH(1,(Table1[Estuary]=Instructions!C526)*(Table1[StationNumber]=Instructions!D526)*(Instructions!B526&gt;Table1[StartDate])*(Instructions!B526&lt;Table1[EndDate]),0),1),"_1_",Instructions!E526,"_",Instructions!F526)</f>
        <v>TBSRVY_20190924_1_0291_1_011_018</v>
      </c>
      <c r="B519" t="str" cm="1">
        <f t="array" ref="B519">_xlfn.CONCAT(Instructions!C526,Instructions!A526,"_",TEXT(Instructions!B526,"YYYYMMDD"),"_1_",INDEX(Table1[], MATCH(1,(Table1[Estuary]=Instructions!C526)*(Table1[StationNumber]=Instructions!D526)*(Instructions!B526&gt;Table1[StartDate])*(Instructions!B526&lt;Table1[EndDate]),0),1),"_1_",Instructions!E526)</f>
        <v>TBSRVY_20190924_1_0291_1_011</v>
      </c>
      <c r="C519">
        <f>Instructions!G526</f>
        <v>7</v>
      </c>
      <c r="D519" t="str">
        <f>IF(ISBLANK(Instructions!H526),"",Instructions!H526)</f>
        <v>Entered</v>
      </c>
      <c r="E519" s="1">
        <f>IF(ISBLANK(Instructions!I526),"",Instructions!I526)</f>
        <v>45646</v>
      </c>
      <c r="F519" t="str">
        <f>IF(ISBLANK(Instructions!J526),"",Instructions!J526)</f>
        <v>Erica Williams</v>
      </c>
      <c r="G519" s="1" t="str">
        <f>IF(ISBLANK(Instructions!K526),"",Instructions!K526)</f>
        <v/>
      </c>
      <c r="H519" t="str">
        <f>IF(ISBLANK(Instructions!L526),"",Instructions!L526)</f>
        <v/>
      </c>
      <c r="I519" t="str">
        <f t="shared" si="19"/>
        <v>NULL</v>
      </c>
      <c r="J519" t="str">
        <f t="shared" si="19"/>
        <v>NULL</v>
      </c>
      <c r="K519" t="str">
        <f>Instructions!M526</f>
        <v>Added via SMSS</v>
      </c>
      <c r="L519" t="str">
        <f t="shared" si="15"/>
        <v>NULL</v>
      </c>
    </row>
    <row r="520" spans="1:12" x14ac:dyDescent="0.25">
      <c r="A520" t="str" cm="1">
        <f t="array" ref="A520">_xlfn.CONCAT(Instructions!C527,Instructions!A527,"_",TEXT(Instructions!B527,"YYYYMMDD"),"_1_",INDEX(Table1[], MATCH(1,(Table1[Estuary]=Instructions!C527)*(Table1[StationNumber]=Instructions!D527)*(Instructions!B527&gt;Table1[StartDate])*(Instructions!B527&lt;Table1[EndDate]),0),1),"_1_",Instructions!E527,"_",Instructions!F527)</f>
        <v>TBSRVY_20190924_1_0291_1_011_019</v>
      </c>
      <c r="B520" t="str" cm="1">
        <f t="array" ref="B520">_xlfn.CONCAT(Instructions!C527,Instructions!A527,"_",TEXT(Instructions!B527,"YYYYMMDD"),"_1_",INDEX(Table1[], MATCH(1,(Table1[Estuary]=Instructions!C527)*(Table1[StationNumber]=Instructions!D527)*(Instructions!B527&gt;Table1[StartDate])*(Instructions!B527&lt;Table1[EndDate]),0),1),"_1_",Instructions!E527)</f>
        <v>TBSRVY_20190924_1_0291_1_011</v>
      </c>
      <c r="C520">
        <f>Instructions!G527</f>
        <v>4</v>
      </c>
      <c r="D520" t="str">
        <f>IF(ISBLANK(Instructions!H527),"",Instructions!H527)</f>
        <v>Entered</v>
      </c>
      <c r="E520" s="1">
        <f>IF(ISBLANK(Instructions!I527),"",Instructions!I527)</f>
        <v>45646</v>
      </c>
      <c r="F520" t="str">
        <f>IF(ISBLANK(Instructions!J527),"",Instructions!J527)</f>
        <v>Erica Williams</v>
      </c>
      <c r="G520" s="1" t="str">
        <f>IF(ISBLANK(Instructions!K527),"",Instructions!K527)</f>
        <v/>
      </c>
      <c r="H520" t="str">
        <f>IF(ISBLANK(Instructions!L527),"",Instructions!L527)</f>
        <v/>
      </c>
      <c r="I520" t="str">
        <f t="shared" si="19"/>
        <v>NULL</v>
      </c>
      <c r="J520" t="str">
        <f t="shared" si="19"/>
        <v>NULL</v>
      </c>
      <c r="K520" t="str">
        <f>Instructions!M527</f>
        <v>Added via SMSS</v>
      </c>
      <c r="L520" t="str">
        <f t="shared" si="15"/>
        <v>NULL</v>
      </c>
    </row>
    <row r="521" spans="1:12" x14ac:dyDescent="0.25">
      <c r="A521" t="str" cm="1">
        <f t="array" ref="A521">_xlfn.CONCAT(Instructions!C528,Instructions!A528,"_",TEXT(Instructions!B528,"YYYYMMDD"),"_1_",INDEX(Table1[], MATCH(1,(Table1[Estuary]=Instructions!C528)*(Table1[StationNumber]=Instructions!D528)*(Instructions!B528&gt;Table1[StartDate])*(Instructions!B528&lt;Table1[EndDate]),0),1),"_1_",Instructions!E528,"_",Instructions!F528)</f>
        <v>TBSRVY_20190924_1_0291_1_011_020</v>
      </c>
      <c r="B521" t="str" cm="1">
        <f t="array" ref="B521">_xlfn.CONCAT(Instructions!C528,Instructions!A528,"_",TEXT(Instructions!B528,"YYYYMMDD"),"_1_",INDEX(Table1[], MATCH(1,(Table1[Estuary]=Instructions!C528)*(Table1[StationNumber]=Instructions!D528)*(Instructions!B528&gt;Table1[StartDate])*(Instructions!B528&lt;Table1[EndDate]),0),1),"_1_",Instructions!E528)</f>
        <v>TBSRVY_20190924_1_0291_1_011</v>
      </c>
      <c r="C521">
        <f>Instructions!G528</f>
        <v>47</v>
      </c>
      <c r="D521" t="str">
        <f>IF(ISBLANK(Instructions!H528),"",Instructions!H528)</f>
        <v>Entered</v>
      </c>
      <c r="E521" s="1">
        <f>IF(ISBLANK(Instructions!I528),"",Instructions!I528)</f>
        <v>45646</v>
      </c>
      <c r="F521" t="str">
        <f>IF(ISBLANK(Instructions!J528),"",Instructions!J528)</f>
        <v>Erica Williams</v>
      </c>
      <c r="G521" s="1" t="str">
        <f>IF(ISBLANK(Instructions!K528),"",Instructions!K528)</f>
        <v/>
      </c>
      <c r="H521" t="str">
        <f>IF(ISBLANK(Instructions!L528),"",Instructions!L528)</f>
        <v/>
      </c>
      <c r="I521" t="str">
        <f t="shared" si="19"/>
        <v>NULL</v>
      </c>
      <c r="J521" t="str">
        <f t="shared" si="19"/>
        <v>NULL</v>
      </c>
      <c r="K521" t="str">
        <f>Instructions!M528</f>
        <v>Added via SMSS</v>
      </c>
      <c r="L521" t="str">
        <f t="shared" si="15"/>
        <v>NULL</v>
      </c>
    </row>
    <row r="522" spans="1:12" x14ac:dyDescent="0.25">
      <c r="A522" t="str" cm="1">
        <f t="array" ref="A522">_xlfn.CONCAT(Instructions!C529,Instructions!A529,"_",TEXT(Instructions!B529,"YYYYMMDD"),"_1_",INDEX(Table1[], MATCH(1,(Table1[Estuary]=Instructions!C529)*(Table1[StationNumber]=Instructions!D529)*(Instructions!B529&gt;Table1[StartDate])*(Instructions!B529&lt;Table1[EndDate]),0),1),"_1_",Instructions!E529,"_",Instructions!F529)</f>
        <v>TBSRVY_20190924_1_0291_1_011_021</v>
      </c>
      <c r="B522" t="str" cm="1">
        <f t="array" ref="B522">_xlfn.CONCAT(Instructions!C529,Instructions!A529,"_",TEXT(Instructions!B529,"YYYYMMDD"),"_1_",INDEX(Table1[], MATCH(1,(Table1[Estuary]=Instructions!C529)*(Table1[StationNumber]=Instructions!D529)*(Instructions!B529&gt;Table1[StartDate])*(Instructions!B529&lt;Table1[EndDate]),0),1),"_1_",Instructions!E529)</f>
        <v>TBSRVY_20190924_1_0291_1_011</v>
      </c>
      <c r="C522">
        <f>Instructions!G529</f>
        <v>28</v>
      </c>
      <c r="D522" t="str">
        <f>IF(ISBLANK(Instructions!H529),"",Instructions!H529)</f>
        <v>Entered</v>
      </c>
      <c r="E522" s="1">
        <f>IF(ISBLANK(Instructions!I529),"",Instructions!I529)</f>
        <v>45646</v>
      </c>
      <c r="F522" t="str">
        <f>IF(ISBLANK(Instructions!J529),"",Instructions!J529)</f>
        <v>Erica Williams</v>
      </c>
      <c r="G522" s="1" t="str">
        <f>IF(ISBLANK(Instructions!K529),"",Instructions!K529)</f>
        <v/>
      </c>
      <c r="H522" t="str">
        <f>IF(ISBLANK(Instructions!L529),"",Instructions!L529)</f>
        <v/>
      </c>
      <c r="I522" t="str">
        <f t="shared" si="19"/>
        <v>NULL</v>
      </c>
      <c r="J522" t="str">
        <f t="shared" si="19"/>
        <v>NULL</v>
      </c>
      <c r="K522" t="str">
        <f>Instructions!M529</f>
        <v>Added via SMSS</v>
      </c>
      <c r="L522" t="str">
        <f t="shared" si="15"/>
        <v>NULL</v>
      </c>
    </row>
    <row r="523" spans="1:12" x14ac:dyDescent="0.25">
      <c r="A523" t="str" cm="1">
        <f t="array" ref="A523">_xlfn.CONCAT(Instructions!C530,Instructions!A530,"_",TEXT(Instructions!B530,"YYYYMMDD"),"_1_",INDEX(Table1[], MATCH(1,(Table1[Estuary]=Instructions!C530)*(Table1[StationNumber]=Instructions!D530)*(Instructions!B530&gt;Table1[StartDate])*(Instructions!B530&lt;Table1[EndDate]),0),1),"_1_",Instructions!E530,"_",Instructions!F530)</f>
        <v>TBSRVY_20190924_1_0291_1_011_022</v>
      </c>
      <c r="B523" t="str" cm="1">
        <f t="array" ref="B523">_xlfn.CONCAT(Instructions!C530,Instructions!A530,"_",TEXT(Instructions!B530,"YYYYMMDD"),"_1_",INDEX(Table1[], MATCH(1,(Table1[Estuary]=Instructions!C530)*(Table1[StationNumber]=Instructions!D530)*(Instructions!B530&gt;Table1[StartDate])*(Instructions!B530&lt;Table1[EndDate]),0),1),"_1_",Instructions!E530)</f>
        <v>TBSRVY_20190924_1_0291_1_011</v>
      </c>
      <c r="C523">
        <f>Instructions!G530</f>
        <v>26</v>
      </c>
      <c r="D523" t="str">
        <f>IF(ISBLANK(Instructions!H530),"",Instructions!H530)</f>
        <v>Entered</v>
      </c>
      <c r="E523" s="1">
        <f>IF(ISBLANK(Instructions!I530),"",Instructions!I530)</f>
        <v>45646</v>
      </c>
      <c r="F523" t="str">
        <f>IF(ISBLANK(Instructions!J530),"",Instructions!J530)</f>
        <v>Erica Williams</v>
      </c>
      <c r="G523" s="1" t="str">
        <f>IF(ISBLANK(Instructions!K530),"",Instructions!K530)</f>
        <v/>
      </c>
      <c r="H523" t="str">
        <f>IF(ISBLANK(Instructions!L530),"",Instructions!L530)</f>
        <v/>
      </c>
      <c r="I523" t="str">
        <f t="shared" si="19"/>
        <v>NULL</v>
      </c>
      <c r="J523" t="str">
        <f t="shared" si="19"/>
        <v>NULL</v>
      </c>
      <c r="K523" t="str">
        <f>Instructions!M530</f>
        <v>Added via SMSS</v>
      </c>
      <c r="L523" t="str">
        <f t="shared" si="15"/>
        <v>NULL</v>
      </c>
    </row>
    <row r="524" spans="1:12" x14ac:dyDescent="0.25">
      <c r="A524" t="str" cm="1">
        <f t="array" ref="A524">_xlfn.CONCAT(Instructions!C531,Instructions!A531,"_",TEXT(Instructions!B531,"YYYYMMDD"),"_1_",INDEX(Table1[], MATCH(1,(Table1[Estuary]=Instructions!C531)*(Table1[StationNumber]=Instructions!D531)*(Instructions!B531&gt;Table1[StartDate])*(Instructions!B531&lt;Table1[EndDate]),0),1),"_1_",Instructions!E531,"_",Instructions!F531)</f>
        <v>TBSRVY_20190924_1_0291_1_011_023</v>
      </c>
      <c r="B524" t="str" cm="1">
        <f t="array" ref="B524">_xlfn.CONCAT(Instructions!C531,Instructions!A531,"_",TEXT(Instructions!B531,"YYYYMMDD"),"_1_",INDEX(Table1[], MATCH(1,(Table1[Estuary]=Instructions!C531)*(Table1[StationNumber]=Instructions!D531)*(Instructions!B531&gt;Table1[StartDate])*(Instructions!B531&lt;Table1[EndDate]),0),1),"_1_",Instructions!E531)</f>
        <v>TBSRVY_20190924_1_0291_1_011</v>
      </c>
      <c r="C524">
        <f>Instructions!G531</f>
        <v>12</v>
      </c>
      <c r="D524" t="str">
        <f>IF(ISBLANK(Instructions!H531),"",Instructions!H531)</f>
        <v>Entered</v>
      </c>
      <c r="E524" s="1">
        <f>IF(ISBLANK(Instructions!I531),"",Instructions!I531)</f>
        <v>45646</v>
      </c>
      <c r="F524" t="str">
        <f>IF(ISBLANK(Instructions!J531),"",Instructions!J531)</f>
        <v>Erica Williams</v>
      </c>
      <c r="G524" s="1" t="str">
        <f>IF(ISBLANK(Instructions!K531),"",Instructions!K531)</f>
        <v/>
      </c>
      <c r="H524" t="str">
        <f>IF(ISBLANK(Instructions!L531),"",Instructions!L531)</f>
        <v/>
      </c>
      <c r="I524" t="str">
        <f t="shared" si="19"/>
        <v>NULL</v>
      </c>
      <c r="J524" t="str">
        <f t="shared" si="19"/>
        <v>NULL</v>
      </c>
      <c r="K524" t="str">
        <f>Instructions!M531</f>
        <v>Added via SMSS</v>
      </c>
      <c r="L524" t="str">
        <f t="shared" si="15"/>
        <v>NULL</v>
      </c>
    </row>
    <row r="525" spans="1:12" x14ac:dyDescent="0.25">
      <c r="A525" t="str" cm="1">
        <f t="array" ref="A525">_xlfn.CONCAT(Instructions!C532,Instructions!A532,"_",TEXT(Instructions!B532,"YYYYMMDD"),"_1_",INDEX(Table1[], MATCH(1,(Table1[Estuary]=Instructions!C532)*(Table1[StationNumber]=Instructions!D532)*(Instructions!B532&gt;Table1[StartDate])*(Instructions!B532&lt;Table1[EndDate]),0),1),"_1_",Instructions!E532,"_",Instructions!F532)</f>
        <v>TBSRVY_20190924_1_0291_1_011_024</v>
      </c>
      <c r="B525" t="str" cm="1">
        <f t="array" ref="B525">_xlfn.CONCAT(Instructions!C532,Instructions!A532,"_",TEXT(Instructions!B532,"YYYYMMDD"),"_1_",INDEX(Table1[], MATCH(1,(Table1[Estuary]=Instructions!C532)*(Table1[StationNumber]=Instructions!D532)*(Instructions!B532&gt;Table1[StartDate])*(Instructions!B532&lt;Table1[EndDate]),0),1),"_1_",Instructions!E532)</f>
        <v>TBSRVY_20190924_1_0291_1_011</v>
      </c>
      <c r="C525">
        <f>Instructions!G532</f>
        <v>9</v>
      </c>
      <c r="D525" t="str">
        <f>IF(ISBLANK(Instructions!H532),"",Instructions!H532)</f>
        <v>Entered</v>
      </c>
      <c r="E525" s="1">
        <f>IF(ISBLANK(Instructions!I532),"",Instructions!I532)</f>
        <v>45646</v>
      </c>
      <c r="F525" t="str">
        <f>IF(ISBLANK(Instructions!J532),"",Instructions!J532)</f>
        <v>Erica Williams</v>
      </c>
      <c r="G525" s="1" t="str">
        <f>IF(ISBLANK(Instructions!K532),"",Instructions!K532)</f>
        <v/>
      </c>
      <c r="H525" t="str">
        <f>IF(ISBLANK(Instructions!L532),"",Instructions!L532)</f>
        <v/>
      </c>
      <c r="I525" t="str">
        <f t="shared" si="19"/>
        <v>NULL</v>
      </c>
      <c r="J525" t="str">
        <f t="shared" si="19"/>
        <v>NULL</v>
      </c>
      <c r="K525" t="str">
        <f>Instructions!M532</f>
        <v>Added via SMSS</v>
      </c>
      <c r="L525" t="str">
        <f t="shared" si="15"/>
        <v>NULL</v>
      </c>
    </row>
    <row r="526" spans="1:12" x14ac:dyDescent="0.25">
      <c r="A526" t="str" cm="1">
        <f t="array" ref="A526">_xlfn.CONCAT(Instructions!C533,Instructions!A533,"_",TEXT(Instructions!B533,"YYYYMMDD"),"_1_",INDEX(Table1[], MATCH(1,(Table1[Estuary]=Instructions!C533)*(Table1[StationNumber]=Instructions!D533)*(Instructions!B533&gt;Table1[StartDate])*(Instructions!B533&lt;Table1[EndDate]),0),1),"_1_",Instructions!E533,"_",Instructions!F533)</f>
        <v>TBSRVY_20190924_1_0291_1_011_025</v>
      </c>
      <c r="B526" t="str" cm="1">
        <f t="array" ref="B526">_xlfn.CONCAT(Instructions!C533,Instructions!A533,"_",TEXT(Instructions!B533,"YYYYMMDD"),"_1_",INDEX(Table1[], MATCH(1,(Table1[Estuary]=Instructions!C533)*(Table1[StationNumber]=Instructions!D533)*(Instructions!B533&gt;Table1[StartDate])*(Instructions!B533&lt;Table1[EndDate]),0),1),"_1_",Instructions!E533)</f>
        <v>TBSRVY_20190924_1_0291_1_011</v>
      </c>
      <c r="C526">
        <f>Instructions!G533</f>
        <v>4</v>
      </c>
      <c r="D526" t="str">
        <f>IF(ISBLANK(Instructions!H533),"",Instructions!H533)</f>
        <v>Entered</v>
      </c>
      <c r="E526" s="1">
        <f>IF(ISBLANK(Instructions!I533),"",Instructions!I533)</f>
        <v>45646</v>
      </c>
      <c r="F526" t="str">
        <f>IF(ISBLANK(Instructions!J533),"",Instructions!J533)</f>
        <v>Erica Williams</v>
      </c>
      <c r="G526" s="1" t="str">
        <f>IF(ISBLANK(Instructions!K533),"",Instructions!K533)</f>
        <v/>
      </c>
      <c r="H526" t="str">
        <f>IF(ISBLANK(Instructions!L533),"",Instructions!L533)</f>
        <v/>
      </c>
      <c r="I526" t="str">
        <f t="shared" si="19"/>
        <v>NULL</v>
      </c>
      <c r="J526" t="str">
        <f t="shared" si="19"/>
        <v>NULL</v>
      </c>
      <c r="K526" t="str">
        <f>Instructions!M533</f>
        <v>Added via SMSS</v>
      </c>
      <c r="L526" t="str">
        <f t="shared" si="15"/>
        <v>NULL</v>
      </c>
    </row>
    <row r="527" spans="1:12" x14ac:dyDescent="0.25">
      <c r="A527" t="str" cm="1">
        <f t="array" ref="A527">_xlfn.CONCAT(Instructions!C534,Instructions!A534,"_",TEXT(Instructions!B534,"YYYYMMDD"),"_1_",INDEX(Table1[], MATCH(1,(Table1[Estuary]=Instructions!C534)*(Table1[StationNumber]=Instructions!D534)*(Instructions!B534&gt;Table1[StartDate])*(Instructions!B534&lt;Table1[EndDate]),0),1),"_1_",Instructions!E534,"_",Instructions!F534)</f>
        <v>TBSRVY_20190924_1_0291_1_011_026</v>
      </c>
      <c r="B527" t="str" cm="1">
        <f t="array" ref="B527">_xlfn.CONCAT(Instructions!C534,Instructions!A534,"_",TEXT(Instructions!B534,"YYYYMMDD"),"_1_",INDEX(Table1[], MATCH(1,(Table1[Estuary]=Instructions!C534)*(Table1[StationNumber]=Instructions!D534)*(Instructions!B534&gt;Table1[StartDate])*(Instructions!B534&lt;Table1[EndDate]),0),1),"_1_",Instructions!E534)</f>
        <v>TBSRVY_20190924_1_0291_1_011</v>
      </c>
      <c r="C527">
        <f>Instructions!G534</f>
        <v>8</v>
      </c>
      <c r="D527" t="str">
        <f>IF(ISBLANK(Instructions!H534),"",Instructions!H534)</f>
        <v>Entered</v>
      </c>
      <c r="E527" s="1">
        <f>IF(ISBLANK(Instructions!I534),"",Instructions!I534)</f>
        <v>45646</v>
      </c>
      <c r="F527" t="str">
        <f>IF(ISBLANK(Instructions!J534),"",Instructions!J534)</f>
        <v>Erica Williams</v>
      </c>
      <c r="G527" s="1" t="str">
        <f>IF(ISBLANK(Instructions!K534),"",Instructions!K534)</f>
        <v/>
      </c>
      <c r="H527" t="str">
        <f>IF(ISBLANK(Instructions!L534),"",Instructions!L534)</f>
        <v/>
      </c>
      <c r="I527" t="str">
        <f t="shared" si="19"/>
        <v>NULL</v>
      </c>
      <c r="J527" t="str">
        <f t="shared" si="19"/>
        <v>NULL</v>
      </c>
      <c r="K527" t="str">
        <f>Instructions!M534</f>
        <v>Added via SMSS</v>
      </c>
      <c r="L527" t="str">
        <f t="shared" si="15"/>
        <v>NULL</v>
      </c>
    </row>
    <row r="528" spans="1:12" x14ac:dyDescent="0.25">
      <c r="A528" t="str" cm="1">
        <f t="array" ref="A528">_xlfn.CONCAT(Instructions!C535,Instructions!A535,"_",TEXT(Instructions!B535,"YYYYMMDD"),"_1_",INDEX(Table1[], MATCH(1,(Table1[Estuary]=Instructions!C535)*(Table1[StationNumber]=Instructions!D535)*(Instructions!B535&gt;Table1[StartDate])*(Instructions!B535&lt;Table1[EndDate]),0),1),"_1_",Instructions!E535,"_",Instructions!F535)</f>
        <v>TBSRVY_20190924_1_0291_1_011_027</v>
      </c>
      <c r="B528" t="str" cm="1">
        <f t="array" ref="B528">_xlfn.CONCAT(Instructions!C535,Instructions!A535,"_",TEXT(Instructions!B535,"YYYYMMDD"),"_1_",INDEX(Table1[], MATCH(1,(Table1[Estuary]=Instructions!C535)*(Table1[StationNumber]=Instructions!D535)*(Instructions!B535&gt;Table1[StartDate])*(Instructions!B535&lt;Table1[EndDate]),0),1),"_1_",Instructions!E535)</f>
        <v>TBSRVY_20190924_1_0291_1_011</v>
      </c>
      <c r="C528">
        <f>Instructions!G535</f>
        <v>10</v>
      </c>
      <c r="D528" t="str">
        <f>IF(ISBLANK(Instructions!H535),"",Instructions!H535)</f>
        <v>Entered</v>
      </c>
      <c r="E528" s="1">
        <f>IF(ISBLANK(Instructions!I535),"",Instructions!I535)</f>
        <v>45646</v>
      </c>
      <c r="F528" t="str">
        <f>IF(ISBLANK(Instructions!J535),"",Instructions!J535)</f>
        <v>Erica Williams</v>
      </c>
      <c r="G528" s="1" t="str">
        <f>IF(ISBLANK(Instructions!K535),"",Instructions!K535)</f>
        <v/>
      </c>
      <c r="H528" t="str">
        <f>IF(ISBLANK(Instructions!L535),"",Instructions!L535)</f>
        <v/>
      </c>
      <c r="I528" t="str">
        <f t="shared" si="19"/>
        <v>NULL</v>
      </c>
      <c r="J528" t="str">
        <f t="shared" si="19"/>
        <v>NULL</v>
      </c>
      <c r="K528" t="str">
        <f>Instructions!M535</f>
        <v>Added via SMSS</v>
      </c>
      <c r="L528" t="str">
        <f t="shared" si="15"/>
        <v>NULL</v>
      </c>
    </row>
    <row r="529" spans="1:12" x14ac:dyDescent="0.25">
      <c r="A529" t="str" cm="1">
        <f t="array" ref="A529">_xlfn.CONCAT(Instructions!C536,Instructions!A536,"_",TEXT(Instructions!B536,"YYYYMMDD"),"_1_",INDEX(Table1[], MATCH(1,(Table1[Estuary]=Instructions!C536)*(Table1[StationNumber]=Instructions!D536)*(Instructions!B536&gt;Table1[StartDate])*(Instructions!B536&lt;Table1[EndDate]),0),1),"_1_",Instructions!E536,"_",Instructions!F536)</f>
        <v>TBSRVY_20190924_1_0291_1_011_028</v>
      </c>
      <c r="B529" t="str" cm="1">
        <f t="array" ref="B529">_xlfn.CONCAT(Instructions!C536,Instructions!A536,"_",TEXT(Instructions!B536,"YYYYMMDD"),"_1_",INDEX(Table1[], MATCH(1,(Table1[Estuary]=Instructions!C536)*(Table1[StationNumber]=Instructions!D536)*(Instructions!B536&gt;Table1[StartDate])*(Instructions!B536&lt;Table1[EndDate]),0),1),"_1_",Instructions!E536)</f>
        <v>TBSRVY_20190924_1_0291_1_011</v>
      </c>
      <c r="C529">
        <f>Instructions!G536</f>
        <v>20</v>
      </c>
      <c r="D529" t="str">
        <f>IF(ISBLANK(Instructions!H536),"",Instructions!H536)</f>
        <v>Entered</v>
      </c>
      <c r="E529" s="1">
        <f>IF(ISBLANK(Instructions!I536),"",Instructions!I536)</f>
        <v>45646</v>
      </c>
      <c r="F529" t="str">
        <f>IF(ISBLANK(Instructions!J536),"",Instructions!J536)</f>
        <v>Erica Williams</v>
      </c>
      <c r="G529" s="1" t="str">
        <f>IF(ISBLANK(Instructions!K536),"",Instructions!K536)</f>
        <v/>
      </c>
      <c r="H529" t="str">
        <f>IF(ISBLANK(Instructions!L536),"",Instructions!L536)</f>
        <v/>
      </c>
      <c r="I529" t="str">
        <f t="shared" si="19"/>
        <v>NULL</v>
      </c>
      <c r="J529" t="str">
        <f t="shared" si="19"/>
        <v>NULL</v>
      </c>
      <c r="K529" t="str">
        <f>Instructions!M536</f>
        <v>Added via SMSS</v>
      </c>
      <c r="L529" t="str">
        <f t="shared" si="15"/>
        <v>NULL</v>
      </c>
    </row>
    <row r="530" spans="1:12" x14ac:dyDescent="0.25">
      <c r="A530" t="str" cm="1">
        <f t="array" ref="A530">_xlfn.CONCAT(Instructions!C537,Instructions!A537,"_",TEXT(Instructions!B537,"YYYYMMDD"),"_1_",INDEX(Table1[], MATCH(1,(Table1[Estuary]=Instructions!C537)*(Table1[StationNumber]=Instructions!D537)*(Instructions!B537&gt;Table1[StartDate])*(Instructions!B537&lt;Table1[EndDate]),0),1),"_1_",Instructions!E537,"_",Instructions!F537)</f>
        <v>TBSRVY_20190924_1_0291_1_011_029</v>
      </c>
      <c r="B530" t="str" cm="1">
        <f t="array" ref="B530">_xlfn.CONCAT(Instructions!C537,Instructions!A537,"_",TEXT(Instructions!B537,"YYYYMMDD"),"_1_",INDEX(Table1[], MATCH(1,(Table1[Estuary]=Instructions!C537)*(Table1[StationNumber]=Instructions!D537)*(Instructions!B537&gt;Table1[StartDate])*(Instructions!B537&lt;Table1[EndDate]),0),1),"_1_",Instructions!E537)</f>
        <v>TBSRVY_20190924_1_0291_1_011</v>
      </c>
      <c r="C530">
        <f>Instructions!G537</f>
        <v>10</v>
      </c>
      <c r="D530" t="str">
        <f>IF(ISBLANK(Instructions!H537),"",Instructions!H537)</f>
        <v>Entered</v>
      </c>
      <c r="E530" s="1">
        <f>IF(ISBLANK(Instructions!I537),"",Instructions!I537)</f>
        <v>45646</v>
      </c>
      <c r="F530" t="str">
        <f>IF(ISBLANK(Instructions!J537),"",Instructions!J537)</f>
        <v>Erica Williams</v>
      </c>
      <c r="G530" s="1" t="str">
        <f>IF(ISBLANK(Instructions!K537),"",Instructions!K537)</f>
        <v/>
      </c>
      <c r="H530" t="str">
        <f>IF(ISBLANK(Instructions!L537),"",Instructions!L537)</f>
        <v/>
      </c>
      <c r="I530" t="str">
        <f t="shared" si="19"/>
        <v>NULL</v>
      </c>
      <c r="J530" t="str">
        <f t="shared" si="19"/>
        <v>NULL</v>
      </c>
      <c r="K530" t="str">
        <f>Instructions!M537</f>
        <v>Added via SMSS</v>
      </c>
      <c r="L530" t="str">
        <f t="shared" si="15"/>
        <v>NULL</v>
      </c>
    </row>
    <row r="531" spans="1:12" x14ac:dyDescent="0.25">
      <c r="A531" t="str" cm="1">
        <f t="array" ref="A531">_xlfn.CONCAT(Instructions!C538,Instructions!A538,"_",TEXT(Instructions!B538,"YYYYMMDD"),"_1_",INDEX(Table1[], MATCH(1,(Table1[Estuary]=Instructions!C538)*(Table1[StationNumber]=Instructions!D538)*(Instructions!B538&gt;Table1[StartDate])*(Instructions!B538&lt;Table1[EndDate]),0),1),"_1_",Instructions!E538,"_",Instructions!F538)</f>
        <v>TBSRVY_20190924_1_0291_1_011_030</v>
      </c>
      <c r="B531" t="str" cm="1">
        <f t="array" ref="B531">_xlfn.CONCAT(Instructions!C538,Instructions!A538,"_",TEXT(Instructions!B538,"YYYYMMDD"),"_1_",INDEX(Table1[], MATCH(1,(Table1[Estuary]=Instructions!C538)*(Table1[StationNumber]=Instructions!D538)*(Instructions!B538&gt;Table1[StartDate])*(Instructions!B538&lt;Table1[EndDate]),0),1),"_1_",Instructions!E538)</f>
        <v>TBSRVY_20190924_1_0291_1_011</v>
      </c>
      <c r="C531">
        <f>Instructions!G538</f>
        <v>30</v>
      </c>
      <c r="D531" t="str">
        <f>IF(ISBLANK(Instructions!H538),"",Instructions!H538)</f>
        <v>Entered</v>
      </c>
      <c r="E531" s="1">
        <f>IF(ISBLANK(Instructions!I538),"",Instructions!I538)</f>
        <v>45646</v>
      </c>
      <c r="F531" t="str">
        <f>IF(ISBLANK(Instructions!J538),"",Instructions!J538)</f>
        <v>Erica Williams</v>
      </c>
      <c r="G531" s="1" t="str">
        <f>IF(ISBLANK(Instructions!K538),"",Instructions!K538)</f>
        <v/>
      </c>
      <c r="H531" t="str">
        <f>IF(ISBLANK(Instructions!L538),"",Instructions!L538)</f>
        <v/>
      </c>
      <c r="I531" t="str">
        <f t="shared" si="19"/>
        <v>NULL</v>
      </c>
      <c r="J531" t="str">
        <f t="shared" si="19"/>
        <v>NULL</v>
      </c>
      <c r="K531" t="str">
        <f>Instructions!M538</f>
        <v>Added via SMSS</v>
      </c>
      <c r="L531" t="str">
        <f t="shared" si="15"/>
        <v>NULL</v>
      </c>
    </row>
    <row r="532" spans="1:12" x14ac:dyDescent="0.25">
      <c r="A532" t="str" cm="1">
        <f t="array" ref="A532">_xlfn.CONCAT(Instructions!C539,Instructions!A539,"_",TEXT(Instructions!B539,"YYYYMMDD"),"_1_",INDEX(Table1[], MATCH(1,(Table1[Estuary]=Instructions!C539)*(Table1[StationNumber]=Instructions!D539)*(Instructions!B539&gt;Table1[StartDate])*(Instructions!B539&lt;Table1[EndDate]),0),1),"_1_",Instructions!E539,"_",Instructions!F539)</f>
        <v>TBSRVY_20190924_1_0291_1_011_031</v>
      </c>
      <c r="B532" t="str" cm="1">
        <f t="array" ref="B532">_xlfn.CONCAT(Instructions!C539,Instructions!A539,"_",TEXT(Instructions!B539,"YYYYMMDD"),"_1_",INDEX(Table1[], MATCH(1,(Table1[Estuary]=Instructions!C539)*(Table1[StationNumber]=Instructions!D539)*(Instructions!B539&gt;Table1[StartDate])*(Instructions!B539&lt;Table1[EndDate]),0),1),"_1_",Instructions!E539)</f>
        <v>TBSRVY_20190924_1_0291_1_011</v>
      </c>
      <c r="C532">
        <f>Instructions!G539</f>
        <v>9</v>
      </c>
      <c r="D532" t="str">
        <f>IF(ISBLANK(Instructions!H539),"",Instructions!H539)</f>
        <v>Entered</v>
      </c>
      <c r="E532" s="1">
        <f>IF(ISBLANK(Instructions!I539),"",Instructions!I539)</f>
        <v>45646</v>
      </c>
      <c r="F532" t="str">
        <f>IF(ISBLANK(Instructions!J539),"",Instructions!J539)</f>
        <v>Erica Williams</v>
      </c>
      <c r="G532" s="1" t="str">
        <f>IF(ISBLANK(Instructions!K539),"",Instructions!K539)</f>
        <v/>
      </c>
      <c r="H532" t="str">
        <f>IF(ISBLANK(Instructions!L539),"",Instructions!L539)</f>
        <v/>
      </c>
      <c r="I532" t="str">
        <f t="shared" si="19"/>
        <v>NULL</v>
      </c>
      <c r="J532" t="str">
        <f t="shared" si="19"/>
        <v>NULL</v>
      </c>
      <c r="K532" t="str">
        <f>Instructions!M539</f>
        <v>Added via SMSS</v>
      </c>
      <c r="L532" t="str">
        <f t="shared" si="15"/>
        <v>NULL</v>
      </c>
    </row>
    <row r="533" spans="1:12" x14ac:dyDescent="0.25">
      <c r="A533" t="str" cm="1">
        <f t="array" ref="A533">_xlfn.CONCAT(Instructions!C540,Instructions!A540,"_",TEXT(Instructions!B540,"YYYYMMDD"),"_1_",INDEX(Table1[], MATCH(1,(Table1[Estuary]=Instructions!C540)*(Table1[StationNumber]=Instructions!D540)*(Instructions!B540&gt;Table1[StartDate])*(Instructions!B540&lt;Table1[EndDate]),0),1),"_1_",Instructions!E540,"_",Instructions!F540)</f>
        <v>TBSRVY_20190924_1_0291_1_011_032</v>
      </c>
      <c r="B533" t="str" cm="1">
        <f t="array" ref="B533">_xlfn.CONCAT(Instructions!C540,Instructions!A540,"_",TEXT(Instructions!B540,"YYYYMMDD"),"_1_",INDEX(Table1[], MATCH(1,(Table1[Estuary]=Instructions!C540)*(Table1[StationNumber]=Instructions!D540)*(Instructions!B540&gt;Table1[StartDate])*(Instructions!B540&lt;Table1[EndDate]),0),1),"_1_",Instructions!E540)</f>
        <v>TBSRVY_20190924_1_0291_1_011</v>
      </c>
      <c r="C533">
        <f>Instructions!G540</f>
        <v>36</v>
      </c>
      <c r="D533" t="str">
        <f>IF(ISBLANK(Instructions!H540),"",Instructions!H540)</f>
        <v>Entered</v>
      </c>
      <c r="E533" s="1">
        <f>IF(ISBLANK(Instructions!I540),"",Instructions!I540)</f>
        <v>45646</v>
      </c>
      <c r="F533" t="str">
        <f>IF(ISBLANK(Instructions!J540),"",Instructions!J540)</f>
        <v>Erica Williams</v>
      </c>
      <c r="G533" s="1" t="str">
        <f>IF(ISBLANK(Instructions!K540),"",Instructions!K540)</f>
        <v/>
      </c>
      <c r="H533" t="str">
        <f>IF(ISBLANK(Instructions!L540),"",Instructions!L540)</f>
        <v/>
      </c>
      <c r="I533" t="str">
        <f t="shared" si="19"/>
        <v>NULL</v>
      </c>
      <c r="J533" t="str">
        <f t="shared" si="19"/>
        <v>NULL</v>
      </c>
      <c r="K533" t="str">
        <f>Instructions!M540</f>
        <v>Added via SMSS</v>
      </c>
      <c r="L533" t="str">
        <f t="shared" si="15"/>
        <v>NULL</v>
      </c>
    </row>
    <row r="534" spans="1:12" x14ac:dyDescent="0.25">
      <c r="A534" t="str" cm="1">
        <f t="array" ref="A534">_xlfn.CONCAT(Instructions!C541,Instructions!A541,"_",TEXT(Instructions!B541,"YYYYMMDD"),"_1_",INDEX(Table1[], MATCH(1,(Table1[Estuary]=Instructions!C541)*(Table1[StationNumber]=Instructions!D541)*(Instructions!B541&gt;Table1[StartDate])*(Instructions!B541&lt;Table1[EndDate]),0),1),"_1_",Instructions!E541,"_",Instructions!F541)</f>
        <v>TBSRVY_20190924_1_0291_1_011_033</v>
      </c>
      <c r="B534" t="str" cm="1">
        <f t="array" ref="B534">_xlfn.CONCAT(Instructions!C541,Instructions!A541,"_",TEXT(Instructions!B541,"YYYYMMDD"),"_1_",INDEX(Table1[], MATCH(1,(Table1[Estuary]=Instructions!C541)*(Table1[StationNumber]=Instructions!D541)*(Instructions!B541&gt;Table1[StartDate])*(Instructions!B541&lt;Table1[EndDate]),0),1),"_1_",Instructions!E541)</f>
        <v>TBSRVY_20190924_1_0291_1_011</v>
      </c>
      <c r="C534">
        <f>Instructions!G541</f>
        <v>23</v>
      </c>
      <c r="D534" t="str">
        <f>IF(ISBLANK(Instructions!H541),"",Instructions!H541)</f>
        <v>Entered</v>
      </c>
      <c r="E534" s="1">
        <f>IF(ISBLANK(Instructions!I541),"",Instructions!I541)</f>
        <v>45646</v>
      </c>
      <c r="F534" t="str">
        <f>IF(ISBLANK(Instructions!J541),"",Instructions!J541)</f>
        <v>Erica Williams</v>
      </c>
      <c r="G534" s="1" t="str">
        <f>IF(ISBLANK(Instructions!K541),"",Instructions!K541)</f>
        <v/>
      </c>
      <c r="H534" t="str">
        <f>IF(ISBLANK(Instructions!L541),"",Instructions!L541)</f>
        <v/>
      </c>
      <c r="I534" t="str">
        <f t="shared" si="19"/>
        <v>NULL</v>
      </c>
      <c r="J534" t="str">
        <f t="shared" si="19"/>
        <v>NULL</v>
      </c>
      <c r="K534" t="str">
        <f>Instructions!M541</f>
        <v>Added via SMSS</v>
      </c>
      <c r="L534" t="str">
        <f t="shared" si="15"/>
        <v>NULL</v>
      </c>
    </row>
    <row r="535" spans="1:12" x14ac:dyDescent="0.25">
      <c r="A535" t="str" cm="1">
        <f t="array" ref="A535">_xlfn.CONCAT(Instructions!C542,Instructions!A542,"_",TEXT(Instructions!B542,"YYYYMMDD"),"_1_",INDEX(Table1[], MATCH(1,(Table1[Estuary]=Instructions!C542)*(Table1[StationNumber]=Instructions!D542)*(Instructions!B542&gt;Table1[StartDate])*(Instructions!B542&lt;Table1[EndDate]),0),1),"_1_",Instructions!E542,"_",Instructions!F542)</f>
        <v>TBSRVY_20190924_1_0291_1_011_034</v>
      </c>
      <c r="B535" t="str" cm="1">
        <f t="array" ref="B535">_xlfn.CONCAT(Instructions!C542,Instructions!A542,"_",TEXT(Instructions!B542,"YYYYMMDD"),"_1_",INDEX(Table1[], MATCH(1,(Table1[Estuary]=Instructions!C542)*(Table1[StationNumber]=Instructions!D542)*(Instructions!B542&gt;Table1[StartDate])*(Instructions!B542&lt;Table1[EndDate]),0),1),"_1_",Instructions!E542)</f>
        <v>TBSRVY_20190924_1_0291_1_011</v>
      </c>
      <c r="C535">
        <f>Instructions!G542</f>
        <v>23</v>
      </c>
      <c r="D535" t="str">
        <f>IF(ISBLANK(Instructions!H542),"",Instructions!H542)</f>
        <v>Entered</v>
      </c>
      <c r="E535" s="1">
        <f>IF(ISBLANK(Instructions!I542),"",Instructions!I542)</f>
        <v>45646</v>
      </c>
      <c r="F535" t="str">
        <f>IF(ISBLANK(Instructions!J542),"",Instructions!J542)</f>
        <v>Erica Williams</v>
      </c>
      <c r="G535" s="1" t="str">
        <f>IF(ISBLANK(Instructions!K542),"",Instructions!K542)</f>
        <v/>
      </c>
      <c r="H535" t="str">
        <f>IF(ISBLANK(Instructions!L542),"",Instructions!L542)</f>
        <v/>
      </c>
      <c r="I535" t="str">
        <f t="shared" si="19"/>
        <v>NULL</v>
      </c>
      <c r="J535" t="str">
        <f t="shared" si="19"/>
        <v>NULL</v>
      </c>
      <c r="K535" t="str">
        <f>Instructions!M542</f>
        <v>Added via SMSS</v>
      </c>
      <c r="L535" t="str">
        <f t="shared" si="15"/>
        <v>NULL</v>
      </c>
    </row>
    <row r="536" spans="1:12" x14ac:dyDescent="0.25">
      <c r="A536" t="str" cm="1">
        <f t="array" ref="A536">_xlfn.CONCAT(Instructions!C543,Instructions!A543,"_",TEXT(Instructions!B543,"YYYYMMDD"),"_1_",INDEX(Table1[], MATCH(1,(Table1[Estuary]=Instructions!C543)*(Table1[StationNumber]=Instructions!D543)*(Instructions!B543&gt;Table1[StartDate])*(Instructions!B543&lt;Table1[EndDate]),0),1),"_1_",Instructions!E543,"_",Instructions!F543)</f>
        <v>TBSRVY_20190924_1_0291_1_011_035</v>
      </c>
      <c r="B536" t="str" cm="1">
        <f t="array" ref="B536">_xlfn.CONCAT(Instructions!C543,Instructions!A543,"_",TEXT(Instructions!B543,"YYYYMMDD"),"_1_",INDEX(Table1[], MATCH(1,(Table1[Estuary]=Instructions!C543)*(Table1[StationNumber]=Instructions!D543)*(Instructions!B543&gt;Table1[StartDate])*(Instructions!B543&lt;Table1[EndDate]),0),1),"_1_",Instructions!E543)</f>
        <v>TBSRVY_20190924_1_0291_1_011</v>
      </c>
      <c r="C536">
        <f>Instructions!G543</f>
        <v>22</v>
      </c>
      <c r="D536" t="str">
        <f>IF(ISBLANK(Instructions!H543),"",Instructions!H543)</f>
        <v>Entered</v>
      </c>
      <c r="E536" s="1">
        <f>IF(ISBLANK(Instructions!I543),"",Instructions!I543)</f>
        <v>45646</v>
      </c>
      <c r="F536" t="str">
        <f>IF(ISBLANK(Instructions!J543),"",Instructions!J543)</f>
        <v>Erica Williams</v>
      </c>
      <c r="G536" s="1" t="str">
        <f>IF(ISBLANK(Instructions!K543),"",Instructions!K543)</f>
        <v/>
      </c>
      <c r="H536" t="str">
        <f>IF(ISBLANK(Instructions!L543),"",Instructions!L543)</f>
        <v/>
      </c>
      <c r="I536" t="str">
        <f t="shared" si="19"/>
        <v>NULL</v>
      </c>
      <c r="J536" t="str">
        <f t="shared" si="19"/>
        <v>NULL</v>
      </c>
      <c r="K536" t="str">
        <f>Instructions!M543</f>
        <v>Added via SMSS</v>
      </c>
      <c r="L536" t="str">
        <f t="shared" si="15"/>
        <v>NULL</v>
      </c>
    </row>
    <row r="537" spans="1:12" x14ac:dyDescent="0.25">
      <c r="A537" t="str" cm="1">
        <f t="array" ref="A537">_xlfn.CONCAT(Instructions!C544,Instructions!A544,"_",TEXT(Instructions!B544,"YYYYMMDD"),"_1_",INDEX(Table1[], MATCH(1,(Table1[Estuary]=Instructions!C544)*(Table1[StationNumber]=Instructions!D544)*(Instructions!B544&gt;Table1[StartDate])*(Instructions!B544&lt;Table1[EndDate]),0),1),"_1_",Instructions!E544,"_",Instructions!F544)</f>
        <v>TBSRVY_20190924_1_0291_1_011_036</v>
      </c>
      <c r="B537" t="str" cm="1">
        <f t="array" ref="B537">_xlfn.CONCAT(Instructions!C544,Instructions!A544,"_",TEXT(Instructions!B544,"YYYYMMDD"),"_1_",INDEX(Table1[], MATCH(1,(Table1[Estuary]=Instructions!C544)*(Table1[StationNumber]=Instructions!D544)*(Instructions!B544&gt;Table1[StartDate])*(Instructions!B544&lt;Table1[EndDate]),0),1),"_1_",Instructions!E544)</f>
        <v>TBSRVY_20190924_1_0291_1_011</v>
      </c>
      <c r="C537">
        <f>Instructions!G544</f>
        <v>25</v>
      </c>
      <c r="D537" t="str">
        <f>IF(ISBLANK(Instructions!H544),"",Instructions!H544)</f>
        <v>Entered</v>
      </c>
      <c r="E537" s="1">
        <f>IF(ISBLANK(Instructions!I544),"",Instructions!I544)</f>
        <v>45646</v>
      </c>
      <c r="F537" t="str">
        <f>IF(ISBLANK(Instructions!J544),"",Instructions!J544)</f>
        <v>Erica Williams</v>
      </c>
      <c r="G537" s="1" t="str">
        <f>IF(ISBLANK(Instructions!K544),"",Instructions!K544)</f>
        <v/>
      </c>
      <c r="H537" t="str">
        <f>IF(ISBLANK(Instructions!L544),"",Instructions!L544)</f>
        <v/>
      </c>
      <c r="I537" t="str">
        <f t="shared" si="19"/>
        <v>NULL</v>
      </c>
      <c r="J537" t="str">
        <f t="shared" si="19"/>
        <v>NULL</v>
      </c>
      <c r="K537" t="str">
        <f>Instructions!M544</f>
        <v>Added via SMSS</v>
      </c>
      <c r="L537" t="str">
        <f t="shared" si="15"/>
        <v>NULL</v>
      </c>
    </row>
    <row r="538" spans="1:12" x14ac:dyDescent="0.25">
      <c r="A538" t="str" cm="1">
        <f t="array" ref="A538">_xlfn.CONCAT(Instructions!C545,Instructions!A545,"_",TEXT(Instructions!B545,"YYYYMMDD"),"_1_",INDEX(Table1[], MATCH(1,(Table1[Estuary]=Instructions!C545)*(Table1[StationNumber]=Instructions!D545)*(Instructions!B545&gt;Table1[StartDate])*(Instructions!B545&lt;Table1[EndDate]),0),1),"_1_",Instructions!E545,"_",Instructions!F545)</f>
        <v>TBSRVY_20190924_1_0291_1_011_037</v>
      </c>
      <c r="B538" t="str" cm="1">
        <f t="array" ref="B538">_xlfn.CONCAT(Instructions!C545,Instructions!A545,"_",TEXT(Instructions!B545,"YYYYMMDD"),"_1_",INDEX(Table1[], MATCH(1,(Table1[Estuary]=Instructions!C545)*(Table1[StationNumber]=Instructions!D545)*(Instructions!B545&gt;Table1[StartDate])*(Instructions!B545&lt;Table1[EndDate]),0),1),"_1_",Instructions!E545)</f>
        <v>TBSRVY_20190924_1_0291_1_011</v>
      </c>
      <c r="C538">
        <f>Instructions!G545</f>
        <v>18</v>
      </c>
      <c r="D538" t="str">
        <f>IF(ISBLANK(Instructions!H545),"",Instructions!H545)</f>
        <v>Entered</v>
      </c>
      <c r="E538" s="1">
        <f>IF(ISBLANK(Instructions!I545),"",Instructions!I545)</f>
        <v>45646</v>
      </c>
      <c r="F538" t="str">
        <f>IF(ISBLANK(Instructions!J545),"",Instructions!J545)</f>
        <v>Erica Williams</v>
      </c>
      <c r="G538" s="1" t="str">
        <f>IF(ISBLANK(Instructions!K545),"",Instructions!K545)</f>
        <v/>
      </c>
      <c r="H538" t="str">
        <f>IF(ISBLANK(Instructions!L545),"",Instructions!L545)</f>
        <v/>
      </c>
      <c r="I538" t="str">
        <f t="shared" si="19"/>
        <v>NULL</v>
      </c>
      <c r="J538" t="str">
        <f t="shared" si="19"/>
        <v>NULL</v>
      </c>
      <c r="K538" t="str">
        <f>Instructions!M545</f>
        <v>Added via SMSS</v>
      </c>
      <c r="L538" t="str">
        <f t="shared" si="15"/>
        <v>NULL</v>
      </c>
    </row>
    <row r="539" spans="1:12" x14ac:dyDescent="0.25">
      <c r="A539" t="str" cm="1">
        <f t="array" ref="A539">_xlfn.CONCAT(Instructions!C546,Instructions!A546,"_",TEXT(Instructions!B546,"YYYYMMDD"),"_1_",INDEX(Table1[], MATCH(1,(Table1[Estuary]=Instructions!C546)*(Table1[StationNumber]=Instructions!D546)*(Instructions!B546&gt;Table1[StartDate])*(Instructions!B546&lt;Table1[EndDate]),0),1),"_1_",Instructions!E546,"_",Instructions!F546)</f>
        <v>TBSRVY_20190924_1_0291_1_011_038</v>
      </c>
      <c r="B539" t="str" cm="1">
        <f t="array" ref="B539">_xlfn.CONCAT(Instructions!C546,Instructions!A546,"_",TEXT(Instructions!B546,"YYYYMMDD"),"_1_",INDEX(Table1[], MATCH(1,(Table1[Estuary]=Instructions!C546)*(Table1[StationNumber]=Instructions!D546)*(Instructions!B546&gt;Table1[StartDate])*(Instructions!B546&lt;Table1[EndDate]),0),1),"_1_",Instructions!E546)</f>
        <v>TBSRVY_20190924_1_0291_1_011</v>
      </c>
      <c r="C539">
        <f>Instructions!G546</f>
        <v>24</v>
      </c>
      <c r="D539" t="str">
        <f>IF(ISBLANK(Instructions!H546),"",Instructions!H546)</f>
        <v>Entered</v>
      </c>
      <c r="E539" s="1">
        <f>IF(ISBLANK(Instructions!I546),"",Instructions!I546)</f>
        <v>45646</v>
      </c>
      <c r="F539" t="str">
        <f>IF(ISBLANK(Instructions!J546),"",Instructions!J546)</f>
        <v>Erica Williams</v>
      </c>
      <c r="G539" s="1" t="str">
        <f>IF(ISBLANK(Instructions!K546),"",Instructions!K546)</f>
        <v/>
      </c>
      <c r="H539" t="str">
        <f>IF(ISBLANK(Instructions!L546),"",Instructions!L546)</f>
        <v/>
      </c>
      <c r="I539" t="str">
        <f t="shared" si="19"/>
        <v>NULL</v>
      </c>
      <c r="J539" t="str">
        <f t="shared" si="19"/>
        <v>NULL</v>
      </c>
      <c r="K539" t="str">
        <f>Instructions!M546</f>
        <v>Added via SMSS</v>
      </c>
      <c r="L539" t="str">
        <f t="shared" si="15"/>
        <v>NULL</v>
      </c>
    </row>
    <row r="540" spans="1:12" x14ac:dyDescent="0.25">
      <c r="A540" t="str" cm="1">
        <f t="array" ref="A540">_xlfn.CONCAT(Instructions!C547,Instructions!A547,"_",TEXT(Instructions!B547,"YYYYMMDD"),"_1_",INDEX(Table1[], MATCH(1,(Table1[Estuary]=Instructions!C547)*(Table1[StationNumber]=Instructions!D547)*(Instructions!B547&gt;Table1[StartDate])*(Instructions!B547&lt;Table1[EndDate]),0),1),"_1_",Instructions!E547,"_",Instructions!F547)</f>
        <v>TBSRVY_20190924_1_0291_1_011_039</v>
      </c>
      <c r="B540" t="str" cm="1">
        <f t="array" ref="B540">_xlfn.CONCAT(Instructions!C547,Instructions!A547,"_",TEXT(Instructions!B547,"YYYYMMDD"),"_1_",INDEX(Table1[], MATCH(1,(Table1[Estuary]=Instructions!C547)*(Table1[StationNumber]=Instructions!D547)*(Instructions!B547&gt;Table1[StartDate])*(Instructions!B547&lt;Table1[EndDate]),0),1),"_1_",Instructions!E547)</f>
        <v>TBSRVY_20190924_1_0291_1_011</v>
      </c>
      <c r="C540">
        <f>Instructions!G547</f>
        <v>46</v>
      </c>
      <c r="D540" t="str">
        <f>IF(ISBLANK(Instructions!H547),"",Instructions!H547)</f>
        <v>Entered</v>
      </c>
      <c r="E540" s="1">
        <f>IF(ISBLANK(Instructions!I547),"",Instructions!I547)</f>
        <v>45646</v>
      </c>
      <c r="F540" t="str">
        <f>IF(ISBLANK(Instructions!J547),"",Instructions!J547)</f>
        <v>Erica Williams</v>
      </c>
      <c r="G540" s="1" t="str">
        <f>IF(ISBLANK(Instructions!K547),"",Instructions!K547)</f>
        <v/>
      </c>
      <c r="H540" t="str">
        <f>IF(ISBLANK(Instructions!L547),"",Instructions!L547)</f>
        <v/>
      </c>
      <c r="I540" t="str">
        <f t="shared" si="19"/>
        <v>NULL</v>
      </c>
      <c r="J540" t="str">
        <f t="shared" si="19"/>
        <v>NULL</v>
      </c>
      <c r="K540" t="str">
        <f>Instructions!M547</f>
        <v>Added via SMSS</v>
      </c>
      <c r="L540" t="str">
        <f t="shared" si="15"/>
        <v>NULL</v>
      </c>
    </row>
    <row r="541" spans="1:12" x14ac:dyDescent="0.25">
      <c r="A541" t="str" cm="1">
        <f t="array" ref="A541">_xlfn.CONCAT(Instructions!C548,Instructions!A548,"_",TEXT(Instructions!B548,"YYYYMMDD"),"_1_",INDEX(Table1[], MATCH(1,(Table1[Estuary]=Instructions!C548)*(Table1[StationNumber]=Instructions!D548)*(Instructions!B548&gt;Table1[StartDate])*(Instructions!B548&lt;Table1[EndDate]),0),1),"_1_",Instructions!E548,"_",Instructions!F548)</f>
        <v>TBSRVY_20190924_1_0291_1_011_040</v>
      </c>
      <c r="B541" t="str" cm="1">
        <f t="array" ref="B541">_xlfn.CONCAT(Instructions!C548,Instructions!A548,"_",TEXT(Instructions!B548,"YYYYMMDD"),"_1_",INDEX(Table1[], MATCH(1,(Table1[Estuary]=Instructions!C548)*(Table1[StationNumber]=Instructions!D548)*(Instructions!B548&gt;Table1[StartDate])*(Instructions!B548&lt;Table1[EndDate]),0),1),"_1_",Instructions!E548)</f>
        <v>TBSRVY_20190924_1_0291_1_011</v>
      </c>
      <c r="C541">
        <f>Instructions!G548</f>
        <v>30</v>
      </c>
      <c r="D541" t="str">
        <f>IF(ISBLANK(Instructions!H548),"",Instructions!H548)</f>
        <v>Entered</v>
      </c>
      <c r="E541" s="1">
        <f>IF(ISBLANK(Instructions!I548),"",Instructions!I548)</f>
        <v>45646</v>
      </c>
      <c r="F541" t="str">
        <f>IF(ISBLANK(Instructions!J548),"",Instructions!J548)</f>
        <v>Erica Williams</v>
      </c>
      <c r="G541" s="1" t="str">
        <f>IF(ISBLANK(Instructions!K548),"",Instructions!K548)</f>
        <v/>
      </c>
      <c r="H541" t="str">
        <f>IF(ISBLANK(Instructions!L548),"",Instructions!L548)</f>
        <v/>
      </c>
      <c r="I541" t="str">
        <f t="shared" si="19"/>
        <v>NULL</v>
      </c>
      <c r="J541" t="str">
        <f t="shared" si="19"/>
        <v>NULL</v>
      </c>
      <c r="K541" t="str">
        <f>Instructions!M548</f>
        <v>Added via SMSS</v>
      </c>
      <c r="L541" t="str">
        <f t="shared" si="15"/>
        <v>NULL</v>
      </c>
    </row>
    <row r="542" spans="1:12" x14ac:dyDescent="0.25">
      <c r="A542" t="str" cm="1">
        <f t="array" ref="A542">_xlfn.CONCAT(Instructions!C549,Instructions!A549,"_",TEXT(Instructions!B549,"YYYYMMDD"),"_1_",INDEX(Table1[], MATCH(1,(Table1[Estuary]=Instructions!C549)*(Table1[StationNumber]=Instructions!D549)*(Instructions!B549&gt;Table1[StartDate])*(Instructions!B549&lt;Table1[EndDate]),0),1),"_1_",Instructions!E549,"_",Instructions!F549)</f>
        <v>TBSRVY_20190924_1_0291_1_011_041</v>
      </c>
      <c r="B542" t="str" cm="1">
        <f t="array" ref="B542">_xlfn.CONCAT(Instructions!C549,Instructions!A549,"_",TEXT(Instructions!B549,"YYYYMMDD"),"_1_",INDEX(Table1[], MATCH(1,(Table1[Estuary]=Instructions!C549)*(Table1[StationNumber]=Instructions!D549)*(Instructions!B549&gt;Table1[StartDate])*(Instructions!B549&lt;Table1[EndDate]),0),1),"_1_",Instructions!E549)</f>
        <v>TBSRVY_20190924_1_0291_1_011</v>
      </c>
      <c r="C542">
        <f>Instructions!G549</f>
        <v>39</v>
      </c>
      <c r="D542" t="str">
        <f>IF(ISBLANK(Instructions!H549),"",Instructions!H549)</f>
        <v>Entered</v>
      </c>
      <c r="E542" s="1">
        <f>IF(ISBLANK(Instructions!I549),"",Instructions!I549)</f>
        <v>45646</v>
      </c>
      <c r="F542" t="str">
        <f>IF(ISBLANK(Instructions!J549),"",Instructions!J549)</f>
        <v>Erica Williams</v>
      </c>
      <c r="G542" s="1" t="str">
        <f>IF(ISBLANK(Instructions!K549),"",Instructions!K549)</f>
        <v/>
      </c>
      <c r="H542" t="str">
        <f>IF(ISBLANK(Instructions!L549),"",Instructions!L549)</f>
        <v/>
      </c>
      <c r="I542" t="str">
        <f t="shared" si="19"/>
        <v>NULL</v>
      </c>
      <c r="J542" t="str">
        <f t="shared" si="19"/>
        <v>NULL</v>
      </c>
      <c r="K542" t="str">
        <f>Instructions!M549</f>
        <v>Added via SMSS</v>
      </c>
      <c r="L542" t="str">
        <f t="shared" si="15"/>
        <v>NULL</v>
      </c>
    </row>
    <row r="543" spans="1:12" x14ac:dyDescent="0.25">
      <c r="A543" t="str" cm="1">
        <f t="array" ref="A543">_xlfn.CONCAT(Instructions!C550,Instructions!A550,"_",TEXT(Instructions!B550,"YYYYMMDD"),"_1_",INDEX(Table1[], MATCH(1,(Table1[Estuary]=Instructions!C550)*(Table1[StationNumber]=Instructions!D550)*(Instructions!B550&gt;Table1[StartDate])*(Instructions!B550&lt;Table1[EndDate]),0),1),"_1_",Instructions!E550,"_",Instructions!F550)</f>
        <v>TBSRVY_20190924_1_0291_1_011_042</v>
      </c>
      <c r="B543" t="str" cm="1">
        <f t="array" ref="B543">_xlfn.CONCAT(Instructions!C550,Instructions!A550,"_",TEXT(Instructions!B550,"YYYYMMDD"),"_1_",INDEX(Table1[], MATCH(1,(Table1[Estuary]=Instructions!C550)*(Table1[StationNumber]=Instructions!D550)*(Instructions!B550&gt;Table1[StartDate])*(Instructions!B550&lt;Table1[EndDate]),0),1),"_1_",Instructions!E550)</f>
        <v>TBSRVY_20190924_1_0291_1_011</v>
      </c>
      <c r="C543">
        <f>Instructions!G550</f>
        <v>18</v>
      </c>
      <c r="D543" t="str">
        <f>IF(ISBLANK(Instructions!H550),"",Instructions!H550)</f>
        <v>Entered</v>
      </c>
      <c r="E543" s="1">
        <f>IF(ISBLANK(Instructions!I550),"",Instructions!I550)</f>
        <v>45646</v>
      </c>
      <c r="F543" t="str">
        <f>IF(ISBLANK(Instructions!J550),"",Instructions!J550)</f>
        <v>Erica Williams</v>
      </c>
      <c r="G543" s="1" t="str">
        <f>IF(ISBLANK(Instructions!K550),"",Instructions!K550)</f>
        <v/>
      </c>
      <c r="H543" t="str">
        <f>IF(ISBLANK(Instructions!L550),"",Instructions!L550)</f>
        <v/>
      </c>
      <c r="I543" t="str">
        <f t="shared" si="19"/>
        <v>NULL</v>
      </c>
      <c r="J543" t="str">
        <f t="shared" si="19"/>
        <v>NULL</v>
      </c>
      <c r="K543" t="str">
        <f>Instructions!M550</f>
        <v>Added via SMSS</v>
      </c>
      <c r="L543" t="str">
        <f t="shared" si="15"/>
        <v>NULL</v>
      </c>
    </row>
    <row r="544" spans="1:12" x14ac:dyDescent="0.25">
      <c r="A544" t="str" cm="1">
        <f t="array" ref="A544">_xlfn.CONCAT(Instructions!C551,Instructions!A551,"_",TEXT(Instructions!B551,"YYYYMMDD"),"_1_",INDEX(Table1[], MATCH(1,(Table1[Estuary]=Instructions!C551)*(Table1[StationNumber]=Instructions!D551)*(Instructions!B551&gt;Table1[StartDate])*(Instructions!B551&lt;Table1[EndDate]),0),1),"_1_",Instructions!E551,"_",Instructions!F551)</f>
        <v>TBSRVY_20190924_1_0291_1_011_043</v>
      </c>
      <c r="B544" t="str" cm="1">
        <f t="array" ref="B544">_xlfn.CONCAT(Instructions!C551,Instructions!A551,"_",TEXT(Instructions!B551,"YYYYMMDD"),"_1_",INDEX(Table1[], MATCH(1,(Table1[Estuary]=Instructions!C551)*(Table1[StationNumber]=Instructions!D551)*(Instructions!B551&gt;Table1[StartDate])*(Instructions!B551&lt;Table1[EndDate]),0),1),"_1_",Instructions!E551)</f>
        <v>TBSRVY_20190924_1_0291_1_011</v>
      </c>
      <c r="C544">
        <f>Instructions!G551</f>
        <v>18</v>
      </c>
      <c r="D544" t="str">
        <f>IF(ISBLANK(Instructions!H551),"",Instructions!H551)</f>
        <v>Entered</v>
      </c>
      <c r="E544" s="1">
        <f>IF(ISBLANK(Instructions!I551),"",Instructions!I551)</f>
        <v>45646</v>
      </c>
      <c r="F544" t="str">
        <f>IF(ISBLANK(Instructions!J551),"",Instructions!J551)</f>
        <v>Erica Williams</v>
      </c>
      <c r="G544" s="1" t="str">
        <f>IF(ISBLANK(Instructions!K551),"",Instructions!K551)</f>
        <v/>
      </c>
      <c r="H544" t="str">
        <f>IF(ISBLANK(Instructions!L551),"",Instructions!L551)</f>
        <v/>
      </c>
      <c r="I544" t="str">
        <f t="shared" si="19"/>
        <v>NULL</v>
      </c>
      <c r="J544" t="str">
        <f t="shared" si="19"/>
        <v>NULL</v>
      </c>
      <c r="K544" t="str">
        <f>Instructions!M551</f>
        <v>Added via SMSS</v>
      </c>
      <c r="L544" t="str">
        <f t="shared" si="15"/>
        <v>NULL</v>
      </c>
    </row>
    <row r="545" spans="1:12" x14ac:dyDescent="0.25">
      <c r="A545" t="str" cm="1">
        <f t="array" ref="A545">_xlfn.CONCAT(Instructions!C552,Instructions!A552,"_",TEXT(Instructions!B552,"YYYYMMDD"),"_1_",INDEX(Table1[], MATCH(1,(Table1[Estuary]=Instructions!C552)*(Table1[StationNumber]=Instructions!D552)*(Instructions!B552&gt;Table1[StartDate])*(Instructions!B552&lt;Table1[EndDate]),0),1),"_1_",Instructions!E552,"_",Instructions!F552)</f>
        <v>TBSRVY_20190924_1_0291_1_011_044</v>
      </c>
      <c r="B545" t="str" cm="1">
        <f t="array" ref="B545">_xlfn.CONCAT(Instructions!C552,Instructions!A552,"_",TEXT(Instructions!B552,"YYYYMMDD"),"_1_",INDEX(Table1[], MATCH(1,(Table1[Estuary]=Instructions!C552)*(Table1[StationNumber]=Instructions!D552)*(Instructions!B552&gt;Table1[StartDate])*(Instructions!B552&lt;Table1[EndDate]),0),1),"_1_",Instructions!E552)</f>
        <v>TBSRVY_20190924_1_0291_1_011</v>
      </c>
      <c r="C545">
        <f>Instructions!G552</f>
        <v>15</v>
      </c>
      <c r="D545" t="str">
        <f>IF(ISBLANK(Instructions!H552),"",Instructions!H552)</f>
        <v>Entered</v>
      </c>
      <c r="E545" s="1">
        <f>IF(ISBLANK(Instructions!I552),"",Instructions!I552)</f>
        <v>45646</v>
      </c>
      <c r="F545" t="str">
        <f>IF(ISBLANK(Instructions!J552),"",Instructions!J552)</f>
        <v>Erica Williams</v>
      </c>
      <c r="G545" s="1" t="str">
        <f>IF(ISBLANK(Instructions!K552),"",Instructions!K552)</f>
        <v/>
      </c>
      <c r="H545" t="str">
        <f>IF(ISBLANK(Instructions!L552),"",Instructions!L552)</f>
        <v/>
      </c>
      <c r="I545" t="str">
        <f t="shared" si="19"/>
        <v>NULL</v>
      </c>
      <c r="J545" t="str">
        <f t="shared" si="19"/>
        <v>NULL</v>
      </c>
      <c r="K545" t="str">
        <f>Instructions!M552</f>
        <v>Added via SMSS</v>
      </c>
      <c r="L545" t="str">
        <f t="shared" si="15"/>
        <v>NULL</v>
      </c>
    </row>
    <row r="546" spans="1:12" x14ac:dyDescent="0.25">
      <c r="A546" t="str" cm="1">
        <f t="array" ref="A546">_xlfn.CONCAT(Instructions!C553,Instructions!A553,"_",TEXT(Instructions!B553,"YYYYMMDD"),"_1_",INDEX(Table1[], MATCH(1,(Table1[Estuary]=Instructions!C553)*(Table1[StationNumber]=Instructions!D553)*(Instructions!B553&gt;Table1[StartDate])*(Instructions!B553&lt;Table1[EndDate]),0),1),"_1_",Instructions!E553,"_",Instructions!F553)</f>
        <v>TBSRVY_20190924_1_0291_1_011_045</v>
      </c>
      <c r="B546" t="str" cm="1">
        <f t="array" ref="B546">_xlfn.CONCAT(Instructions!C553,Instructions!A553,"_",TEXT(Instructions!B553,"YYYYMMDD"),"_1_",INDEX(Table1[], MATCH(1,(Table1[Estuary]=Instructions!C553)*(Table1[StationNumber]=Instructions!D553)*(Instructions!B553&gt;Table1[StartDate])*(Instructions!B553&lt;Table1[EndDate]),0),1),"_1_",Instructions!E553)</f>
        <v>TBSRVY_20190924_1_0291_1_011</v>
      </c>
      <c r="C546">
        <f>Instructions!G553</f>
        <v>23</v>
      </c>
      <c r="D546" t="str">
        <f>IF(ISBLANK(Instructions!H553),"",Instructions!H553)</f>
        <v>Entered</v>
      </c>
      <c r="E546" s="1">
        <f>IF(ISBLANK(Instructions!I553),"",Instructions!I553)</f>
        <v>45646</v>
      </c>
      <c r="F546" t="str">
        <f>IF(ISBLANK(Instructions!J553),"",Instructions!J553)</f>
        <v>Erica Williams</v>
      </c>
      <c r="G546" s="1" t="str">
        <f>IF(ISBLANK(Instructions!K553),"",Instructions!K553)</f>
        <v/>
      </c>
      <c r="H546" t="str">
        <f>IF(ISBLANK(Instructions!L553),"",Instructions!L553)</f>
        <v/>
      </c>
      <c r="I546" t="str">
        <f t="shared" si="19"/>
        <v>NULL</v>
      </c>
      <c r="J546" t="str">
        <f t="shared" si="19"/>
        <v>NULL</v>
      </c>
      <c r="K546" t="str">
        <f>Instructions!M553</f>
        <v>Added via SMSS</v>
      </c>
      <c r="L546" t="str">
        <f t="shared" si="15"/>
        <v>NULL</v>
      </c>
    </row>
    <row r="547" spans="1:12" x14ac:dyDescent="0.25">
      <c r="A547" t="str" cm="1">
        <f t="array" ref="A547">_xlfn.CONCAT(Instructions!C554,Instructions!A554,"_",TEXT(Instructions!B554,"YYYYMMDD"),"_1_",INDEX(Table1[], MATCH(1,(Table1[Estuary]=Instructions!C554)*(Table1[StationNumber]=Instructions!D554)*(Instructions!B554&gt;Table1[StartDate])*(Instructions!B554&lt;Table1[EndDate]),0),1),"_1_",Instructions!E554,"_",Instructions!F554)</f>
        <v>TBSRVY_20190924_1_0291_1_011_046</v>
      </c>
      <c r="B547" t="str" cm="1">
        <f t="array" ref="B547">_xlfn.CONCAT(Instructions!C554,Instructions!A554,"_",TEXT(Instructions!B554,"YYYYMMDD"),"_1_",INDEX(Table1[], MATCH(1,(Table1[Estuary]=Instructions!C554)*(Table1[StationNumber]=Instructions!D554)*(Instructions!B554&gt;Table1[StartDate])*(Instructions!B554&lt;Table1[EndDate]),0),1),"_1_",Instructions!E554)</f>
        <v>TBSRVY_20190924_1_0291_1_011</v>
      </c>
      <c r="C547">
        <f>Instructions!G554</f>
        <v>26</v>
      </c>
      <c r="D547" t="str">
        <f>IF(ISBLANK(Instructions!H554),"",Instructions!H554)</f>
        <v>Entered</v>
      </c>
      <c r="E547" s="1">
        <f>IF(ISBLANK(Instructions!I554),"",Instructions!I554)</f>
        <v>45646</v>
      </c>
      <c r="F547" t="str">
        <f>IF(ISBLANK(Instructions!J554),"",Instructions!J554)</f>
        <v>Erica Williams</v>
      </c>
      <c r="G547" s="1" t="str">
        <f>IF(ISBLANK(Instructions!K554),"",Instructions!K554)</f>
        <v/>
      </c>
      <c r="H547" t="str">
        <f>IF(ISBLANK(Instructions!L554),"",Instructions!L554)</f>
        <v/>
      </c>
      <c r="I547" t="str">
        <f t="shared" si="19"/>
        <v>NULL</v>
      </c>
      <c r="J547" t="str">
        <f t="shared" si="19"/>
        <v>NULL</v>
      </c>
      <c r="K547" t="str">
        <f>Instructions!M554</f>
        <v>Added via SMSS</v>
      </c>
      <c r="L547" t="str">
        <f t="shared" si="15"/>
        <v>NULL</v>
      </c>
    </row>
    <row r="548" spans="1:12" x14ac:dyDescent="0.25">
      <c r="A548" t="str" cm="1">
        <f t="array" ref="A548">_xlfn.CONCAT(Instructions!C555,Instructions!A555,"_",TEXT(Instructions!B555,"YYYYMMDD"),"_1_",INDEX(Table1[], MATCH(1,(Table1[Estuary]=Instructions!C555)*(Table1[StationNumber]=Instructions!D555)*(Instructions!B555&gt;Table1[StartDate])*(Instructions!B555&lt;Table1[EndDate]),0),1),"_1_",Instructions!E555,"_",Instructions!F555)</f>
        <v>TBSRVY_20190924_1_0291_1_011_047</v>
      </c>
      <c r="B548" t="str" cm="1">
        <f t="array" ref="B548">_xlfn.CONCAT(Instructions!C555,Instructions!A555,"_",TEXT(Instructions!B555,"YYYYMMDD"),"_1_",INDEX(Table1[], MATCH(1,(Table1[Estuary]=Instructions!C555)*(Table1[StationNumber]=Instructions!D555)*(Instructions!B555&gt;Table1[StartDate])*(Instructions!B555&lt;Table1[EndDate]),0),1),"_1_",Instructions!E555)</f>
        <v>TBSRVY_20190924_1_0291_1_011</v>
      </c>
      <c r="C548">
        <f>Instructions!G555</f>
        <v>29</v>
      </c>
      <c r="D548" t="str">
        <f>IF(ISBLANK(Instructions!H555),"",Instructions!H555)</f>
        <v>Entered</v>
      </c>
      <c r="E548" s="1">
        <f>IF(ISBLANK(Instructions!I555),"",Instructions!I555)</f>
        <v>45646</v>
      </c>
      <c r="F548" t="str">
        <f>IF(ISBLANK(Instructions!J555),"",Instructions!J555)</f>
        <v>Erica Williams</v>
      </c>
      <c r="G548" s="1" t="str">
        <f>IF(ISBLANK(Instructions!K555),"",Instructions!K555)</f>
        <v/>
      </c>
      <c r="H548" t="str">
        <f>IF(ISBLANK(Instructions!L555),"",Instructions!L555)</f>
        <v/>
      </c>
      <c r="I548" t="str">
        <f t="shared" si="19"/>
        <v>NULL</v>
      </c>
      <c r="J548" t="str">
        <f t="shared" si="19"/>
        <v>NULL</v>
      </c>
      <c r="K548" t="str">
        <f>Instructions!M555</f>
        <v>Added via SMSS</v>
      </c>
      <c r="L548" t="str">
        <f t="shared" si="15"/>
        <v>NULL</v>
      </c>
    </row>
    <row r="549" spans="1:12" x14ac:dyDescent="0.25">
      <c r="A549" t="str" cm="1">
        <f t="array" ref="A549">_xlfn.CONCAT(Instructions!C556,Instructions!A556,"_",TEXT(Instructions!B556,"YYYYMMDD"),"_1_",INDEX(Table1[], MATCH(1,(Table1[Estuary]=Instructions!C556)*(Table1[StationNumber]=Instructions!D556)*(Instructions!B556&gt;Table1[StartDate])*(Instructions!B556&lt;Table1[EndDate]),0),1),"_1_",Instructions!E556,"_",Instructions!F556)</f>
        <v>TBSRVY_20190924_1_0291_1_011_048</v>
      </c>
      <c r="B549" t="str" cm="1">
        <f t="array" ref="B549">_xlfn.CONCAT(Instructions!C556,Instructions!A556,"_",TEXT(Instructions!B556,"YYYYMMDD"),"_1_",INDEX(Table1[], MATCH(1,(Table1[Estuary]=Instructions!C556)*(Table1[StationNumber]=Instructions!D556)*(Instructions!B556&gt;Table1[StartDate])*(Instructions!B556&lt;Table1[EndDate]),0),1),"_1_",Instructions!E556)</f>
        <v>TBSRVY_20190924_1_0291_1_011</v>
      </c>
      <c r="C549">
        <f>Instructions!G556</f>
        <v>62</v>
      </c>
      <c r="D549" t="str">
        <f>IF(ISBLANK(Instructions!H556),"",Instructions!H556)</f>
        <v>Entered</v>
      </c>
      <c r="E549" s="1">
        <f>IF(ISBLANK(Instructions!I556),"",Instructions!I556)</f>
        <v>45646</v>
      </c>
      <c r="F549" t="str">
        <f>IF(ISBLANK(Instructions!J556),"",Instructions!J556)</f>
        <v>Erica Williams</v>
      </c>
      <c r="G549" s="1" t="str">
        <f>IF(ISBLANK(Instructions!K556),"",Instructions!K556)</f>
        <v/>
      </c>
      <c r="H549" t="str">
        <f>IF(ISBLANK(Instructions!L556),"",Instructions!L556)</f>
        <v/>
      </c>
      <c r="I549" t="str">
        <f t="shared" si="19"/>
        <v>NULL</v>
      </c>
      <c r="J549" t="str">
        <f t="shared" ref="J549" si="20">"NULL"</f>
        <v>NULL</v>
      </c>
      <c r="K549" t="str">
        <f>Instructions!M556</f>
        <v>Added via SMSS</v>
      </c>
      <c r="L549" t="str">
        <f t="shared" si="15"/>
        <v>NULL</v>
      </c>
    </row>
    <row r="550" spans="1:12" x14ac:dyDescent="0.25">
      <c r="A550" t="str" cm="1">
        <f t="array" ref="A550">_xlfn.CONCAT(Instructions!C557,Instructions!A557,"_",TEXT(Instructions!B557,"YYYYMMDD"),"_1_",INDEX(Table1[], MATCH(1,(Table1[Estuary]=Instructions!C557)*(Table1[StationNumber]=Instructions!D557)*(Instructions!B557&gt;Table1[StartDate])*(Instructions!B557&lt;Table1[EndDate]),0),1),"_1_",Instructions!E557,"_",Instructions!F557)</f>
        <v>TBSRVY_20190924_1_0291_1_011_049</v>
      </c>
      <c r="B550" t="str" cm="1">
        <f t="array" ref="B550">_xlfn.CONCAT(Instructions!C557,Instructions!A557,"_",TEXT(Instructions!B557,"YYYYMMDD"),"_1_",INDEX(Table1[], MATCH(1,(Table1[Estuary]=Instructions!C557)*(Table1[StationNumber]=Instructions!D557)*(Instructions!B557&gt;Table1[StartDate])*(Instructions!B557&lt;Table1[EndDate]),0),1),"_1_",Instructions!E557)</f>
        <v>TBSRVY_20190924_1_0291_1_011</v>
      </c>
      <c r="C550">
        <f>Instructions!G557</f>
        <v>14</v>
      </c>
      <c r="D550" t="str">
        <f>IF(ISBLANK(Instructions!H557),"",Instructions!H557)</f>
        <v>Entered</v>
      </c>
      <c r="E550" s="1">
        <f>IF(ISBLANK(Instructions!I557),"",Instructions!I557)</f>
        <v>45646</v>
      </c>
      <c r="F550" t="str">
        <f>IF(ISBLANK(Instructions!J557),"",Instructions!J557)</f>
        <v>Erica Williams</v>
      </c>
      <c r="G550" s="1" t="str">
        <f>IF(ISBLANK(Instructions!K557),"",Instructions!K557)</f>
        <v/>
      </c>
      <c r="H550" t="str">
        <f>IF(ISBLANK(Instructions!L557),"",Instructions!L557)</f>
        <v/>
      </c>
      <c r="I550" t="str">
        <f t="shared" ref="I550:J613" si="21">"NULL"</f>
        <v>NULL</v>
      </c>
      <c r="J550" t="str">
        <f t="shared" si="21"/>
        <v>NULL</v>
      </c>
      <c r="K550" t="str">
        <f>Instructions!M557</f>
        <v>Added via SMSS</v>
      </c>
      <c r="L550" t="str">
        <f t="shared" ref="L550:L751" si="22">"NULL"</f>
        <v>NULL</v>
      </c>
    </row>
    <row r="551" spans="1:12" x14ac:dyDescent="0.25">
      <c r="A551" t="str" cm="1">
        <f t="array" ref="A551">_xlfn.CONCAT(Instructions!C558,Instructions!A558,"_",TEXT(Instructions!B558,"YYYYMMDD"),"_1_",INDEX(Table1[], MATCH(1,(Table1[Estuary]=Instructions!C558)*(Table1[StationNumber]=Instructions!D558)*(Instructions!B558&gt;Table1[StartDate])*(Instructions!B558&lt;Table1[EndDate]),0),1),"_1_",Instructions!E558,"_",Instructions!F558)</f>
        <v>TBSRVY_20190924_1_0291_1_011_050</v>
      </c>
      <c r="B551" t="str" cm="1">
        <f t="array" ref="B551">_xlfn.CONCAT(Instructions!C558,Instructions!A558,"_",TEXT(Instructions!B558,"YYYYMMDD"),"_1_",INDEX(Table1[], MATCH(1,(Table1[Estuary]=Instructions!C558)*(Table1[StationNumber]=Instructions!D558)*(Instructions!B558&gt;Table1[StartDate])*(Instructions!B558&lt;Table1[EndDate]),0),1),"_1_",Instructions!E558)</f>
        <v>TBSRVY_20190924_1_0291_1_011</v>
      </c>
      <c r="C551">
        <f>Instructions!G558</f>
        <v>15</v>
      </c>
      <c r="D551" t="str">
        <f>IF(ISBLANK(Instructions!H558),"",Instructions!H558)</f>
        <v>Entered</v>
      </c>
      <c r="E551" s="1">
        <f>IF(ISBLANK(Instructions!I558),"",Instructions!I558)</f>
        <v>45646</v>
      </c>
      <c r="F551" t="str">
        <f>IF(ISBLANK(Instructions!J558),"",Instructions!J558)</f>
        <v>Erica Williams</v>
      </c>
      <c r="G551" s="1" t="str">
        <f>IF(ISBLANK(Instructions!K558),"",Instructions!K558)</f>
        <v/>
      </c>
      <c r="H551" t="str">
        <f>IF(ISBLANK(Instructions!L558),"",Instructions!L558)</f>
        <v/>
      </c>
      <c r="I551" t="str">
        <f t="shared" si="21"/>
        <v>NULL</v>
      </c>
      <c r="J551" t="str">
        <f t="shared" si="21"/>
        <v>NULL</v>
      </c>
      <c r="K551" t="str">
        <f>Instructions!M558</f>
        <v>Added via SMSS</v>
      </c>
      <c r="L551" t="str">
        <f t="shared" si="22"/>
        <v>NULL</v>
      </c>
    </row>
    <row r="552" spans="1:12" x14ac:dyDescent="0.25">
      <c r="A552" t="str" cm="1">
        <f t="array" ref="A552">_xlfn.CONCAT(Instructions!C559,Instructions!A559,"_",TEXT(Instructions!B559,"YYYYMMDD"),"_1_",INDEX(Table1[], MATCH(1,(Table1[Estuary]=Instructions!C559)*(Table1[StationNumber]=Instructions!D559)*(Instructions!B559&gt;Table1[StartDate])*(Instructions!B559&lt;Table1[EndDate]),0),1),"_1_",Instructions!E559,"_",Instructions!F559)</f>
        <v>TBSRVY_20190924_1_0291_1_012_001</v>
      </c>
      <c r="B552" t="str" cm="1">
        <f t="array" ref="B552">_xlfn.CONCAT(Instructions!C559,Instructions!A559,"_",TEXT(Instructions!B559,"YYYYMMDD"),"_1_",INDEX(Table1[], MATCH(1,(Table1[Estuary]=Instructions!C559)*(Table1[StationNumber]=Instructions!D559)*(Instructions!B559&gt;Table1[StartDate])*(Instructions!B559&lt;Table1[EndDate]),0),1),"_1_",Instructions!E559)</f>
        <v>TBSRVY_20190924_1_0291_1_012</v>
      </c>
      <c r="C552">
        <f>Instructions!G559</f>
        <v>5</v>
      </c>
      <c r="D552" t="str">
        <f>IF(ISBLANK(Instructions!H559),"",Instructions!H559)</f>
        <v>Entered</v>
      </c>
      <c r="E552" s="1">
        <f>IF(ISBLANK(Instructions!I559),"",Instructions!I559)</f>
        <v>45646</v>
      </c>
      <c r="F552" t="str">
        <f>IF(ISBLANK(Instructions!J559),"",Instructions!J559)</f>
        <v>Erica Williams</v>
      </c>
      <c r="G552" s="1" t="str">
        <f>IF(ISBLANK(Instructions!K559),"",Instructions!K559)</f>
        <v/>
      </c>
      <c r="H552" t="str">
        <f>IF(ISBLANK(Instructions!L559),"",Instructions!L559)</f>
        <v/>
      </c>
      <c r="I552" t="str">
        <f t="shared" si="21"/>
        <v>NULL</v>
      </c>
      <c r="J552" t="str">
        <f t="shared" si="21"/>
        <v>NULL</v>
      </c>
      <c r="K552" t="str">
        <f>Instructions!M559</f>
        <v>Added via SMSS</v>
      </c>
      <c r="L552" t="str">
        <f t="shared" si="22"/>
        <v>NULL</v>
      </c>
    </row>
    <row r="553" spans="1:12" x14ac:dyDescent="0.25">
      <c r="A553" t="str" cm="1">
        <f t="array" ref="A553">_xlfn.CONCAT(Instructions!C560,Instructions!A560,"_",TEXT(Instructions!B560,"YYYYMMDD"),"_1_",INDEX(Table1[], MATCH(1,(Table1[Estuary]=Instructions!C560)*(Table1[StationNumber]=Instructions!D560)*(Instructions!B560&gt;Table1[StartDate])*(Instructions!B560&lt;Table1[EndDate]),0),1),"_1_",Instructions!E560,"_",Instructions!F560)</f>
        <v>TBSRVY_20190924_1_0291_1_012_002</v>
      </c>
      <c r="B553" t="str" cm="1">
        <f t="array" ref="B553">_xlfn.CONCAT(Instructions!C560,Instructions!A560,"_",TEXT(Instructions!B560,"YYYYMMDD"),"_1_",INDEX(Table1[], MATCH(1,(Table1[Estuary]=Instructions!C560)*(Table1[StationNumber]=Instructions!D560)*(Instructions!B560&gt;Table1[StartDate])*(Instructions!B560&lt;Table1[EndDate]),0),1),"_1_",Instructions!E560)</f>
        <v>TBSRVY_20190924_1_0291_1_012</v>
      </c>
      <c r="C553">
        <f>Instructions!G560</f>
        <v>20</v>
      </c>
      <c r="D553" t="str">
        <f>IF(ISBLANK(Instructions!H560),"",Instructions!H560)</f>
        <v>Entered</v>
      </c>
      <c r="E553" s="1">
        <f>IF(ISBLANK(Instructions!I560),"",Instructions!I560)</f>
        <v>45646</v>
      </c>
      <c r="F553" t="str">
        <f>IF(ISBLANK(Instructions!J560),"",Instructions!J560)</f>
        <v>Erica Williams</v>
      </c>
      <c r="G553" s="1" t="str">
        <f>IF(ISBLANK(Instructions!K560),"",Instructions!K560)</f>
        <v/>
      </c>
      <c r="H553" t="str">
        <f>IF(ISBLANK(Instructions!L560),"",Instructions!L560)</f>
        <v/>
      </c>
      <c r="I553" t="str">
        <f t="shared" si="21"/>
        <v>NULL</v>
      </c>
      <c r="J553" t="str">
        <f t="shared" si="21"/>
        <v>NULL</v>
      </c>
      <c r="K553" t="str">
        <f>Instructions!M560</f>
        <v>Added via SMSS</v>
      </c>
      <c r="L553" t="str">
        <f t="shared" si="22"/>
        <v>NULL</v>
      </c>
    </row>
    <row r="554" spans="1:12" x14ac:dyDescent="0.25">
      <c r="A554" t="str" cm="1">
        <f t="array" ref="A554">_xlfn.CONCAT(Instructions!C561,Instructions!A561,"_",TEXT(Instructions!B561,"YYYYMMDD"),"_1_",INDEX(Table1[], MATCH(1,(Table1[Estuary]=Instructions!C561)*(Table1[StationNumber]=Instructions!D561)*(Instructions!B561&gt;Table1[StartDate])*(Instructions!B561&lt;Table1[EndDate]),0),1),"_1_",Instructions!E561,"_",Instructions!F561)</f>
        <v>TBSRVY_20190924_1_0291_1_012_003</v>
      </c>
      <c r="B554" t="str" cm="1">
        <f t="array" ref="B554">_xlfn.CONCAT(Instructions!C561,Instructions!A561,"_",TEXT(Instructions!B561,"YYYYMMDD"),"_1_",INDEX(Table1[], MATCH(1,(Table1[Estuary]=Instructions!C561)*(Table1[StationNumber]=Instructions!D561)*(Instructions!B561&gt;Table1[StartDate])*(Instructions!B561&lt;Table1[EndDate]),0),1),"_1_",Instructions!E561)</f>
        <v>TBSRVY_20190924_1_0291_1_012</v>
      </c>
      <c r="C554">
        <f>Instructions!G561</f>
        <v>38</v>
      </c>
      <c r="D554" t="str">
        <f>IF(ISBLANK(Instructions!H561),"",Instructions!H561)</f>
        <v>Entered</v>
      </c>
      <c r="E554" s="1">
        <f>IF(ISBLANK(Instructions!I561),"",Instructions!I561)</f>
        <v>45646</v>
      </c>
      <c r="F554" t="str">
        <f>IF(ISBLANK(Instructions!J561),"",Instructions!J561)</f>
        <v>Erica Williams</v>
      </c>
      <c r="G554" s="1" t="str">
        <f>IF(ISBLANK(Instructions!K561),"",Instructions!K561)</f>
        <v/>
      </c>
      <c r="H554" t="str">
        <f>IF(ISBLANK(Instructions!L561),"",Instructions!L561)</f>
        <v/>
      </c>
      <c r="I554" t="str">
        <f t="shared" si="21"/>
        <v>NULL</v>
      </c>
      <c r="J554" t="str">
        <f t="shared" si="21"/>
        <v>NULL</v>
      </c>
      <c r="K554" t="str">
        <f>Instructions!M561</f>
        <v>Added via SMSS</v>
      </c>
      <c r="L554" t="str">
        <f t="shared" si="22"/>
        <v>NULL</v>
      </c>
    </row>
    <row r="555" spans="1:12" x14ac:dyDescent="0.25">
      <c r="A555" t="str" cm="1">
        <f t="array" ref="A555">_xlfn.CONCAT(Instructions!C562,Instructions!A562,"_",TEXT(Instructions!B562,"YYYYMMDD"),"_1_",INDEX(Table1[], MATCH(1,(Table1[Estuary]=Instructions!C562)*(Table1[StationNumber]=Instructions!D562)*(Instructions!B562&gt;Table1[StartDate])*(Instructions!B562&lt;Table1[EndDate]),0),1),"_1_",Instructions!E562,"_",Instructions!F562)</f>
        <v>TBSRVY_20190924_1_0291_1_012_004</v>
      </c>
      <c r="B555" t="str" cm="1">
        <f t="array" ref="B555">_xlfn.CONCAT(Instructions!C562,Instructions!A562,"_",TEXT(Instructions!B562,"YYYYMMDD"),"_1_",INDEX(Table1[], MATCH(1,(Table1[Estuary]=Instructions!C562)*(Table1[StationNumber]=Instructions!D562)*(Instructions!B562&gt;Table1[StartDate])*(Instructions!B562&lt;Table1[EndDate]),0),1),"_1_",Instructions!E562)</f>
        <v>TBSRVY_20190924_1_0291_1_012</v>
      </c>
      <c r="C555">
        <f>Instructions!G562</f>
        <v>23</v>
      </c>
      <c r="D555" t="str">
        <f>IF(ISBLANK(Instructions!H562),"",Instructions!H562)</f>
        <v>Entered</v>
      </c>
      <c r="E555" s="1">
        <f>IF(ISBLANK(Instructions!I562),"",Instructions!I562)</f>
        <v>45646</v>
      </c>
      <c r="F555" t="str">
        <f>IF(ISBLANK(Instructions!J562),"",Instructions!J562)</f>
        <v>Erica Williams</v>
      </c>
      <c r="G555" s="1" t="str">
        <f>IF(ISBLANK(Instructions!K562),"",Instructions!K562)</f>
        <v/>
      </c>
      <c r="H555" t="str">
        <f>IF(ISBLANK(Instructions!L562),"",Instructions!L562)</f>
        <v/>
      </c>
      <c r="I555" t="str">
        <f t="shared" si="21"/>
        <v>NULL</v>
      </c>
      <c r="J555" t="str">
        <f t="shared" si="21"/>
        <v>NULL</v>
      </c>
      <c r="K555" t="str">
        <f>Instructions!M562</f>
        <v>Added via SMSS</v>
      </c>
      <c r="L555" t="str">
        <f t="shared" si="22"/>
        <v>NULL</v>
      </c>
    </row>
    <row r="556" spans="1:12" x14ac:dyDescent="0.25">
      <c r="A556" t="str" cm="1">
        <f t="array" ref="A556">_xlfn.CONCAT(Instructions!C563,Instructions!A563,"_",TEXT(Instructions!B563,"YYYYMMDD"),"_1_",INDEX(Table1[], MATCH(1,(Table1[Estuary]=Instructions!C563)*(Table1[StationNumber]=Instructions!D563)*(Instructions!B563&gt;Table1[StartDate])*(Instructions!B563&lt;Table1[EndDate]),0),1),"_1_",Instructions!E563,"_",Instructions!F563)</f>
        <v>TBSRVY_20190924_1_0291_1_012_005</v>
      </c>
      <c r="B556" t="str" cm="1">
        <f t="array" ref="B556">_xlfn.CONCAT(Instructions!C563,Instructions!A563,"_",TEXT(Instructions!B563,"YYYYMMDD"),"_1_",INDEX(Table1[], MATCH(1,(Table1[Estuary]=Instructions!C563)*(Table1[StationNumber]=Instructions!D563)*(Instructions!B563&gt;Table1[StartDate])*(Instructions!B563&lt;Table1[EndDate]),0),1),"_1_",Instructions!E563)</f>
        <v>TBSRVY_20190924_1_0291_1_012</v>
      </c>
      <c r="C556">
        <f>Instructions!G563</f>
        <v>30</v>
      </c>
      <c r="D556" t="str">
        <f>IF(ISBLANK(Instructions!H563),"",Instructions!H563)</f>
        <v>Entered</v>
      </c>
      <c r="E556" s="1">
        <f>IF(ISBLANK(Instructions!I563),"",Instructions!I563)</f>
        <v>45646</v>
      </c>
      <c r="F556" t="str">
        <f>IF(ISBLANK(Instructions!J563),"",Instructions!J563)</f>
        <v>Erica Williams</v>
      </c>
      <c r="G556" s="1" t="str">
        <f>IF(ISBLANK(Instructions!K563),"",Instructions!K563)</f>
        <v/>
      </c>
      <c r="H556" t="str">
        <f>IF(ISBLANK(Instructions!L563),"",Instructions!L563)</f>
        <v/>
      </c>
      <c r="I556" t="str">
        <f t="shared" si="21"/>
        <v>NULL</v>
      </c>
      <c r="J556" t="str">
        <f t="shared" si="21"/>
        <v>NULL</v>
      </c>
      <c r="K556" t="str">
        <f>Instructions!M563</f>
        <v>Added via SMSS</v>
      </c>
      <c r="L556" t="str">
        <f t="shared" si="22"/>
        <v>NULL</v>
      </c>
    </row>
    <row r="557" spans="1:12" x14ac:dyDescent="0.25">
      <c r="A557" t="str" cm="1">
        <f t="array" ref="A557">_xlfn.CONCAT(Instructions!C564,Instructions!A564,"_",TEXT(Instructions!B564,"YYYYMMDD"),"_1_",INDEX(Table1[], MATCH(1,(Table1[Estuary]=Instructions!C564)*(Table1[StationNumber]=Instructions!D564)*(Instructions!B564&gt;Table1[StartDate])*(Instructions!B564&lt;Table1[EndDate]),0),1),"_1_",Instructions!E564,"_",Instructions!F564)</f>
        <v>TBSRVY_20190924_1_0291_1_012_006</v>
      </c>
      <c r="B557" t="str" cm="1">
        <f t="array" ref="B557">_xlfn.CONCAT(Instructions!C564,Instructions!A564,"_",TEXT(Instructions!B564,"YYYYMMDD"),"_1_",INDEX(Table1[], MATCH(1,(Table1[Estuary]=Instructions!C564)*(Table1[StationNumber]=Instructions!D564)*(Instructions!B564&gt;Table1[StartDate])*(Instructions!B564&lt;Table1[EndDate]),0),1),"_1_",Instructions!E564)</f>
        <v>TBSRVY_20190924_1_0291_1_012</v>
      </c>
      <c r="C557">
        <f>Instructions!G564</f>
        <v>72</v>
      </c>
      <c r="D557" t="str">
        <f>IF(ISBLANK(Instructions!H564),"",Instructions!H564)</f>
        <v>Entered</v>
      </c>
      <c r="E557" s="1">
        <f>IF(ISBLANK(Instructions!I564),"",Instructions!I564)</f>
        <v>45646</v>
      </c>
      <c r="F557" t="str">
        <f>IF(ISBLANK(Instructions!J564),"",Instructions!J564)</f>
        <v>Erica Williams</v>
      </c>
      <c r="G557" s="1" t="str">
        <f>IF(ISBLANK(Instructions!K564),"",Instructions!K564)</f>
        <v/>
      </c>
      <c r="H557" t="str">
        <f>IF(ISBLANK(Instructions!L564),"",Instructions!L564)</f>
        <v/>
      </c>
      <c r="I557" t="str">
        <f t="shared" si="21"/>
        <v>NULL</v>
      </c>
      <c r="J557" t="str">
        <f t="shared" si="21"/>
        <v>NULL</v>
      </c>
      <c r="K557" t="str">
        <f>Instructions!M564</f>
        <v>Added via SMSS</v>
      </c>
      <c r="L557" t="str">
        <f t="shared" si="22"/>
        <v>NULL</v>
      </c>
    </row>
    <row r="558" spans="1:12" x14ac:dyDescent="0.25">
      <c r="A558" t="str" cm="1">
        <f t="array" ref="A558">_xlfn.CONCAT(Instructions!C565,Instructions!A565,"_",TEXT(Instructions!B565,"YYYYMMDD"),"_1_",INDEX(Table1[], MATCH(1,(Table1[Estuary]=Instructions!C565)*(Table1[StationNumber]=Instructions!D565)*(Instructions!B565&gt;Table1[StartDate])*(Instructions!B565&lt;Table1[EndDate]),0),1),"_1_",Instructions!E565,"_",Instructions!F565)</f>
        <v>TBSRVY_20190924_1_0291_1_012_007</v>
      </c>
      <c r="B558" t="str" cm="1">
        <f t="array" ref="B558">_xlfn.CONCAT(Instructions!C565,Instructions!A565,"_",TEXT(Instructions!B565,"YYYYMMDD"),"_1_",INDEX(Table1[], MATCH(1,(Table1[Estuary]=Instructions!C565)*(Table1[StationNumber]=Instructions!D565)*(Instructions!B565&gt;Table1[StartDate])*(Instructions!B565&lt;Table1[EndDate]),0),1),"_1_",Instructions!E565)</f>
        <v>TBSRVY_20190924_1_0291_1_012</v>
      </c>
      <c r="C558">
        <f>Instructions!G565</f>
        <v>20</v>
      </c>
      <c r="D558" t="str">
        <f>IF(ISBLANK(Instructions!H565),"",Instructions!H565)</f>
        <v>Entered</v>
      </c>
      <c r="E558" s="1">
        <f>IF(ISBLANK(Instructions!I565),"",Instructions!I565)</f>
        <v>45646</v>
      </c>
      <c r="F558" t="str">
        <f>IF(ISBLANK(Instructions!J565),"",Instructions!J565)</f>
        <v>Erica Williams</v>
      </c>
      <c r="G558" s="1" t="str">
        <f>IF(ISBLANK(Instructions!K565),"",Instructions!K565)</f>
        <v/>
      </c>
      <c r="H558" t="str">
        <f>IF(ISBLANK(Instructions!L565),"",Instructions!L565)</f>
        <v/>
      </c>
      <c r="I558" t="str">
        <f t="shared" si="21"/>
        <v>NULL</v>
      </c>
      <c r="J558" t="str">
        <f t="shared" si="21"/>
        <v>NULL</v>
      </c>
      <c r="K558" t="str">
        <f>Instructions!M565</f>
        <v>Added via SMSS</v>
      </c>
      <c r="L558" t="str">
        <f t="shared" si="22"/>
        <v>NULL</v>
      </c>
    </row>
    <row r="559" spans="1:12" x14ac:dyDescent="0.25">
      <c r="A559" t="str" cm="1">
        <f t="array" ref="A559">_xlfn.CONCAT(Instructions!C566,Instructions!A566,"_",TEXT(Instructions!B566,"YYYYMMDD"),"_1_",INDEX(Table1[], MATCH(1,(Table1[Estuary]=Instructions!C566)*(Table1[StationNumber]=Instructions!D566)*(Instructions!B566&gt;Table1[StartDate])*(Instructions!B566&lt;Table1[EndDate]),0),1),"_1_",Instructions!E566,"_",Instructions!F566)</f>
        <v>TBSRVY_20190924_1_0291_1_012_008</v>
      </c>
      <c r="B559" t="str" cm="1">
        <f t="array" ref="B559">_xlfn.CONCAT(Instructions!C566,Instructions!A566,"_",TEXT(Instructions!B566,"YYYYMMDD"),"_1_",INDEX(Table1[], MATCH(1,(Table1[Estuary]=Instructions!C566)*(Table1[StationNumber]=Instructions!D566)*(Instructions!B566&gt;Table1[StartDate])*(Instructions!B566&lt;Table1[EndDate]),0),1),"_1_",Instructions!E566)</f>
        <v>TBSRVY_20190924_1_0291_1_012</v>
      </c>
      <c r="C559">
        <f>Instructions!G566</f>
        <v>37</v>
      </c>
      <c r="D559" t="str">
        <f>IF(ISBLANK(Instructions!H566),"",Instructions!H566)</f>
        <v>Entered</v>
      </c>
      <c r="E559" s="1">
        <f>IF(ISBLANK(Instructions!I566),"",Instructions!I566)</f>
        <v>45646</v>
      </c>
      <c r="F559" t="str">
        <f>IF(ISBLANK(Instructions!J566),"",Instructions!J566)</f>
        <v>Erica Williams</v>
      </c>
      <c r="G559" s="1" t="str">
        <f>IF(ISBLANK(Instructions!K566),"",Instructions!K566)</f>
        <v/>
      </c>
      <c r="H559" t="str">
        <f>IF(ISBLANK(Instructions!L566),"",Instructions!L566)</f>
        <v/>
      </c>
      <c r="I559" t="str">
        <f t="shared" si="21"/>
        <v>NULL</v>
      </c>
      <c r="J559" t="str">
        <f t="shared" si="21"/>
        <v>NULL</v>
      </c>
      <c r="K559" t="str">
        <f>Instructions!M566</f>
        <v>Added via SMSS</v>
      </c>
      <c r="L559" t="str">
        <f t="shared" si="22"/>
        <v>NULL</v>
      </c>
    </row>
    <row r="560" spans="1:12" x14ac:dyDescent="0.25">
      <c r="A560" t="str" cm="1">
        <f t="array" ref="A560">_xlfn.CONCAT(Instructions!C567,Instructions!A567,"_",TEXT(Instructions!B567,"YYYYMMDD"),"_1_",INDEX(Table1[], MATCH(1,(Table1[Estuary]=Instructions!C567)*(Table1[StationNumber]=Instructions!D567)*(Instructions!B567&gt;Table1[StartDate])*(Instructions!B567&lt;Table1[EndDate]),0),1),"_1_",Instructions!E567,"_",Instructions!F567)</f>
        <v>TBSRVY_20190924_1_0291_1_012_009</v>
      </c>
      <c r="B560" t="str" cm="1">
        <f t="array" ref="B560">_xlfn.CONCAT(Instructions!C567,Instructions!A567,"_",TEXT(Instructions!B567,"YYYYMMDD"),"_1_",INDEX(Table1[], MATCH(1,(Table1[Estuary]=Instructions!C567)*(Table1[StationNumber]=Instructions!D567)*(Instructions!B567&gt;Table1[StartDate])*(Instructions!B567&lt;Table1[EndDate]),0),1),"_1_",Instructions!E567)</f>
        <v>TBSRVY_20190924_1_0291_1_012</v>
      </c>
      <c r="C560">
        <f>Instructions!G567</f>
        <v>70</v>
      </c>
      <c r="D560" t="str">
        <f>IF(ISBLANK(Instructions!H567),"",Instructions!H567)</f>
        <v>Entered</v>
      </c>
      <c r="E560" s="1">
        <f>IF(ISBLANK(Instructions!I567),"",Instructions!I567)</f>
        <v>45646</v>
      </c>
      <c r="F560" t="str">
        <f>IF(ISBLANK(Instructions!J567),"",Instructions!J567)</f>
        <v>Erica Williams</v>
      </c>
      <c r="G560" s="1" t="str">
        <f>IF(ISBLANK(Instructions!K567),"",Instructions!K567)</f>
        <v/>
      </c>
      <c r="H560" t="str">
        <f>IF(ISBLANK(Instructions!L567),"",Instructions!L567)</f>
        <v/>
      </c>
      <c r="I560" t="str">
        <f t="shared" si="21"/>
        <v>NULL</v>
      </c>
      <c r="J560" t="str">
        <f t="shared" si="21"/>
        <v>NULL</v>
      </c>
      <c r="K560" t="str">
        <f>Instructions!M567</f>
        <v>Added via SMSS</v>
      </c>
      <c r="L560" t="str">
        <f t="shared" si="22"/>
        <v>NULL</v>
      </c>
    </row>
    <row r="561" spans="1:12" x14ac:dyDescent="0.25">
      <c r="A561" t="str" cm="1">
        <f t="array" ref="A561">_xlfn.CONCAT(Instructions!C568,Instructions!A568,"_",TEXT(Instructions!B568,"YYYYMMDD"),"_1_",INDEX(Table1[], MATCH(1,(Table1[Estuary]=Instructions!C568)*(Table1[StationNumber]=Instructions!D568)*(Instructions!B568&gt;Table1[StartDate])*(Instructions!B568&lt;Table1[EndDate]),0),1),"_1_",Instructions!E568,"_",Instructions!F568)</f>
        <v>TBSRVY_20190924_1_0291_1_012_010</v>
      </c>
      <c r="B561" t="str" cm="1">
        <f t="array" ref="B561">_xlfn.CONCAT(Instructions!C568,Instructions!A568,"_",TEXT(Instructions!B568,"YYYYMMDD"),"_1_",INDEX(Table1[], MATCH(1,(Table1[Estuary]=Instructions!C568)*(Table1[StationNumber]=Instructions!D568)*(Instructions!B568&gt;Table1[StartDate])*(Instructions!B568&lt;Table1[EndDate]),0),1),"_1_",Instructions!E568)</f>
        <v>TBSRVY_20190924_1_0291_1_012</v>
      </c>
      <c r="C561">
        <f>Instructions!G568</f>
        <v>29</v>
      </c>
      <c r="D561" t="str">
        <f>IF(ISBLANK(Instructions!H568),"",Instructions!H568)</f>
        <v>Entered</v>
      </c>
      <c r="E561" s="1">
        <f>IF(ISBLANK(Instructions!I568),"",Instructions!I568)</f>
        <v>45646</v>
      </c>
      <c r="F561" t="str">
        <f>IF(ISBLANK(Instructions!J568),"",Instructions!J568)</f>
        <v>Erica Williams</v>
      </c>
      <c r="G561" s="1" t="str">
        <f>IF(ISBLANK(Instructions!K568),"",Instructions!K568)</f>
        <v/>
      </c>
      <c r="H561" t="str">
        <f>IF(ISBLANK(Instructions!L568),"",Instructions!L568)</f>
        <v/>
      </c>
      <c r="I561" t="str">
        <f t="shared" si="21"/>
        <v>NULL</v>
      </c>
      <c r="J561" t="str">
        <f t="shared" si="21"/>
        <v>NULL</v>
      </c>
      <c r="K561" t="str">
        <f>Instructions!M568</f>
        <v>Added via SMSS</v>
      </c>
      <c r="L561" t="str">
        <f t="shared" si="22"/>
        <v>NULL</v>
      </c>
    </row>
    <row r="562" spans="1:12" x14ac:dyDescent="0.25">
      <c r="A562" t="str" cm="1">
        <f t="array" ref="A562">_xlfn.CONCAT(Instructions!C569,Instructions!A569,"_",TEXT(Instructions!B569,"YYYYMMDD"),"_1_",INDEX(Table1[], MATCH(1,(Table1[Estuary]=Instructions!C569)*(Table1[StationNumber]=Instructions!D569)*(Instructions!B569&gt;Table1[StartDate])*(Instructions!B569&lt;Table1[EndDate]),0),1),"_1_",Instructions!E569,"_",Instructions!F569)</f>
        <v>TBSRVY_20190924_1_0291_1_012_011</v>
      </c>
      <c r="B562" t="str" cm="1">
        <f t="array" ref="B562">_xlfn.CONCAT(Instructions!C569,Instructions!A569,"_",TEXT(Instructions!B569,"YYYYMMDD"),"_1_",INDEX(Table1[], MATCH(1,(Table1[Estuary]=Instructions!C569)*(Table1[StationNumber]=Instructions!D569)*(Instructions!B569&gt;Table1[StartDate])*(Instructions!B569&lt;Table1[EndDate]),0),1),"_1_",Instructions!E569)</f>
        <v>TBSRVY_20190924_1_0291_1_012</v>
      </c>
      <c r="C562">
        <f>Instructions!G569</f>
        <v>15</v>
      </c>
      <c r="D562" t="str">
        <f>IF(ISBLANK(Instructions!H569),"",Instructions!H569)</f>
        <v>Entered</v>
      </c>
      <c r="E562" s="1">
        <f>IF(ISBLANK(Instructions!I569),"",Instructions!I569)</f>
        <v>45646</v>
      </c>
      <c r="F562" t="str">
        <f>IF(ISBLANK(Instructions!J569),"",Instructions!J569)</f>
        <v>Erica Williams</v>
      </c>
      <c r="G562" s="1" t="str">
        <f>IF(ISBLANK(Instructions!K569),"",Instructions!K569)</f>
        <v/>
      </c>
      <c r="H562" t="str">
        <f>IF(ISBLANK(Instructions!L569),"",Instructions!L569)</f>
        <v/>
      </c>
      <c r="I562" t="str">
        <f t="shared" si="21"/>
        <v>NULL</v>
      </c>
      <c r="J562" t="str">
        <f t="shared" si="21"/>
        <v>NULL</v>
      </c>
      <c r="K562" t="str">
        <f>Instructions!M569</f>
        <v>Added via SMSS</v>
      </c>
      <c r="L562" t="str">
        <f t="shared" si="22"/>
        <v>NULL</v>
      </c>
    </row>
    <row r="563" spans="1:12" x14ac:dyDescent="0.25">
      <c r="A563" t="str" cm="1">
        <f t="array" ref="A563">_xlfn.CONCAT(Instructions!C570,Instructions!A570,"_",TEXT(Instructions!B570,"YYYYMMDD"),"_1_",INDEX(Table1[], MATCH(1,(Table1[Estuary]=Instructions!C570)*(Table1[StationNumber]=Instructions!D570)*(Instructions!B570&gt;Table1[StartDate])*(Instructions!B570&lt;Table1[EndDate]),0),1),"_1_",Instructions!E570,"_",Instructions!F570)</f>
        <v>TBSRVY_20190924_1_0291_1_012_012</v>
      </c>
      <c r="B563" t="str" cm="1">
        <f t="array" ref="B563">_xlfn.CONCAT(Instructions!C570,Instructions!A570,"_",TEXT(Instructions!B570,"YYYYMMDD"),"_1_",INDEX(Table1[], MATCH(1,(Table1[Estuary]=Instructions!C570)*(Table1[StationNumber]=Instructions!D570)*(Instructions!B570&gt;Table1[StartDate])*(Instructions!B570&lt;Table1[EndDate]),0),1),"_1_",Instructions!E570)</f>
        <v>TBSRVY_20190924_1_0291_1_012</v>
      </c>
      <c r="C563">
        <f>Instructions!G570</f>
        <v>26</v>
      </c>
      <c r="D563" t="str">
        <f>IF(ISBLANK(Instructions!H570),"",Instructions!H570)</f>
        <v>Entered</v>
      </c>
      <c r="E563" s="1">
        <f>IF(ISBLANK(Instructions!I570),"",Instructions!I570)</f>
        <v>45646</v>
      </c>
      <c r="F563" t="str">
        <f>IF(ISBLANK(Instructions!J570),"",Instructions!J570)</f>
        <v>Erica Williams</v>
      </c>
      <c r="G563" s="1" t="str">
        <f>IF(ISBLANK(Instructions!K570),"",Instructions!K570)</f>
        <v/>
      </c>
      <c r="H563" t="str">
        <f>IF(ISBLANK(Instructions!L570),"",Instructions!L570)</f>
        <v/>
      </c>
      <c r="I563" t="str">
        <f t="shared" si="21"/>
        <v>NULL</v>
      </c>
      <c r="J563" t="str">
        <f t="shared" si="21"/>
        <v>NULL</v>
      </c>
      <c r="K563" t="str">
        <f>Instructions!M570</f>
        <v>Added via SMSS</v>
      </c>
      <c r="L563" t="str">
        <f t="shared" si="22"/>
        <v>NULL</v>
      </c>
    </row>
    <row r="564" spans="1:12" x14ac:dyDescent="0.25">
      <c r="A564" t="str" cm="1">
        <f t="array" ref="A564">_xlfn.CONCAT(Instructions!C571,Instructions!A571,"_",TEXT(Instructions!B571,"YYYYMMDD"),"_1_",INDEX(Table1[], MATCH(1,(Table1[Estuary]=Instructions!C571)*(Table1[StationNumber]=Instructions!D571)*(Instructions!B571&gt;Table1[StartDate])*(Instructions!B571&lt;Table1[EndDate]),0),1),"_1_",Instructions!E571,"_",Instructions!F571)</f>
        <v>TBSRVY_20190924_1_0291_1_012_013</v>
      </c>
      <c r="B564" t="str" cm="1">
        <f t="array" ref="B564">_xlfn.CONCAT(Instructions!C571,Instructions!A571,"_",TEXT(Instructions!B571,"YYYYMMDD"),"_1_",INDEX(Table1[], MATCH(1,(Table1[Estuary]=Instructions!C571)*(Table1[StationNumber]=Instructions!D571)*(Instructions!B571&gt;Table1[StartDate])*(Instructions!B571&lt;Table1[EndDate]),0),1),"_1_",Instructions!E571)</f>
        <v>TBSRVY_20190924_1_0291_1_012</v>
      </c>
      <c r="C564">
        <f>Instructions!G571</f>
        <v>17</v>
      </c>
      <c r="D564" t="str">
        <f>IF(ISBLANK(Instructions!H571),"",Instructions!H571)</f>
        <v>Entered</v>
      </c>
      <c r="E564" s="1">
        <f>IF(ISBLANK(Instructions!I571),"",Instructions!I571)</f>
        <v>45646</v>
      </c>
      <c r="F564" t="str">
        <f>IF(ISBLANK(Instructions!J571),"",Instructions!J571)</f>
        <v>Erica Williams</v>
      </c>
      <c r="G564" s="1" t="str">
        <f>IF(ISBLANK(Instructions!K571),"",Instructions!K571)</f>
        <v/>
      </c>
      <c r="H564" t="str">
        <f>IF(ISBLANK(Instructions!L571),"",Instructions!L571)</f>
        <v/>
      </c>
      <c r="I564" t="str">
        <f t="shared" si="21"/>
        <v>NULL</v>
      </c>
      <c r="J564" t="str">
        <f t="shared" si="21"/>
        <v>NULL</v>
      </c>
      <c r="K564" t="str">
        <f>Instructions!M571</f>
        <v>Added via SMSS</v>
      </c>
      <c r="L564" t="str">
        <f t="shared" si="22"/>
        <v>NULL</v>
      </c>
    </row>
    <row r="565" spans="1:12" x14ac:dyDescent="0.25">
      <c r="A565" t="str" cm="1">
        <f t="array" ref="A565">_xlfn.CONCAT(Instructions!C572,Instructions!A572,"_",TEXT(Instructions!B572,"YYYYMMDD"),"_1_",INDEX(Table1[], MATCH(1,(Table1[Estuary]=Instructions!C572)*(Table1[StationNumber]=Instructions!D572)*(Instructions!B572&gt;Table1[StartDate])*(Instructions!B572&lt;Table1[EndDate]),0),1),"_1_",Instructions!E572,"_",Instructions!F572)</f>
        <v>TBSRVY_20190924_1_0291_1_012_014</v>
      </c>
      <c r="B565" t="str" cm="1">
        <f t="array" ref="B565">_xlfn.CONCAT(Instructions!C572,Instructions!A572,"_",TEXT(Instructions!B572,"YYYYMMDD"),"_1_",INDEX(Table1[], MATCH(1,(Table1[Estuary]=Instructions!C572)*(Table1[StationNumber]=Instructions!D572)*(Instructions!B572&gt;Table1[StartDate])*(Instructions!B572&lt;Table1[EndDate]),0),1),"_1_",Instructions!E572)</f>
        <v>TBSRVY_20190924_1_0291_1_012</v>
      </c>
      <c r="C565">
        <f>Instructions!G572</f>
        <v>22</v>
      </c>
      <c r="D565" t="str">
        <f>IF(ISBLANK(Instructions!H572),"",Instructions!H572)</f>
        <v>Entered</v>
      </c>
      <c r="E565" s="1">
        <f>IF(ISBLANK(Instructions!I572),"",Instructions!I572)</f>
        <v>45646</v>
      </c>
      <c r="F565" t="str">
        <f>IF(ISBLANK(Instructions!J572),"",Instructions!J572)</f>
        <v>Erica Williams</v>
      </c>
      <c r="G565" s="1" t="str">
        <f>IF(ISBLANK(Instructions!K572),"",Instructions!K572)</f>
        <v/>
      </c>
      <c r="H565" t="str">
        <f>IF(ISBLANK(Instructions!L572),"",Instructions!L572)</f>
        <v/>
      </c>
      <c r="I565" t="str">
        <f t="shared" si="21"/>
        <v>NULL</v>
      </c>
      <c r="J565" t="str">
        <f t="shared" si="21"/>
        <v>NULL</v>
      </c>
      <c r="K565" t="str">
        <f>Instructions!M572</f>
        <v>Added via SMSS</v>
      </c>
      <c r="L565" t="str">
        <f t="shared" si="22"/>
        <v>NULL</v>
      </c>
    </row>
    <row r="566" spans="1:12" x14ac:dyDescent="0.25">
      <c r="A566" t="str" cm="1">
        <f t="array" ref="A566">_xlfn.CONCAT(Instructions!C573,Instructions!A573,"_",TEXT(Instructions!B573,"YYYYMMDD"),"_1_",INDEX(Table1[], MATCH(1,(Table1[Estuary]=Instructions!C573)*(Table1[StationNumber]=Instructions!D573)*(Instructions!B573&gt;Table1[StartDate])*(Instructions!B573&lt;Table1[EndDate]),0),1),"_1_",Instructions!E573,"_",Instructions!F573)</f>
        <v>TBSRVY_20190924_1_0291_1_012_015</v>
      </c>
      <c r="B566" t="str" cm="1">
        <f t="array" ref="B566">_xlfn.CONCAT(Instructions!C573,Instructions!A573,"_",TEXT(Instructions!B573,"YYYYMMDD"),"_1_",INDEX(Table1[], MATCH(1,(Table1[Estuary]=Instructions!C573)*(Table1[StationNumber]=Instructions!D573)*(Instructions!B573&gt;Table1[StartDate])*(Instructions!B573&lt;Table1[EndDate]),0),1),"_1_",Instructions!E573)</f>
        <v>TBSRVY_20190924_1_0291_1_012</v>
      </c>
      <c r="C566">
        <f>Instructions!G573</f>
        <v>22</v>
      </c>
      <c r="D566" t="str">
        <f>IF(ISBLANK(Instructions!H573),"",Instructions!H573)</f>
        <v>Entered</v>
      </c>
      <c r="E566" s="1">
        <f>IF(ISBLANK(Instructions!I573),"",Instructions!I573)</f>
        <v>45646</v>
      </c>
      <c r="F566" t="str">
        <f>IF(ISBLANK(Instructions!J573),"",Instructions!J573)</f>
        <v>Erica Williams</v>
      </c>
      <c r="G566" s="1" t="str">
        <f>IF(ISBLANK(Instructions!K573),"",Instructions!K573)</f>
        <v/>
      </c>
      <c r="H566" t="str">
        <f>IF(ISBLANK(Instructions!L573),"",Instructions!L573)</f>
        <v/>
      </c>
      <c r="I566" t="str">
        <f t="shared" si="21"/>
        <v>NULL</v>
      </c>
      <c r="J566" t="str">
        <f t="shared" si="21"/>
        <v>NULL</v>
      </c>
      <c r="K566" t="str">
        <f>Instructions!M573</f>
        <v>Added via SMSS</v>
      </c>
      <c r="L566" t="str">
        <f t="shared" si="22"/>
        <v>NULL</v>
      </c>
    </row>
    <row r="567" spans="1:12" x14ac:dyDescent="0.25">
      <c r="A567" t="str" cm="1">
        <f t="array" ref="A567">_xlfn.CONCAT(Instructions!C574,Instructions!A574,"_",TEXT(Instructions!B574,"YYYYMMDD"),"_1_",INDEX(Table1[], MATCH(1,(Table1[Estuary]=Instructions!C574)*(Table1[StationNumber]=Instructions!D574)*(Instructions!B574&gt;Table1[StartDate])*(Instructions!B574&lt;Table1[EndDate]),0),1),"_1_",Instructions!E574,"_",Instructions!F574)</f>
        <v>TBSRVY_20190924_1_0291_1_012_016</v>
      </c>
      <c r="B567" t="str" cm="1">
        <f t="array" ref="B567">_xlfn.CONCAT(Instructions!C574,Instructions!A574,"_",TEXT(Instructions!B574,"YYYYMMDD"),"_1_",INDEX(Table1[], MATCH(1,(Table1[Estuary]=Instructions!C574)*(Table1[StationNumber]=Instructions!D574)*(Instructions!B574&gt;Table1[StartDate])*(Instructions!B574&lt;Table1[EndDate]),0),1),"_1_",Instructions!E574)</f>
        <v>TBSRVY_20190924_1_0291_1_012</v>
      </c>
      <c r="C567">
        <f>Instructions!G574</f>
        <v>16</v>
      </c>
      <c r="D567" t="str">
        <f>IF(ISBLANK(Instructions!H574),"",Instructions!H574)</f>
        <v>Entered</v>
      </c>
      <c r="E567" s="1">
        <f>IF(ISBLANK(Instructions!I574),"",Instructions!I574)</f>
        <v>45646</v>
      </c>
      <c r="F567" t="str">
        <f>IF(ISBLANK(Instructions!J574),"",Instructions!J574)</f>
        <v>Erica Williams</v>
      </c>
      <c r="G567" s="1" t="str">
        <f>IF(ISBLANK(Instructions!K574),"",Instructions!K574)</f>
        <v/>
      </c>
      <c r="H567" t="str">
        <f>IF(ISBLANK(Instructions!L574),"",Instructions!L574)</f>
        <v/>
      </c>
      <c r="I567" t="str">
        <f t="shared" si="21"/>
        <v>NULL</v>
      </c>
      <c r="J567" t="str">
        <f t="shared" si="21"/>
        <v>NULL</v>
      </c>
      <c r="K567" t="str">
        <f>Instructions!M574</f>
        <v>Added via SMSS</v>
      </c>
      <c r="L567" t="str">
        <f t="shared" si="22"/>
        <v>NULL</v>
      </c>
    </row>
    <row r="568" spans="1:12" x14ac:dyDescent="0.25">
      <c r="A568" t="str" cm="1">
        <f t="array" ref="A568">_xlfn.CONCAT(Instructions!C575,Instructions!A575,"_",TEXT(Instructions!B575,"YYYYMMDD"),"_1_",INDEX(Table1[], MATCH(1,(Table1[Estuary]=Instructions!C575)*(Table1[StationNumber]=Instructions!D575)*(Instructions!B575&gt;Table1[StartDate])*(Instructions!B575&lt;Table1[EndDate]),0),1),"_1_",Instructions!E575,"_",Instructions!F575)</f>
        <v>TBSRVY_20190924_1_0291_1_012_017</v>
      </c>
      <c r="B568" t="str" cm="1">
        <f t="array" ref="B568">_xlfn.CONCAT(Instructions!C575,Instructions!A575,"_",TEXT(Instructions!B575,"YYYYMMDD"),"_1_",INDEX(Table1[], MATCH(1,(Table1[Estuary]=Instructions!C575)*(Table1[StationNumber]=Instructions!D575)*(Instructions!B575&gt;Table1[StartDate])*(Instructions!B575&lt;Table1[EndDate]),0),1),"_1_",Instructions!E575)</f>
        <v>TBSRVY_20190924_1_0291_1_012</v>
      </c>
      <c r="C568">
        <f>Instructions!G575</f>
        <v>25</v>
      </c>
      <c r="D568" t="str">
        <f>IF(ISBLANK(Instructions!H575),"",Instructions!H575)</f>
        <v>Entered</v>
      </c>
      <c r="E568" s="1">
        <f>IF(ISBLANK(Instructions!I575),"",Instructions!I575)</f>
        <v>45646</v>
      </c>
      <c r="F568" t="str">
        <f>IF(ISBLANK(Instructions!J575),"",Instructions!J575)</f>
        <v>Erica Williams</v>
      </c>
      <c r="G568" s="1" t="str">
        <f>IF(ISBLANK(Instructions!K575),"",Instructions!K575)</f>
        <v/>
      </c>
      <c r="H568" t="str">
        <f>IF(ISBLANK(Instructions!L575),"",Instructions!L575)</f>
        <v/>
      </c>
      <c r="I568" t="str">
        <f t="shared" si="21"/>
        <v>NULL</v>
      </c>
      <c r="J568" t="str">
        <f t="shared" si="21"/>
        <v>NULL</v>
      </c>
      <c r="K568" t="str">
        <f>Instructions!M575</f>
        <v>Added via SMSS</v>
      </c>
      <c r="L568" t="str">
        <f t="shared" si="22"/>
        <v>NULL</v>
      </c>
    </row>
    <row r="569" spans="1:12" x14ac:dyDescent="0.25">
      <c r="A569" t="str" cm="1">
        <f t="array" ref="A569">_xlfn.CONCAT(Instructions!C576,Instructions!A576,"_",TEXT(Instructions!B576,"YYYYMMDD"),"_1_",INDEX(Table1[], MATCH(1,(Table1[Estuary]=Instructions!C576)*(Table1[StationNumber]=Instructions!D576)*(Instructions!B576&gt;Table1[StartDate])*(Instructions!B576&lt;Table1[EndDate]),0),1),"_1_",Instructions!E576,"_",Instructions!F576)</f>
        <v>TBSRVY_20190924_1_0291_1_012_018</v>
      </c>
      <c r="B569" t="str" cm="1">
        <f t="array" ref="B569">_xlfn.CONCAT(Instructions!C576,Instructions!A576,"_",TEXT(Instructions!B576,"YYYYMMDD"),"_1_",INDEX(Table1[], MATCH(1,(Table1[Estuary]=Instructions!C576)*(Table1[StationNumber]=Instructions!D576)*(Instructions!B576&gt;Table1[StartDate])*(Instructions!B576&lt;Table1[EndDate]),0),1),"_1_",Instructions!E576)</f>
        <v>TBSRVY_20190924_1_0291_1_012</v>
      </c>
      <c r="C569">
        <f>Instructions!G576</f>
        <v>34</v>
      </c>
      <c r="D569" t="str">
        <f>IF(ISBLANK(Instructions!H576),"",Instructions!H576)</f>
        <v>Entered</v>
      </c>
      <c r="E569" s="1">
        <f>IF(ISBLANK(Instructions!I576),"",Instructions!I576)</f>
        <v>45646</v>
      </c>
      <c r="F569" t="str">
        <f>IF(ISBLANK(Instructions!J576),"",Instructions!J576)</f>
        <v>Erica Williams</v>
      </c>
      <c r="G569" s="1" t="str">
        <f>IF(ISBLANK(Instructions!K576),"",Instructions!K576)</f>
        <v/>
      </c>
      <c r="H569" t="str">
        <f>IF(ISBLANK(Instructions!L576),"",Instructions!L576)</f>
        <v/>
      </c>
      <c r="I569" t="str">
        <f t="shared" si="21"/>
        <v>NULL</v>
      </c>
      <c r="J569" t="str">
        <f t="shared" si="21"/>
        <v>NULL</v>
      </c>
      <c r="K569" t="str">
        <f>Instructions!M576</f>
        <v>Added via SMSS</v>
      </c>
      <c r="L569" t="str">
        <f t="shared" si="22"/>
        <v>NULL</v>
      </c>
    </row>
    <row r="570" spans="1:12" x14ac:dyDescent="0.25">
      <c r="A570" t="str" cm="1">
        <f t="array" ref="A570">_xlfn.CONCAT(Instructions!C577,Instructions!A577,"_",TEXT(Instructions!B577,"YYYYMMDD"),"_1_",INDEX(Table1[], MATCH(1,(Table1[Estuary]=Instructions!C577)*(Table1[StationNumber]=Instructions!D577)*(Instructions!B577&gt;Table1[StartDate])*(Instructions!B577&lt;Table1[EndDate]),0),1),"_1_",Instructions!E577,"_",Instructions!F577)</f>
        <v>TBSRVY_20190924_1_0291_1_012_019</v>
      </c>
      <c r="B570" t="str" cm="1">
        <f t="array" ref="B570">_xlfn.CONCAT(Instructions!C577,Instructions!A577,"_",TEXT(Instructions!B577,"YYYYMMDD"),"_1_",INDEX(Table1[], MATCH(1,(Table1[Estuary]=Instructions!C577)*(Table1[StationNumber]=Instructions!D577)*(Instructions!B577&gt;Table1[StartDate])*(Instructions!B577&lt;Table1[EndDate]),0),1),"_1_",Instructions!E577)</f>
        <v>TBSRVY_20190924_1_0291_1_012</v>
      </c>
      <c r="C570">
        <f>Instructions!G577</f>
        <v>29</v>
      </c>
      <c r="D570" t="str">
        <f>IF(ISBLANK(Instructions!H577),"",Instructions!H577)</f>
        <v>Entered</v>
      </c>
      <c r="E570" s="1">
        <f>IF(ISBLANK(Instructions!I577),"",Instructions!I577)</f>
        <v>45646</v>
      </c>
      <c r="F570" t="str">
        <f>IF(ISBLANK(Instructions!J577),"",Instructions!J577)</f>
        <v>Erica Williams</v>
      </c>
      <c r="G570" s="1" t="str">
        <f>IF(ISBLANK(Instructions!K577),"",Instructions!K577)</f>
        <v/>
      </c>
      <c r="H570" t="str">
        <f>IF(ISBLANK(Instructions!L577),"",Instructions!L577)</f>
        <v/>
      </c>
      <c r="I570" t="str">
        <f t="shared" si="21"/>
        <v>NULL</v>
      </c>
      <c r="J570" t="str">
        <f t="shared" si="21"/>
        <v>NULL</v>
      </c>
      <c r="K570" t="str">
        <f>Instructions!M577</f>
        <v>Added via SMSS</v>
      </c>
      <c r="L570" t="str">
        <f t="shared" si="22"/>
        <v>NULL</v>
      </c>
    </row>
    <row r="571" spans="1:12" x14ac:dyDescent="0.25">
      <c r="A571" t="str" cm="1">
        <f t="array" ref="A571">_xlfn.CONCAT(Instructions!C578,Instructions!A578,"_",TEXT(Instructions!B578,"YYYYMMDD"),"_1_",INDEX(Table1[], MATCH(1,(Table1[Estuary]=Instructions!C578)*(Table1[StationNumber]=Instructions!D578)*(Instructions!B578&gt;Table1[StartDate])*(Instructions!B578&lt;Table1[EndDate]),0),1),"_1_",Instructions!E578,"_",Instructions!F578)</f>
        <v>TBSRVY_20190924_1_0291_1_012_020</v>
      </c>
      <c r="B571" t="str" cm="1">
        <f t="array" ref="B571">_xlfn.CONCAT(Instructions!C578,Instructions!A578,"_",TEXT(Instructions!B578,"YYYYMMDD"),"_1_",INDEX(Table1[], MATCH(1,(Table1[Estuary]=Instructions!C578)*(Table1[StationNumber]=Instructions!D578)*(Instructions!B578&gt;Table1[StartDate])*(Instructions!B578&lt;Table1[EndDate]),0),1),"_1_",Instructions!E578)</f>
        <v>TBSRVY_20190924_1_0291_1_012</v>
      </c>
      <c r="C571">
        <f>Instructions!G578</f>
        <v>26</v>
      </c>
      <c r="D571" t="str">
        <f>IF(ISBLANK(Instructions!H578),"",Instructions!H578)</f>
        <v>Entered</v>
      </c>
      <c r="E571" s="1">
        <f>IF(ISBLANK(Instructions!I578),"",Instructions!I578)</f>
        <v>45646</v>
      </c>
      <c r="F571" t="str">
        <f>IF(ISBLANK(Instructions!J578),"",Instructions!J578)</f>
        <v>Erica Williams</v>
      </c>
      <c r="G571" s="1" t="str">
        <f>IF(ISBLANK(Instructions!K578),"",Instructions!K578)</f>
        <v/>
      </c>
      <c r="H571" t="str">
        <f>IF(ISBLANK(Instructions!L578),"",Instructions!L578)</f>
        <v/>
      </c>
      <c r="I571" t="str">
        <f t="shared" si="21"/>
        <v>NULL</v>
      </c>
      <c r="J571" t="str">
        <f t="shared" si="21"/>
        <v>NULL</v>
      </c>
      <c r="K571" t="str">
        <f>Instructions!M578</f>
        <v>Added via SMSS</v>
      </c>
      <c r="L571" t="str">
        <f t="shared" si="22"/>
        <v>NULL</v>
      </c>
    </row>
    <row r="572" spans="1:12" x14ac:dyDescent="0.25">
      <c r="A572" t="str" cm="1">
        <f t="array" ref="A572">_xlfn.CONCAT(Instructions!C579,Instructions!A579,"_",TEXT(Instructions!B579,"YYYYMMDD"),"_1_",INDEX(Table1[], MATCH(1,(Table1[Estuary]=Instructions!C579)*(Table1[StationNumber]=Instructions!D579)*(Instructions!B579&gt;Table1[StartDate])*(Instructions!B579&lt;Table1[EndDate]),0),1),"_1_",Instructions!E579,"_",Instructions!F579)</f>
        <v>TBSRVY_20190924_1_0291_1_012_021</v>
      </c>
      <c r="B572" t="str" cm="1">
        <f t="array" ref="B572">_xlfn.CONCAT(Instructions!C579,Instructions!A579,"_",TEXT(Instructions!B579,"YYYYMMDD"),"_1_",INDEX(Table1[], MATCH(1,(Table1[Estuary]=Instructions!C579)*(Table1[StationNumber]=Instructions!D579)*(Instructions!B579&gt;Table1[StartDate])*(Instructions!B579&lt;Table1[EndDate]),0),1),"_1_",Instructions!E579)</f>
        <v>TBSRVY_20190924_1_0291_1_012</v>
      </c>
      <c r="C572">
        <f>Instructions!G579</f>
        <v>22</v>
      </c>
      <c r="D572" t="str">
        <f>IF(ISBLANK(Instructions!H579),"",Instructions!H579)</f>
        <v>Entered</v>
      </c>
      <c r="E572" s="1">
        <f>IF(ISBLANK(Instructions!I579),"",Instructions!I579)</f>
        <v>45646</v>
      </c>
      <c r="F572" t="str">
        <f>IF(ISBLANK(Instructions!J579),"",Instructions!J579)</f>
        <v>Erica Williams</v>
      </c>
      <c r="G572" s="1" t="str">
        <f>IF(ISBLANK(Instructions!K579),"",Instructions!K579)</f>
        <v/>
      </c>
      <c r="H572" t="str">
        <f>IF(ISBLANK(Instructions!L579),"",Instructions!L579)</f>
        <v/>
      </c>
      <c r="I572" t="str">
        <f t="shared" si="21"/>
        <v>NULL</v>
      </c>
      <c r="J572" t="str">
        <f t="shared" si="21"/>
        <v>NULL</v>
      </c>
      <c r="K572" t="str">
        <f>Instructions!M579</f>
        <v>Added via SMSS</v>
      </c>
      <c r="L572" t="str">
        <f t="shared" si="22"/>
        <v>NULL</v>
      </c>
    </row>
    <row r="573" spans="1:12" x14ac:dyDescent="0.25">
      <c r="A573" t="str" cm="1">
        <f t="array" ref="A573">_xlfn.CONCAT(Instructions!C580,Instructions!A580,"_",TEXT(Instructions!B580,"YYYYMMDD"),"_1_",INDEX(Table1[], MATCH(1,(Table1[Estuary]=Instructions!C580)*(Table1[StationNumber]=Instructions!D580)*(Instructions!B580&gt;Table1[StartDate])*(Instructions!B580&lt;Table1[EndDate]),0),1),"_1_",Instructions!E580,"_",Instructions!F580)</f>
        <v>TBSRVY_20190924_1_0291_1_012_022</v>
      </c>
      <c r="B573" t="str" cm="1">
        <f t="array" ref="B573">_xlfn.CONCAT(Instructions!C580,Instructions!A580,"_",TEXT(Instructions!B580,"YYYYMMDD"),"_1_",INDEX(Table1[], MATCH(1,(Table1[Estuary]=Instructions!C580)*(Table1[StationNumber]=Instructions!D580)*(Instructions!B580&gt;Table1[StartDate])*(Instructions!B580&lt;Table1[EndDate]),0),1),"_1_",Instructions!E580)</f>
        <v>TBSRVY_20190924_1_0291_1_012</v>
      </c>
      <c r="C573">
        <f>Instructions!G580</f>
        <v>31</v>
      </c>
      <c r="D573" t="str">
        <f>IF(ISBLANK(Instructions!H580),"",Instructions!H580)</f>
        <v>Entered</v>
      </c>
      <c r="E573" s="1">
        <f>IF(ISBLANK(Instructions!I580),"",Instructions!I580)</f>
        <v>45646</v>
      </c>
      <c r="F573" t="str">
        <f>IF(ISBLANK(Instructions!J580),"",Instructions!J580)</f>
        <v>Erica Williams</v>
      </c>
      <c r="G573" s="1" t="str">
        <f>IF(ISBLANK(Instructions!K580),"",Instructions!K580)</f>
        <v/>
      </c>
      <c r="H573" t="str">
        <f>IF(ISBLANK(Instructions!L580),"",Instructions!L580)</f>
        <v/>
      </c>
      <c r="I573" t="str">
        <f t="shared" si="21"/>
        <v>NULL</v>
      </c>
      <c r="J573" t="str">
        <f t="shared" si="21"/>
        <v>NULL</v>
      </c>
      <c r="K573" t="str">
        <f>Instructions!M580</f>
        <v>Added via SMSS</v>
      </c>
      <c r="L573" t="str">
        <f t="shared" si="22"/>
        <v>NULL</v>
      </c>
    </row>
    <row r="574" spans="1:12" x14ac:dyDescent="0.25">
      <c r="A574" t="str" cm="1">
        <f t="array" ref="A574">_xlfn.CONCAT(Instructions!C581,Instructions!A581,"_",TEXT(Instructions!B581,"YYYYMMDD"),"_1_",INDEX(Table1[], MATCH(1,(Table1[Estuary]=Instructions!C581)*(Table1[StationNumber]=Instructions!D581)*(Instructions!B581&gt;Table1[StartDate])*(Instructions!B581&lt;Table1[EndDate]),0),1),"_1_",Instructions!E581,"_",Instructions!F581)</f>
        <v>TBSRVY_20190924_1_0291_1_012_023</v>
      </c>
      <c r="B574" t="str" cm="1">
        <f t="array" ref="B574">_xlfn.CONCAT(Instructions!C581,Instructions!A581,"_",TEXT(Instructions!B581,"YYYYMMDD"),"_1_",INDEX(Table1[], MATCH(1,(Table1[Estuary]=Instructions!C581)*(Table1[StationNumber]=Instructions!D581)*(Instructions!B581&gt;Table1[StartDate])*(Instructions!B581&lt;Table1[EndDate]),0),1),"_1_",Instructions!E581)</f>
        <v>TBSRVY_20190924_1_0291_1_012</v>
      </c>
      <c r="C574">
        <f>Instructions!G581</f>
        <v>11</v>
      </c>
      <c r="D574" t="str">
        <f>IF(ISBLANK(Instructions!H581),"",Instructions!H581)</f>
        <v>Entered</v>
      </c>
      <c r="E574" s="1">
        <f>IF(ISBLANK(Instructions!I581),"",Instructions!I581)</f>
        <v>45646</v>
      </c>
      <c r="F574" t="str">
        <f>IF(ISBLANK(Instructions!J581),"",Instructions!J581)</f>
        <v>Erica Williams</v>
      </c>
      <c r="G574" s="1" t="str">
        <f>IF(ISBLANK(Instructions!K581),"",Instructions!K581)</f>
        <v/>
      </c>
      <c r="H574" t="str">
        <f>IF(ISBLANK(Instructions!L581),"",Instructions!L581)</f>
        <v/>
      </c>
      <c r="I574" t="str">
        <f t="shared" si="21"/>
        <v>NULL</v>
      </c>
      <c r="J574" t="str">
        <f t="shared" si="21"/>
        <v>NULL</v>
      </c>
      <c r="K574" t="str">
        <f>Instructions!M581</f>
        <v>Added via SMSS</v>
      </c>
      <c r="L574" t="str">
        <f t="shared" si="22"/>
        <v>NULL</v>
      </c>
    </row>
    <row r="575" spans="1:12" x14ac:dyDescent="0.25">
      <c r="A575" t="str" cm="1">
        <f t="array" ref="A575">_xlfn.CONCAT(Instructions!C582,Instructions!A582,"_",TEXT(Instructions!B582,"YYYYMMDD"),"_1_",INDEX(Table1[], MATCH(1,(Table1[Estuary]=Instructions!C582)*(Table1[StationNumber]=Instructions!D582)*(Instructions!B582&gt;Table1[StartDate])*(Instructions!B582&lt;Table1[EndDate]),0),1),"_1_",Instructions!E582,"_",Instructions!F582)</f>
        <v>TBSRVY_20190924_1_0291_1_012_024</v>
      </c>
      <c r="B575" t="str" cm="1">
        <f t="array" ref="B575">_xlfn.CONCAT(Instructions!C582,Instructions!A582,"_",TEXT(Instructions!B582,"YYYYMMDD"),"_1_",INDEX(Table1[], MATCH(1,(Table1[Estuary]=Instructions!C582)*(Table1[StationNumber]=Instructions!D582)*(Instructions!B582&gt;Table1[StartDate])*(Instructions!B582&lt;Table1[EndDate]),0),1),"_1_",Instructions!E582)</f>
        <v>TBSRVY_20190924_1_0291_1_012</v>
      </c>
      <c r="C575">
        <f>Instructions!G582</f>
        <v>5</v>
      </c>
      <c r="D575" t="str">
        <f>IF(ISBLANK(Instructions!H582),"",Instructions!H582)</f>
        <v>Entered</v>
      </c>
      <c r="E575" s="1">
        <f>IF(ISBLANK(Instructions!I582),"",Instructions!I582)</f>
        <v>45646</v>
      </c>
      <c r="F575" t="str">
        <f>IF(ISBLANK(Instructions!J582),"",Instructions!J582)</f>
        <v>Erica Williams</v>
      </c>
      <c r="G575" s="1" t="str">
        <f>IF(ISBLANK(Instructions!K582),"",Instructions!K582)</f>
        <v/>
      </c>
      <c r="H575" t="str">
        <f>IF(ISBLANK(Instructions!L582),"",Instructions!L582)</f>
        <v/>
      </c>
      <c r="I575" t="str">
        <f t="shared" si="21"/>
        <v>NULL</v>
      </c>
      <c r="J575" t="str">
        <f t="shared" si="21"/>
        <v>NULL</v>
      </c>
      <c r="K575" t="str">
        <f>Instructions!M582</f>
        <v>Added via SMSS</v>
      </c>
      <c r="L575" t="str">
        <f t="shared" si="22"/>
        <v>NULL</v>
      </c>
    </row>
    <row r="576" spans="1:12" x14ac:dyDescent="0.25">
      <c r="A576" t="str" cm="1">
        <f t="array" ref="A576">_xlfn.CONCAT(Instructions!C583,Instructions!A583,"_",TEXT(Instructions!B583,"YYYYMMDD"),"_1_",INDEX(Table1[], MATCH(1,(Table1[Estuary]=Instructions!C583)*(Table1[StationNumber]=Instructions!D583)*(Instructions!B583&gt;Table1[StartDate])*(Instructions!B583&lt;Table1[EndDate]),0),1),"_1_",Instructions!E583,"_",Instructions!F583)</f>
        <v>TBSRVY_20190924_1_0291_1_012_025</v>
      </c>
      <c r="B576" t="str" cm="1">
        <f t="array" ref="B576">_xlfn.CONCAT(Instructions!C583,Instructions!A583,"_",TEXT(Instructions!B583,"YYYYMMDD"),"_1_",INDEX(Table1[], MATCH(1,(Table1[Estuary]=Instructions!C583)*(Table1[StationNumber]=Instructions!D583)*(Instructions!B583&gt;Table1[StartDate])*(Instructions!B583&lt;Table1[EndDate]),0),1),"_1_",Instructions!E583)</f>
        <v>TBSRVY_20190924_1_0291_1_012</v>
      </c>
      <c r="C576">
        <f>Instructions!G583</f>
        <v>19</v>
      </c>
      <c r="D576" t="str">
        <f>IF(ISBLANK(Instructions!H583),"",Instructions!H583)</f>
        <v>Entered</v>
      </c>
      <c r="E576" s="1">
        <f>IF(ISBLANK(Instructions!I583),"",Instructions!I583)</f>
        <v>45646</v>
      </c>
      <c r="F576" t="str">
        <f>IF(ISBLANK(Instructions!J583),"",Instructions!J583)</f>
        <v>Erica Williams</v>
      </c>
      <c r="G576" s="1" t="str">
        <f>IF(ISBLANK(Instructions!K583),"",Instructions!K583)</f>
        <v/>
      </c>
      <c r="H576" t="str">
        <f>IF(ISBLANK(Instructions!L583),"",Instructions!L583)</f>
        <v/>
      </c>
      <c r="I576" t="str">
        <f t="shared" si="21"/>
        <v>NULL</v>
      </c>
      <c r="J576" t="str">
        <f t="shared" si="21"/>
        <v>NULL</v>
      </c>
      <c r="K576" t="str">
        <f>Instructions!M583</f>
        <v>Added via SMSS</v>
      </c>
      <c r="L576" t="str">
        <f t="shared" si="22"/>
        <v>NULL</v>
      </c>
    </row>
    <row r="577" spans="1:12" x14ac:dyDescent="0.25">
      <c r="A577" t="str" cm="1">
        <f t="array" ref="A577">_xlfn.CONCAT(Instructions!C584,Instructions!A584,"_",TEXT(Instructions!B584,"YYYYMMDD"),"_1_",INDEX(Table1[], MATCH(1,(Table1[Estuary]=Instructions!C584)*(Table1[StationNumber]=Instructions!D584)*(Instructions!B584&gt;Table1[StartDate])*(Instructions!B584&lt;Table1[EndDate]),0),1),"_1_",Instructions!E584,"_",Instructions!F584)</f>
        <v>TBSRVY_20190924_1_0291_1_012_026</v>
      </c>
      <c r="B577" t="str" cm="1">
        <f t="array" ref="B577">_xlfn.CONCAT(Instructions!C584,Instructions!A584,"_",TEXT(Instructions!B584,"YYYYMMDD"),"_1_",INDEX(Table1[], MATCH(1,(Table1[Estuary]=Instructions!C584)*(Table1[StationNumber]=Instructions!D584)*(Instructions!B584&gt;Table1[StartDate])*(Instructions!B584&lt;Table1[EndDate]),0),1),"_1_",Instructions!E584)</f>
        <v>TBSRVY_20190924_1_0291_1_012</v>
      </c>
      <c r="C577">
        <f>Instructions!G584</f>
        <v>4</v>
      </c>
      <c r="D577" t="str">
        <f>IF(ISBLANK(Instructions!H584),"",Instructions!H584)</f>
        <v>Entered</v>
      </c>
      <c r="E577" s="1">
        <f>IF(ISBLANK(Instructions!I584),"",Instructions!I584)</f>
        <v>45646</v>
      </c>
      <c r="F577" t="str">
        <f>IF(ISBLANK(Instructions!J584),"",Instructions!J584)</f>
        <v>Erica Williams</v>
      </c>
      <c r="G577" s="1" t="str">
        <f>IF(ISBLANK(Instructions!K584),"",Instructions!K584)</f>
        <v/>
      </c>
      <c r="H577" t="str">
        <f>IF(ISBLANK(Instructions!L584),"",Instructions!L584)</f>
        <v/>
      </c>
      <c r="I577" t="str">
        <f t="shared" si="21"/>
        <v>NULL</v>
      </c>
      <c r="J577" t="str">
        <f t="shared" si="21"/>
        <v>NULL</v>
      </c>
      <c r="K577" t="str">
        <f>Instructions!M584</f>
        <v>Added via SMSS</v>
      </c>
      <c r="L577" t="str">
        <f t="shared" si="22"/>
        <v>NULL</v>
      </c>
    </row>
    <row r="578" spans="1:12" x14ac:dyDescent="0.25">
      <c r="A578" t="str" cm="1">
        <f t="array" ref="A578">_xlfn.CONCAT(Instructions!C585,Instructions!A585,"_",TEXT(Instructions!B585,"YYYYMMDD"),"_1_",INDEX(Table1[], MATCH(1,(Table1[Estuary]=Instructions!C585)*(Table1[StationNumber]=Instructions!D585)*(Instructions!B585&gt;Table1[StartDate])*(Instructions!B585&lt;Table1[EndDate]),0),1),"_1_",Instructions!E585,"_",Instructions!F585)</f>
        <v>TBSRVY_20190924_1_0291_1_012_027</v>
      </c>
      <c r="B578" t="str" cm="1">
        <f t="array" ref="B578">_xlfn.CONCAT(Instructions!C585,Instructions!A585,"_",TEXT(Instructions!B585,"YYYYMMDD"),"_1_",INDEX(Table1[], MATCH(1,(Table1[Estuary]=Instructions!C585)*(Table1[StationNumber]=Instructions!D585)*(Instructions!B585&gt;Table1[StartDate])*(Instructions!B585&lt;Table1[EndDate]),0),1),"_1_",Instructions!E585)</f>
        <v>TBSRVY_20190924_1_0291_1_012</v>
      </c>
      <c r="C578">
        <f>Instructions!G585</f>
        <v>45</v>
      </c>
      <c r="D578" t="str">
        <f>IF(ISBLANK(Instructions!H585),"",Instructions!H585)</f>
        <v>Entered</v>
      </c>
      <c r="E578" s="1">
        <f>IF(ISBLANK(Instructions!I585),"",Instructions!I585)</f>
        <v>45646</v>
      </c>
      <c r="F578" t="str">
        <f>IF(ISBLANK(Instructions!J585),"",Instructions!J585)</f>
        <v>Erica Williams</v>
      </c>
      <c r="G578" s="1" t="str">
        <f>IF(ISBLANK(Instructions!K585),"",Instructions!K585)</f>
        <v/>
      </c>
      <c r="H578" t="str">
        <f>IF(ISBLANK(Instructions!L585),"",Instructions!L585)</f>
        <v/>
      </c>
      <c r="I578" t="str">
        <f t="shared" si="21"/>
        <v>NULL</v>
      </c>
      <c r="J578" t="str">
        <f t="shared" si="21"/>
        <v>NULL</v>
      </c>
      <c r="K578" t="str">
        <f>Instructions!M585</f>
        <v>Added via SMSS</v>
      </c>
      <c r="L578" t="str">
        <f t="shared" si="22"/>
        <v>NULL</v>
      </c>
    </row>
    <row r="579" spans="1:12" x14ac:dyDescent="0.25">
      <c r="A579" t="str" cm="1">
        <f t="array" ref="A579">_xlfn.CONCAT(Instructions!C586,Instructions!A586,"_",TEXT(Instructions!B586,"YYYYMMDD"),"_1_",INDEX(Table1[], MATCH(1,(Table1[Estuary]=Instructions!C586)*(Table1[StationNumber]=Instructions!D586)*(Instructions!B586&gt;Table1[StartDate])*(Instructions!B586&lt;Table1[EndDate]),0),1),"_1_",Instructions!E586,"_",Instructions!F586)</f>
        <v>TBSRVY_20190924_1_0291_1_012_028</v>
      </c>
      <c r="B579" t="str" cm="1">
        <f t="array" ref="B579">_xlfn.CONCAT(Instructions!C586,Instructions!A586,"_",TEXT(Instructions!B586,"YYYYMMDD"),"_1_",INDEX(Table1[], MATCH(1,(Table1[Estuary]=Instructions!C586)*(Table1[StationNumber]=Instructions!D586)*(Instructions!B586&gt;Table1[StartDate])*(Instructions!B586&lt;Table1[EndDate]),0),1),"_1_",Instructions!E586)</f>
        <v>TBSRVY_20190924_1_0291_1_012</v>
      </c>
      <c r="C579">
        <f>Instructions!G586</f>
        <v>40</v>
      </c>
      <c r="D579" t="str">
        <f>IF(ISBLANK(Instructions!H586),"",Instructions!H586)</f>
        <v>Entered</v>
      </c>
      <c r="E579" s="1">
        <f>IF(ISBLANK(Instructions!I586),"",Instructions!I586)</f>
        <v>45646</v>
      </c>
      <c r="F579" t="str">
        <f>IF(ISBLANK(Instructions!J586),"",Instructions!J586)</f>
        <v>Erica Williams</v>
      </c>
      <c r="G579" s="1" t="str">
        <f>IF(ISBLANK(Instructions!K586),"",Instructions!K586)</f>
        <v/>
      </c>
      <c r="H579" t="str">
        <f>IF(ISBLANK(Instructions!L586),"",Instructions!L586)</f>
        <v/>
      </c>
      <c r="I579" t="str">
        <f t="shared" si="21"/>
        <v>NULL</v>
      </c>
      <c r="J579" t="str">
        <f t="shared" si="21"/>
        <v>NULL</v>
      </c>
      <c r="K579" t="str">
        <f>Instructions!M586</f>
        <v>Added via SMSS</v>
      </c>
      <c r="L579" t="str">
        <f t="shared" si="22"/>
        <v>NULL</v>
      </c>
    </row>
    <row r="580" spans="1:12" x14ac:dyDescent="0.25">
      <c r="A580" t="str" cm="1">
        <f t="array" ref="A580">_xlfn.CONCAT(Instructions!C587,Instructions!A587,"_",TEXT(Instructions!B587,"YYYYMMDD"),"_1_",INDEX(Table1[], MATCH(1,(Table1[Estuary]=Instructions!C587)*(Table1[StationNumber]=Instructions!D587)*(Instructions!B587&gt;Table1[StartDate])*(Instructions!B587&lt;Table1[EndDate]),0),1),"_1_",Instructions!E587,"_",Instructions!F587)</f>
        <v>TBSRVY_20190924_1_0291_1_012_029</v>
      </c>
      <c r="B580" t="str" cm="1">
        <f t="array" ref="B580">_xlfn.CONCAT(Instructions!C587,Instructions!A587,"_",TEXT(Instructions!B587,"YYYYMMDD"),"_1_",INDEX(Table1[], MATCH(1,(Table1[Estuary]=Instructions!C587)*(Table1[StationNumber]=Instructions!D587)*(Instructions!B587&gt;Table1[StartDate])*(Instructions!B587&lt;Table1[EndDate]),0),1),"_1_",Instructions!E587)</f>
        <v>TBSRVY_20190924_1_0291_1_012</v>
      </c>
      <c r="C580">
        <f>Instructions!G587</f>
        <v>25</v>
      </c>
      <c r="D580" t="str">
        <f>IF(ISBLANK(Instructions!H587),"",Instructions!H587)</f>
        <v>Entered</v>
      </c>
      <c r="E580" s="1">
        <f>IF(ISBLANK(Instructions!I587),"",Instructions!I587)</f>
        <v>45646</v>
      </c>
      <c r="F580" t="str">
        <f>IF(ISBLANK(Instructions!J587),"",Instructions!J587)</f>
        <v>Erica Williams</v>
      </c>
      <c r="G580" s="1" t="str">
        <f>IF(ISBLANK(Instructions!K587),"",Instructions!K587)</f>
        <v/>
      </c>
      <c r="H580" t="str">
        <f>IF(ISBLANK(Instructions!L587),"",Instructions!L587)</f>
        <v/>
      </c>
      <c r="I580" t="str">
        <f t="shared" si="21"/>
        <v>NULL</v>
      </c>
      <c r="J580" t="str">
        <f t="shared" si="21"/>
        <v>NULL</v>
      </c>
      <c r="K580" t="str">
        <f>Instructions!M587</f>
        <v>Added via SMSS</v>
      </c>
      <c r="L580" t="str">
        <f t="shared" si="22"/>
        <v>NULL</v>
      </c>
    </row>
    <row r="581" spans="1:12" x14ac:dyDescent="0.25">
      <c r="A581" t="str" cm="1">
        <f t="array" ref="A581">_xlfn.CONCAT(Instructions!C588,Instructions!A588,"_",TEXT(Instructions!B588,"YYYYMMDD"),"_1_",INDEX(Table1[], MATCH(1,(Table1[Estuary]=Instructions!C588)*(Table1[StationNumber]=Instructions!D588)*(Instructions!B588&gt;Table1[StartDate])*(Instructions!B588&lt;Table1[EndDate]),0),1),"_1_",Instructions!E588,"_",Instructions!F588)</f>
        <v>TBSRVY_20190924_1_0291_1_012_030</v>
      </c>
      <c r="B581" t="str" cm="1">
        <f t="array" ref="B581">_xlfn.CONCAT(Instructions!C588,Instructions!A588,"_",TEXT(Instructions!B588,"YYYYMMDD"),"_1_",INDEX(Table1[], MATCH(1,(Table1[Estuary]=Instructions!C588)*(Table1[StationNumber]=Instructions!D588)*(Instructions!B588&gt;Table1[StartDate])*(Instructions!B588&lt;Table1[EndDate]),0),1),"_1_",Instructions!E588)</f>
        <v>TBSRVY_20190924_1_0291_1_012</v>
      </c>
      <c r="C581">
        <f>Instructions!G588</f>
        <v>39</v>
      </c>
      <c r="D581" t="str">
        <f>IF(ISBLANK(Instructions!H588),"",Instructions!H588)</f>
        <v>Entered</v>
      </c>
      <c r="E581" s="1">
        <f>IF(ISBLANK(Instructions!I588),"",Instructions!I588)</f>
        <v>45646</v>
      </c>
      <c r="F581" t="str">
        <f>IF(ISBLANK(Instructions!J588),"",Instructions!J588)</f>
        <v>Erica Williams</v>
      </c>
      <c r="G581" s="1" t="str">
        <f>IF(ISBLANK(Instructions!K588),"",Instructions!K588)</f>
        <v/>
      </c>
      <c r="H581" t="str">
        <f>IF(ISBLANK(Instructions!L588),"",Instructions!L588)</f>
        <v/>
      </c>
      <c r="I581" t="str">
        <f t="shared" si="21"/>
        <v>NULL</v>
      </c>
      <c r="J581" t="str">
        <f t="shared" si="21"/>
        <v>NULL</v>
      </c>
      <c r="K581" t="str">
        <f>Instructions!M588</f>
        <v>Added via SMSS</v>
      </c>
      <c r="L581" t="str">
        <f t="shared" si="22"/>
        <v>NULL</v>
      </c>
    </row>
    <row r="582" spans="1:12" x14ac:dyDescent="0.25">
      <c r="A582" t="str" cm="1">
        <f t="array" ref="A582">_xlfn.CONCAT(Instructions!C589,Instructions!A589,"_",TEXT(Instructions!B589,"YYYYMMDD"),"_1_",INDEX(Table1[], MATCH(1,(Table1[Estuary]=Instructions!C589)*(Table1[StationNumber]=Instructions!D589)*(Instructions!B589&gt;Table1[StartDate])*(Instructions!B589&lt;Table1[EndDate]),0),1),"_1_",Instructions!E589,"_",Instructions!F589)</f>
        <v>TBSRVY_20190924_1_0291_1_012_031</v>
      </c>
      <c r="B582" t="str" cm="1">
        <f t="array" ref="B582">_xlfn.CONCAT(Instructions!C589,Instructions!A589,"_",TEXT(Instructions!B589,"YYYYMMDD"),"_1_",INDEX(Table1[], MATCH(1,(Table1[Estuary]=Instructions!C589)*(Table1[StationNumber]=Instructions!D589)*(Instructions!B589&gt;Table1[StartDate])*(Instructions!B589&lt;Table1[EndDate]),0),1),"_1_",Instructions!E589)</f>
        <v>TBSRVY_20190924_1_0291_1_012</v>
      </c>
      <c r="C582">
        <f>Instructions!G589</f>
        <v>38</v>
      </c>
      <c r="D582" t="str">
        <f>IF(ISBLANK(Instructions!H589),"",Instructions!H589)</f>
        <v>Entered</v>
      </c>
      <c r="E582" s="1">
        <f>IF(ISBLANK(Instructions!I589),"",Instructions!I589)</f>
        <v>45646</v>
      </c>
      <c r="F582" t="str">
        <f>IF(ISBLANK(Instructions!J589),"",Instructions!J589)</f>
        <v>Erica Williams</v>
      </c>
      <c r="G582" s="1" t="str">
        <f>IF(ISBLANK(Instructions!K589),"",Instructions!K589)</f>
        <v/>
      </c>
      <c r="H582" t="str">
        <f>IF(ISBLANK(Instructions!L589),"",Instructions!L589)</f>
        <v/>
      </c>
      <c r="I582" t="str">
        <f t="shared" si="21"/>
        <v>NULL</v>
      </c>
      <c r="J582" t="str">
        <f t="shared" si="21"/>
        <v>NULL</v>
      </c>
      <c r="K582" t="str">
        <f>Instructions!M589</f>
        <v>Added via SMSS</v>
      </c>
      <c r="L582" t="str">
        <f t="shared" si="22"/>
        <v>NULL</v>
      </c>
    </row>
    <row r="583" spans="1:12" x14ac:dyDescent="0.25">
      <c r="A583" t="str" cm="1">
        <f t="array" ref="A583">_xlfn.CONCAT(Instructions!C590,Instructions!A590,"_",TEXT(Instructions!B590,"YYYYMMDD"),"_1_",INDEX(Table1[], MATCH(1,(Table1[Estuary]=Instructions!C590)*(Table1[StationNumber]=Instructions!D590)*(Instructions!B590&gt;Table1[StartDate])*(Instructions!B590&lt;Table1[EndDate]),0),1),"_1_",Instructions!E590,"_",Instructions!F590)</f>
        <v>TBSRVY_20190924_1_0291_1_012_032</v>
      </c>
      <c r="B583" t="str" cm="1">
        <f t="array" ref="B583">_xlfn.CONCAT(Instructions!C590,Instructions!A590,"_",TEXT(Instructions!B590,"YYYYMMDD"),"_1_",INDEX(Table1[], MATCH(1,(Table1[Estuary]=Instructions!C590)*(Table1[StationNumber]=Instructions!D590)*(Instructions!B590&gt;Table1[StartDate])*(Instructions!B590&lt;Table1[EndDate]),0),1),"_1_",Instructions!E590)</f>
        <v>TBSRVY_20190924_1_0291_1_012</v>
      </c>
      <c r="C583">
        <f>Instructions!G590</f>
        <v>25</v>
      </c>
      <c r="D583" t="str">
        <f>IF(ISBLANK(Instructions!H590),"",Instructions!H590)</f>
        <v>Entered</v>
      </c>
      <c r="E583" s="1">
        <f>IF(ISBLANK(Instructions!I590),"",Instructions!I590)</f>
        <v>45646</v>
      </c>
      <c r="F583" t="str">
        <f>IF(ISBLANK(Instructions!J590),"",Instructions!J590)</f>
        <v>Erica Williams</v>
      </c>
      <c r="G583" s="1" t="str">
        <f>IF(ISBLANK(Instructions!K590),"",Instructions!K590)</f>
        <v/>
      </c>
      <c r="H583" t="str">
        <f>IF(ISBLANK(Instructions!L590),"",Instructions!L590)</f>
        <v/>
      </c>
      <c r="I583" t="str">
        <f t="shared" si="21"/>
        <v>NULL</v>
      </c>
      <c r="J583" t="str">
        <f t="shared" si="21"/>
        <v>NULL</v>
      </c>
      <c r="K583" t="str">
        <f>Instructions!M590</f>
        <v>Added via SMSS</v>
      </c>
      <c r="L583" t="str">
        <f t="shared" si="22"/>
        <v>NULL</v>
      </c>
    </row>
    <row r="584" spans="1:12" x14ac:dyDescent="0.25">
      <c r="A584" t="str" cm="1">
        <f t="array" ref="A584">_xlfn.CONCAT(Instructions!C591,Instructions!A591,"_",TEXT(Instructions!B591,"YYYYMMDD"),"_1_",INDEX(Table1[], MATCH(1,(Table1[Estuary]=Instructions!C591)*(Table1[StationNumber]=Instructions!D591)*(Instructions!B591&gt;Table1[StartDate])*(Instructions!B591&lt;Table1[EndDate]),0),1),"_1_",Instructions!E591,"_",Instructions!F591)</f>
        <v>TBSRVY_20190924_1_0291_1_012_033</v>
      </c>
      <c r="B584" t="str" cm="1">
        <f t="array" ref="B584">_xlfn.CONCAT(Instructions!C591,Instructions!A591,"_",TEXT(Instructions!B591,"YYYYMMDD"),"_1_",INDEX(Table1[], MATCH(1,(Table1[Estuary]=Instructions!C591)*(Table1[StationNumber]=Instructions!D591)*(Instructions!B591&gt;Table1[StartDate])*(Instructions!B591&lt;Table1[EndDate]),0),1),"_1_",Instructions!E591)</f>
        <v>TBSRVY_20190924_1_0291_1_012</v>
      </c>
      <c r="C584">
        <f>Instructions!G591</f>
        <v>23</v>
      </c>
      <c r="D584" t="str">
        <f>IF(ISBLANK(Instructions!H591),"",Instructions!H591)</f>
        <v>Entered</v>
      </c>
      <c r="E584" s="1">
        <f>IF(ISBLANK(Instructions!I591),"",Instructions!I591)</f>
        <v>45646</v>
      </c>
      <c r="F584" t="str">
        <f>IF(ISBLANK(Instructions!J591),"",Instructions!J591)</f>
        <v>Erica Williams</v>
      </c>
      <c r="G584" s="1" t="str">
        <f>IF(ISBLANK(Instructions!K591),"",Instructions!K591)</f>
        <v/>
      </c>
      <c r="H584" t="str">
        <f>IF(ISBLANK(Instructions!L591),"",Instructions!L591)</f>
        <v/>
      </c>
      <c r="I584" t="str">
        <f t="shared" si="21"/>
        <v>NULL</v>
      </c>
      <c r="J584" t="str">
        <f t="shared" si="21"/>
        <v>NULL</v>
      </c>
      <c r="K584" t="str">
        <f>Instructions!M591</f>
        <v>Added via SMSS</v>
      </c>
      <c r="L584" t="str">
        <f t="shared" si="22"/>
        <v>NULL</v>
      </c>
    </row>
    <row r="585" spans="1:12" x14ac:dyDescent="0.25">
      <c r="A585" t="str" cm="1">
        <f t="array" ref="A585">_xlfn.CONCAT(Instructions!C592,Instructions!A592,"_",TEXT(Instructions!B592,"YYYYMMDD"),"_1_",INDEX(Table1[], MATCH(1,(Table1[Estuary]=Instructions!C592)*(Table1[StationNumber]=Instructions!D592)*(Instructions!B592&gt;Table1[StartDate])*(Instructions!B592&lt;Table1[EndDate]),0),1),"_1_",Instructions!E592,"_",Instructions!F592)</f>
        <v>TBSRVY_20190924_1_0291_1_012_034</v>
      </c>
      <c r="B585" t="str" cm="1">
        <f t="array" ref="B585">_xlfn.CONCAT(Instructions!C592,Instructions!A592,"_",TEXT(Instructions!B592,"YYYYMMDD"),"_1_",INDEX(Table1[], MATCH(1,(Table1[Estuary]=Instructions!C592)*(Table1[StationNumber]=Instructions!D592)*(Instructions!B592&gt;Table1[StartDate])*(Instructions!B592&lt;Table1[EndDate]),0),1),"_1_",Instructions!E592)</f>
        <v>TBSRVY_20190924_1_0291_1_012</v>
      </c>
      <c r="C585">
        <f>Instructions!G592</f>
        <v>21</v>
      </c>
      <c r="D585" t="str">
        <f>IF(ISBLANK(Instructions!H592),"",Instructions!H592)</f>
        <v>Entered</v>
      </c>
      <c r="E585" s="1">
        <f>IF(ISBLANK(Instructions!I592),"",Instructions!I592)</f>
        <v>45646</v>
      </c>
      <c r="F585" t="str">
        <f>IF(ISBLANK(Instructions!J592),"",Instructions!J592)</f>
        <v>Erica Williams</v>
      </c>
      <c r="G585" s="1" t="str">
        <f>IF(ISBLANK(Instructions!K592),"",Instructions!K592)</f>
        <v/>
      </c>
      <c r="H585" t="str">
        <f>IF(ISBLANK(Instructions!L592),"",Instructions!L592)</f>
        <v/>
      </c>
      <c r="I585" t="str">
        <f t="shared" si="21"/>
        <v>NULL</v>
      </c>
      <c r="J585" t="str">
        <f t="shared" si="21"/>
        <v>NULL</v>
      </c>
      <c r="K585" t="str">
        <f>Instructions!M592</f>
        <v>Added via SMSS</v>
      </c>
      <c r="L585" t="str">
        <f t="shared" si="22"/>
        <v>NULL</v>
      </c>
    </row>
    <row r="586" spans="1:12" x14ac:dyDescent="0.25">
      <c r="A586" t="str" cm="1">
        <f t="array" ref="A586">_xlfn.CONCAT(Instructions!C593,Instructions!A593,"_",TEXT(Instructions!B593,"YYYYMMDD"),"_1_",INDEX(Table1[], MATCH(1,(Table1[Estuary]=Instructions!C593)*(Table1[StationNumber]=Instructions!D593)*(Instructions!B593&gt;Table1[StartDate])*(Instructions!B593&lt;Table1[EndDate]),0),1),"_1_",Instructions!E593,"_",Instructions!F593)</f>
        <v>TBSRVY_20190924_1_0291_1_012_035</v>
      </c>
      <c r="B586" t="str" cm="1">
        <f t="array" ref="B586">_xlfn.CONCAT(Instructions!C593,Instructions!A593,"_",TEXT(Instructions!B593,"YYYYMMDD"),"_1_",INDEX(Table1[], MATCH(1,(Table1[Estuary]=Instructions!C593)*(Table1[StationNumber]=Instructions!D593)*(Instructions!B593&gt;Table1[StartDate])*(Instructions!B593&lt;Table1[EndDate]),0),1),"_1_",Instructions!E593)</f>
        <v>TBSRVY_20190924_1_0291_1_012</v>
      </c>
      <c r="C586">
        <f>Instructions!G593</f>
        <v>12</v>
      </c>
      <c r="D586" t="str">
        <f>IF(ISBLANK(Instructions!H593),"",Instructions!H593)</f>
        <v>Entered</v>
      </c>
      <c r="E586" s="1">
        <f>IF(ISBLANK(Instructions!I593),"",Instructions!I593)</f>
        <v>45646</v>
      </c>
      <c r="F586" t="str">
        <f>IF(ISBLANK(Instructions!J593),"",Instructions!J593)</f>
        <v>Erica Williams</v>
      </c>
      <c r="G586" s="1" t="str">
        <f>IF(ISBLANK(Instructions!K593),"",Instructions!K593)</f>
        <v/>
      </c>
      <c r="H586" t="str">
        <f>IF(ISBLANK(Instructions!L593),"",Instructions!L593)</f>
        <v/>
      </c>
      <c r="I586" t="str">
        <f t="shared" si="21"/>
        <v>NULL</v>
      </c>
      <c r="J586" t="str">
        <f t="shared" si="21"/>
        <v>NULL</v>
      </c>
      <c r="K586" t="str">
        <f>Instructions!M593</f>
        <v>Added via SMSS</v>
      </c>
      <c r="L586" t="str">
        <f t="shared" si="22"/>
        <v>NULL</v>
      </c>
    </row>
    <row r="587" spans="1:12" x14ac:dyDescent="0.25">
      <c r="A587" t="str" cm="1">
        <f t="array" ref="A587">_xlfn.CONCAT(Instructions!C594,Instructions!A594,"_",TEXT(Instructions!B594,"YYYYMMDD"),"_1_",INDEX(Table1[], MATCH(1,(Table1[Estuary]=Instructions!C594)*(Table1[StationNumber]=Instructions!D594)*(Instructions!B594&gt;Table1[StartDate])*(Instructions!B594&lt;Table1[EndDate]),0),1),"_1_",Instructions!E594,"_",Instructions!F594)</f>
        <v>TBSRVY_20190924_1_0291_1_012_036</v>
      </c>
      <c r="B587" t="str" cm="1">
        <f t="array" ref="B587">_xlfn.CONCAT(Instructions!C594,Instructions!A594,"_",TEXT(Instructions!B594,"YYYYMMDD"),"_1_",INDEX(Table1[], MATCH(1,(Table1[Estuary]=Instructions!C594)*(Table1[StationNumber]=Instructions!D594)*(Instructions!B594&gt;Table1[StartDate])*(Instructions!B594&lt;Table1[EndDate]),0),1),"_1_",Instructions!E594)</f>
        <v>TBSRVY_20190924_1_0291_1_012</v>
      </c>
      <c r="C587">
        <f>Instructions!G594</f>
        <v>23</v>
      </c>
      <c r="D587" t="str">
        <f>IF(ISBLANK(Instructions!H594),"",Instructions!H594)</f>
        <v>Entered</v>
      </c>
      <c r="E587" s="1">
        <f>IF(ISBLANK(Instructions!I594),"",Instructions!I594)</f>
        <v>45646</v>
      </c>
      <c r="F587" t="str">
        <f>IF(ISBLANK(Instructions!J594),"",Instructions!J594)</f>
        <v>Erica Williams</v>
      </c>
      <c r="G587" s="1" t="str">
        <f>IF(ISBLANK(Instructions!K594),"",Instructions!K594)</f>
        <v/>
      </c>
      <c r="H587" t="str">
        <f>IF(ISBLANK(Instructions!L594),"",Instructions!L594)</f>
        <v/>
      </c>
      <c r="I587" t="str">
        <f t="shared" si="21"/>
        <v>NULL</v>
      </c>
      <c r="J587" t="str">
        <f t="shared" si="21"/>
        <v>NULL</v>
      </c>
      <c r="K587" t="str">
        <f>Instructions!M594</f>
        <v>Added via SMSS</v>
      </c>
      <c r="L587" t="str">
        <f t="shared" si="22"/>
        <v>NULL</v>
      </c>
    </row>
    <row r="588" spans="1:12" x14ac:dyDescent="0.25">
      <c r="A588" t="str" cm="1">
        <f t="array" ref="A588">_xlfn.CONCAT(Instructions!C595,Instructions!A595,"_",TEXT(Instructions!B595,"YYYYMMDD"),"_1_",INDEX(Table1[], MATCH(1,(Table1[Estuary]=Instructions!C595)*(Table1[StationNumber]=Instructions!D595)*(Instructions!B595&gt;Table1[StartDate])*(Instructions!B595&lt;Table1[EndDate]),0),1),"_1_",Instructions!E595,"_",Instructions!F595)</f>
        <v>TBSRVY_20190924_1_0291_1_012_037</v>
      </c>
      <c r="B588" t="str" cm="1">
        <f t="array" ref="B588">_xlfn.CONCAT(Instructions!C595,Instructions!A595,"_",TEXT(Instructions!B595,"YYYYMMDD"),"_1_",INDEX(Table1[], MATCH(1,(Table1[Estuary]=Instructions!C595)*(Table1[StationNumber]=Instructions!D595)*(Instructions!B595&gt;Table1[StartDate])*(Instructions!B595&lt;Table1[EndDate]),0),1),"_1_",Instructions!E595)</f>
        <v>TBSRVY_20190924_1_0291_1_012</v>
      </c>
      <c r="C588">
        <f>Instructions!G595</f>
        <v>25</v>
      </c>
      <c r="D588" t="str">
        <f>IF(ISBLANK(Instructions!H595),"",Instructions!H595)</f>
        <v>Entered</v>
      </c>
      <c r="E588" s="1">
        <f>IF(ISBLANK(Instructions!I595),"",Instructions!I595)</f>
        <v>45646</v>
      </c>
      <c r="F588" t="str">
        <f>IF(ISBLANK(Instructions!J595),"",Instructions!J595)</f>
        <v>Erica Williams</v>
      </c>
      <c r="G588" s="1" t="str">
        <f>IF(ISBLANK(Instructions!K595),"",Instructions!K595)</f>
        <v/>
      </c>
      <c r="H588" t="str">
        <f>IF(ISBLANK(Instructions!L595),"",Instructions!L595)</f>
        <v/>
      </c>
      <c r="I588" t="str">
        <f t="shared" si="21"/>
        <v>NULL</v>
      </c>
      <c r="J588" t="str">
        <f t="shared" si="21"/>
        <v>NULL</v>
      </c>
      <c r="K588" t="str">
        <f>Instructions!M595</f>
        <v>Added via SMSS</v>
      </c>
      <c r="L588" t="str">
        <f t="shared" si="22"/>
        <v>NULL</v>
      </c>
    </row>
    <row r="589" spans="1:12" x14ac:dyDescent="0.25">
      <c r="A589" t="str" cm="1">
        <f t="array" ref="A589">_xlfn.CONCAT(Instructions!C596,Instructions!A596,"_",TEXT(Instructions!B596,"YYYYMMDD"),"_1_",INDEX(Table1[], MATCH(1,(Table1[Estuary]=Instructions!C596)*(Table1[StationNumber]=Instructions!D596)*(Instructions!B596&gt;Table1[StartDate])*(Instructions!B596&lt;Table1[EndDate]),0),1),"_1_",Instructions!E596,"_",Instructions!F596)</f>
        <v>TBSRVY_20190924_1_0291_1_012_038</v>
      </c>
      <c r="B589" t="str" cm="1">
        <f t="array" ref="B589">_xlfn.CONCAT(Instructions!C596,Instructions!A596,"_",TEXT(Instructions!B596,"YYYYMMDD"),"_1_",INDEX(Table1[], MATCH(1,(Table1[Estuary]=Instructions!C596)*(Table1[StationNumber]=Instructions!D596)*(Instructions!B596&gt;Table1[StartDate])*(Instructions!B596&lt;Table1[EndDate]),0),1),"_1_",Instructions!E596)</f>
        <v>TBSRVY_20190924_1_0291_1_012</v>
      </c>
      <c r="C589">
        <f>Instructions!G596</f>
        <v>33</v>
      </c>
      <c r="D589" t="str">
        <f>IF(ISBLANK(Instructions!H596),"",Instructions!H596)</f>
        <v>Entered</v>
      </c>
      <c r="E589" s="1">
        <f>IF(ISBLANK(Instructions!I596),"",Instructions!I596)</f>
        <v>45646</v>
      </c>
      <c r="F589" t="str">
        <f>IF(ISBLANK(Instructions!J596),"",Instructions!J596)</f>
        <v>Erica Williams</v>
      </c>
      <c r="G589" s="1" t="str">
        <f>IF(ISBLANK(Instructions!K596),"",Instructions!K596)</f>
        <v/>
      </c>
      <c r="H589" t="str">
        <f>IF(ISBLANK(Instructions!L596),"",Instructions!L596)</f>
        <v/>
      </c>
      <c r="I589" t="str">
        <f t="shared" si="21"/>
        <v>NULL</v>
      </c>
      <c r="J589" t="str">
        <f t="shared" si="21"/>
        <v>NULL</v>
      </c>
      <c r="K589" t="str">
        <f>Instructions!M596</f>
        <v>Added via SMSS</v>
      </c>
      <c r="L589" t="str">
        <f t="shared" si="22"/>
        <v>NULL</v>
      </c>
    </row>
    <row r="590" spans="1:12" x14ac:dyDescent="0.25">
      <c r="A590" t="str" cm="1">
        <f t="array" ref="A590">_xlfn.CONCAT(Instructions!C597,Instructions!A597,"_",TEXT(Instructions!B597,"YYYYMMDD"),"_1_",INDEX(Table1[], MATCH(1,(Table1[Estuary]=Instructions!C597)*(Table1[StationNumber]=Instructions!D597)*(Instructions!B597&gt;Table1[StartDate])*(Instructions!B597&lt;Table1[EndDate]),0),1),"_1_",Instructions!E597,"_",Instructions!F597)</f>
        <v>TBSRVY_20190924_1_0291_1_012_039</v>
      </c>
      <c r="B590" t="str" cm="1">
        <f t="array" ref="B590">_xlfn.CONCAT(Instructions!C597,Instructions!A597,"_",TEXT(Instructions!B597,"YYYYMMDD"),"_1_",INDEX(Table1[], MATCH(1,(Table1[Estuary]=Instructions!C597)*(Table1[StationNumber]=Instructions!D597)*(Instructions!B597&gt;Table1[StartDate])*(Instructions!B597&lt;Table1[EndDate]),0),1),"_1_",Instructions!E597)</f>
        <v>TBSRVY_20190924_1_0291_1_012</v>
      </c>
      <c r="C590">
        <f>Instructions!G597</f>
        <v>35</v>
      </c>
      <c r="D590" t="str">
        <f>IF(ISBLANK(Instructions!H597),"",Instructions!H597)</f>
        <v>Entered</v>
      </c>
      <c r="E590" s="1">
        <f>IF(ISBLANK(Instructions!I597),"",Instructions!I597)</f>
        <v>45646</v>
      </c>
      <c r="F590" t="str">
        <f>IF(ISBLANK(Instructions!J597),"",Instructions!J597)</f>
        <v>Erica Williams</v>
      </c>
      <c r="G590" s="1" t="str">
        <f>IF(ISBLANK(Instructions!K597),"",Instructions!K597)</f>
        <v/>
      </c>
      <c r="H590" t="str">
        <f>IF(ISBLANK(Instructions!L597),"",Instructions!L597)</f>
        <v/>
      </c>
      <c r="I590" t="str">
        <f t="shared" si="21"/>
        <v>NULL</v>
      </c>
      <c r="J590" t="str">
        <f t="shared" si="21"/>
        <v>NULL</v>
      </c>
      <c r="K590" t="str">
        <f>Instructions!M597</f>
        <v>Added via SMSS</v>
      </c>
      <c r="L590" t="str">
        <f t="shared" si="22"/>
        <v>NULL</v>
      </c>
    </row>
    <row r="591" spans="1:12" x14ac:dyDescent="0.25">
      <c r="A591" t="str" cm="1">
        <f t="array" ref="A591">_xlfn.CONCAT(Instructions!C598,Instructions!A598,"_",TEXT(Instructions!B598,"YYYYMMDD"),"_1_",INDEX(Table1[], MATCH(1,(Table1[Estuary]=Instructions!C598)*(Table1[StationNumber]=Instructions!D598)*(Instructions!B598&gt;Table1[StartDate])*(Instructions!B598&lt;Table1[EndDate]),0),1),"_1_",Instructions!E598,"_",Instructions!F598)</f>
        <v>TBSRVY_20190924_1_0291_1_012_040</v>
      </c>
      <c r="B591" t="str" cm="1">
        <f t="array" ref="B591">_xlfn.CONCAT(Instructions!C598,Instructions!A598,"_",TEXT(Instructions!B598,"YYYYMMDD"),"_1_",INDEX(Table1[], MATCH(1,(Table1[Estuary]=Instructions!C598)*(Table1[StationNumber]=Instructions!D598)*(Instructions!B598&gt;Table1[StartDate])*(Instructions!B598&lt;Table1[EndDate]),0),1),"_1_",Instructions!E598)</f>
        <v>TBSRVY_20190924_1_0291_1_012</v>
      </c>
      <c r="C591">
        <f>Instructions!G598</f>
        <v>57</v>
      </c>
      <c r="D591" t="str">
        <f>IF(ISBLANK(Instructions!H598),"",Instructions!H598)</f>
        <v>Entered</v>
      </c>
      <c r="E591" s="1">
        <f>IF(ISBLANK(Instructions!I598),"",Instructions!I598)</f>
        <v>45646</v>
      </c>
      <c r="F591" t="str">
        <f>IF(ISBLANK(Instructions!J598),"",Instructions!J598)</f>
        <v>Erica Williams</v>
      </c>
      <c r="G591" s="1" t="str">
        <f>IF(ISBLANK(Instructions!K598),"",Instructions!K598)</f>
        <v/>
      </c>
      <c r="H591" t="str">
        <f>IF(ISBLANK(Instructions!L598),"",Instructions!L598)</f>
        <v/>
      </c>
      <c r="I591" t="str">
        <f t="shared" si="21"/>
        <v>NULL</v>
      </c>
      <c r="J591" t="str">
        <f t="shared" si="21"/>
        <v>NULL</v>
      </c>
      <c r="K591" t="str">
        <f>Instructions!M598</f>
        <v>Added via SMSS</v>
      </c>
      <c r="L591" t="str">
        <f t="shared" si="22"/>
        <v>NULL</v>
      </c>
    </row>
    <row r="592" spans="1:12" x14ac:dyDescent="0.25">
      <c r="A592" t="str" cm="1">
        <f t="array" ref="A592">_xlfn.CONCAT(Instructions!C599,Instructions!A599,"_",TEXT(Instructions!B599,"YYYYMMDD"),"_1_",INDEX(Table1[], MATCH(1,(Table1[Estuary]=Instructions!C599)*(Table1[StationNumber]=Instructions!D599)*(Instructions!B599&gt;Table1[StartDate])*(Instructions!B599&lt;Table1[EndDate]),0),1),"_1_",Instructions!E599,"_",Instructions!F599)</f>
        <v>TBSRVY_20190924_1_0291_1_012_041</v>
      </c>
      <c r="B592" t="str" cm="1">
        <f t="array" ref="B592">_xlfn.CONCAT(Instructions!C599,Instructions!A599,"_",TEXT(Instructions!B599,"YYYYMMDD"),"_1_",INDEX(Table1[], MATCH(1,(Table1[Estuary]=Instructions!C599)*(Table1[StationNumber]=Instructions!D599)*(Instructions!B599&gt;Table1[StartDate])*(Instructions!B599&lt;Table1[EndDate]),0),1),"_1_",Instructions!E599)</f>
        <v>TBSRVY_20190924_1_0291_1_012</v>
      </c>
      <c r="C592">
        <f>Instructions!G599</f>
        <v>31</v>
      </c>
      <c r="D592" t="str">
        <f>IF(ISBLANK(Instructions!H599),"",Instructions!H599)</f>
        <v>Entered</v>
      </c>
      <c r="E592" s="1">
        <f>IF(ISBLANK(Instructions!I599),"",Instructions!I599)</f>
        <v>45646</v>
      </c>
      <c r="F592" t="str">
        <f>IF(ISBLANK(Instructions!J599),"",Instructions!J599)</f>
        <v>Erica Williams</v>
      </c>
      <c r="G592" s="1" t="str">
        <f>IF(ISBLANK(Instructions!K599),"",Instructions!K599)</f>
        <v/>
      </c>
      <c r="H592" t="str">
        <f>IF(ISBLANK(Instructions!L599),"",Instructions!L599)</f>
        <v/>
      </c>
      <c r="I592" t="str">
        <f t="shared" si="21"/>
        <v>NULL</v>
      </c>
      <c r="J592" t="str">
        <f t="shared" si="21"/>
        <v>NULL</v>
      </c>
      <c r="K592" t="str">
        <f>Instructions!M599</f>
        <v>Added via SMSS</v>
      </c>
      <c r="L592" t="str">
        <f t="shared" si="22"/>
        <v>NULL</v>
      </c>
    </row>
    <row r="593" spans="1:12" x14ac:dyDescent="0.25">
      <c r="A593" t="str" cm="1">
        <f t="array" ref="A593">_xlfn.CONCAT(Instructions!C600,Instructions!A600,"_",TEXT(Instructions!B600,"YYYYMMDD"),"_1_",INDEX(Table1[], MATCH(1,(Table1[Estuary]=Instructions!C600)*(Table1[StationNumber]=Instructions!D600)*(Instructions!B600&gt;Table1[StartDate])*(Instructions!B600&lt;Table1[EndDate]),0),1),"_1_",Instructions!E600,"_",Instructions!F600)</f>
        <v>TBSRVY_20190924_1_0291_1_012_042</v>
      </c>
      <c r="B593" t="str" cm="1">
        <f t="array" ref="B593">_xlfn.CONCAT(Instructions!C600,Instructions!A600,"_",TEXT(Instructions!B600,"YYYYMMDD"),"_1_",INDEX(Table1[], MATCH(1,(Table1[Estuary]=Instructions!C600)*(Table1[StationNumber]=Instructions!D600)*(Instructions!B600&gt;Table1[StartDate])*(Instructions!B600&lt;Table1[EndDate]),0),1),"_1_",Instructions!E600)</f>
        <v>TBSRVY_20190924_1_0291_1_012</v>
      </c>
      <c r="C593">
        <f>Instructions!G600</f>
        <v>5</v>
      </c>
      <c r="D593" t="str">
        <f>IF(ISBLANK(Instructions!H600),"",Instructions!H600)</f>
        <v>Entered</v>
      </c>
      <c r="E593" s="1">
        <f>IF(ISBLANK(Instructions!I600),"",Instructions!I600)</f>
        <v>45646</v>
      </c>
      <c r="F593" t="str">
        <f>IF(ISBLANK(Instructions!J600),"",Instructions!J600)</f>
        <v>Erica Williams</v>
      </c>
      <c r="G593" s="1" t="str">
        <f>IF(ISBLANK(Instructions!K600),"",Instructions!K600)</f>
        <v/>
      </c>
      <c r="H593" t="str">
        <f>IF(ISBLANK(Instructions!L600),"",Instructions!L600)</f>
        <v/>
      </c>
      <c r="I593" t="str">
        <f t="shared" si="21"/>
        <v>NULL</v>
      </c>
      <c r="J593" t="str">
        <f t="shared" si="21"/>
        <v>NULL</v>
      </c>
      <c r="K593" t="str">
        <f>Instructions!M600</f>
        <v>Added via SMSS</v>
      </c>
      <c r="L593" t="str">
        <f t="shared" si="22"/>
        <v>NULL</v>
      </c>
    </row>
    <row r="594" spans="1:12" x14ac:dyDescent="0.25">
      <c r="A594" t="str" cm="1">
        <f t="array" ref="A594">_xlfn.CONCAT(Instructions!C601,Instructions!A601,"_",TEXT(Instructions!B601,"YYYYMMDD"),"_1_",INDEX(Table1[], MATCH(1,(Table1[Estuary]=Instructions!C601)*(Table1[StationNumber]=Instructions!D601)*(Instructions!B601&gt;Table1[StartDate])*(Instructions!B601&lt;Table1[EndDate]),0),1),"_1_",Instructions!E601,"_",Instructions!F601)</f>
        <v>TBSRVY_20190924_1_0291_1_012_043</v>
      </c>
      <c r="B594" t="str" cm="1">
        <f t="array" ref="B594">_xlfn.CONCAT(Instructions!C601,Instructions!A601,"_",TEXT(Instructions!B601,"YYYYMMDD"),"_1_",INDEX(Table1[], MATCH(1,(Table1[Estuary]=Instructions!C601)*(Table1[StationNumber]=Instructions!D601)*(Instructions!B601&gt;Table1[StartDate])*(Instructions!B601&lt;Table1[EndDate]),0),1),"_1_",Instructions!E601)</f>
        <v>TBSRVY_20190924_1_0291_1_012</v>
      </c>
      <c r="C594">
        <f>Instructions!G601</f>
        <v>12</v>
      </c>
      <c r="D594" t="str">
        <f>IF(ISBLANK(Instructions!H601),"",Instructions!H601)</f>
        <v>Entered</v>
      </c>
      <c r="E594" s="1">
        <f>IF(ISBLANK(Instructions!I601),"",Instructions!I601)</f>
        <v>45646</v>
      </c>
      <c r="F594" t="str">
        <f>IF(ISBLANK(Instructions!J601),"",Instructions!J601)</f>
        <v>Erica Williams</v>
      </c>
      <c r="G594" s="1" t="str">
        <f>IF(ISBLANK(Instructions!K601),"",Instructions!K601)</f>
        <v/>
      </c>
      <c r="H594" t="str">
        <f>IF(ISBLANK(Instructions!L601),"",Instructions!L601)</f>
        <v/>
      </c>
      <c r="I594" t="str">
        <f t="shared" si="21"/>
        <v>NULL</v>
      </c>
      <c r="J594" t="str">
        <f t="shared" si="21"/>
        <v>NULL</v>
      </c>
      <c r="K594" t="str">
        <f>Instructions!M601</f>
        <v>Added via SMSS</v>
      </c>
      <c r="L594" t="str">
        <f t="shared" si="22"/>
        <v>NULL</v>
      </c>
    </row>
    <row r="595" spans="1:12" x14ac:dyDescent="0.25">
      <c r="A595" t="str" cm="1">
        <f t="array" ref="A595">_xlfn.CONCAT(Instructions!C602,Instructions!A602,"_",TEXT(Instructions!B602,"YYYYMMDD"),"_1_",INDEX(Table1[], MATCH(1,(Table1[Estuary]=Instructions!C602)*(Table1[StationNumber]=Instructions!D602)*(Instructions!B602&gt;Table1[StartDate])*(Instructions!B602&lt;Table1[EndDate]),0),1),"_1_",Instructions!E602,"_",Instructions!F602)</f>
        <v>TBSRVY_20190924_1_0291_1_012_044</v>
      </c>
      <c r="B595" t="str" cm="1">
        <f t="array" ref="B595">_xlfn.CONCAT(Instructions!C602,Instructions!A602,"_",TEXT(Instructions!B602,"YYYYMMDD"),"_1_",INDEX(Table1[], MATCH(1,(Table1[Estuary]=Instructions!C602)*(Table1[StationNumber]=Instructions!D602)*(Instructions!B602&gt;Table1[StartDate])*(Instructions!B602&lt;Table1[EndDate]),0),1),"_1_",Instructions!E602)</f>
        <v>TBSRVY_20190924_1_0291_1_012</v>
      </c>
      <c r="C595">
        <f>Instructions!G602</f>
        <v>28</v>
      </c>
      <c r="D595" t="str">
        <f>IF(ISBLANK(Instructions!H602),"",Instructions!H602)</f>
        <v>Entered</v>
      </c>
      <c r="E595" s="1">
        <f>IF(ISBLANK(Instructions!I602),"",Instructions!I602)</f>
        <v>45646</v>
      </c>
      <c r="F595" t="str">
        <f>IF(ISBLANK(Instructions!J602),"",Instructions!J602)</f>
        <v>Erica Williams</v>
      </c>
      <c r="G595" s="1" t="str">
        <f>IF(ISBLANK(Instructions!K602),"",Instructions!K602)</f>
        <v/>
      </c>
      <c r="H595" t="str">
        <f>IF(ISBLANK(Instructions!L602),"",Instructions!L602)</f>
        <v/>
      </c>
      <c r="I595" t="str">
        <f t="shared" si="21"/>
        <v>NULL</v>
      </c>
      <c r="J595" t="str">
        <f t="shared" si="21"/>
        <v>NULL</v>
      </c>
      <c r="K595" t="str">
        <f>Instructions!M602</f>
        <v>Added via SMSS</v>
      </c>
      <c r="L595" t="str">
        <f t="shared" si="22"/>
        <v>NULL</v>
      </c>
    </row>
    <row r="596" spans="1:12" x14ac:dyDescent="0.25">
      <c r="A596" t="str" cm="1">
        <f t="array" ref="A596">_xlfn.CONCAT(Instructions!C603,Instructions!A603,"_",TEXT(Instructions!B603,"YYYYMMDD"),"_1_",INDEX(Table1[], MATCH(1,(Table1[Estuary]=Instructions!C603)*(Table1[StationNumber]=Instructions!D603)*(Instructions!B603&gt;Table1[StartDate])*(Instructions!B603&lt;Table1[EndDate]),0),1),"_1_",Instructions!E603,"_",Instructions!F603)</f>
        <v>TBSRVY_20190924_1_0291_1_012_045</v>
      </c>
      <c r="B596" t="str" cm="1">
        <f t="array" ref="B596">_xlfn.CONCAT(Instructions!C603,Instructions!A603,"_",TEXT(Instructions!B603,"YYYYMMDD"),"_1_",INDEX(Table1[], MATCH(1,(Table1[Estuary]=Instructions!C603)*(Table1[StationNumber]=Instructions!D603)*(Instructions!B603&gt;Table1[StartDate])*(Instructions!B603&lt;Table1[EndDate]),0),1),"_1_",Instructions!E603)</f>
        <v>TBSRVY_20190924_1_0291_1_012</v>
      </c>
      <c r="C596">
        <f>Instructions!G603</f>
        <v>6</v>
      </c>
      <c r="D596" t="str">
        <f>IF(ISBLANK(Instructions!H603),"",Instructions!H603)</f>
        <v>Entered</v>
      </c>
      <c r="E596" s="1">
        <f>IF(ISBLANK(Instructions!I603),"",Instructions!I603)</f>
        <v>45646</v>
      </c>
      <c r="F596" t="str">
        <f>IF(ISBLANK(Instructions!J603),"",Instructions!J603)</f>
        <v>Erica Williams</v>
      </c>
      <c r="G596" s="1" t="str">
        <f>IF(ISBLANK(Instructions!K603),"",Instructions!K603)</f>
        <v/>
      </c>
      <c r="H596" t="str">
        <f>IF(ISBLANK(Instructions!L603),"",Instructions!L603)</f>
        <v/>
      </c>
      <c r="I596" t="str">
        <f t="shared" si="21"/>
        <v>NULL</v>
      </c>
      <c r="J596" t="str">
        <f t="shared" si="21"/>
        <v>NULL</v>
      </c>
      <c r="K596" t="str">
        <f>Instructions!M603</f>
        <v>Added via SMSS</v>
      </c>
      <c r="L596" t="str">
        <f t="shared" si="22"/>
        <v>NULL</v>
      </c>
    </row>
    <row r="597" spans="1:12" x14ac:dyDescent="0.25">
      <c r="A597" t="str" cm="1">
        <f t="array" ref="A597">_xlfn.CONCAT(Instructions!C604,Instructions!A604,"_",TEXT(Instructions!B604,"YYYYMMDD"),"_1_",INDEX(Table1[], MATCH(1,(Table1[Estuary]=Instructions!C604)*(Table1[StationNumber]=Instructions!D604)*(Instructions!B604&gt;Table1[StartDate])*(Instructions!B604&lt;Table1[EndDate]),0),1),"_1_",Instructions!E604,"_",Instructions!F604)</f>
        <v>TBSRVY_20190924_1_0291_1_012_046</v>
      </c>
      <c r="B597" t="str" cm="1">
        <f t="array" ref="B597">_xlfn.CONCAT(Instructions!C604,Instructions!A604,"_",TEXT(Instructions!B604,"YYYYMMDD"),"_1_",INDEX(Table1[], MATCH(1,(Table1[Estuary]=Instructions!C604)*(Table1[StationNumber]=Instructions!D604)*(Instructions!B604&gt;Table1[StartDate])*(Instructions!B604&lt;Table1[EndDate]),0),1),"_1_",Instructions!E604)</f>
        <v>TBSRVY_20190924_1_0291_1_012</v>
      </c>
      <c r="C597">
        <f>Instructions!G604</f>
        <v>66</v>
      </c>
      <c r="D597" t="str">
        <f>IF(ISBLANK(Instructions!H604),"",Instructions!H604)</f>
        <v>Entered</v>
      </c>
      <c r="E597" s="1">
        <f>IF(ISBLANK(Instructions!I604),"",Instructions!I604)</f>
        <v>45646</v>
      </c>
      <c r="F597" t="str">
        <f>IF(ISBLANK(Instructions!J604),"",Instructions!J604)</f>
        <v>Erica Williams</v>
      </c>
      <c r="G597" s="1" t="str">
        <f>IF(ISBLANK(Instructions!K604),"",Instructions!K604)</f>
        <v/>
      </c>
      <c r="H597" t="str">
        <f>IF(ISBLANK(Instructions!L604),"",Instructions!L604)</f>
        <v/>
      </c>
      <c r="I597" t="str">
        <f t="shared" si="21"/>
        <v>NULL</v>
      </c>
      <c r="J597" t="str">
        <f t="shared" si="21"/>
        <v>NULL</v>
      </c>
      <c r="K597" t="str">
        <f>Instructions!M604</f>
        <v>Added via SMSS</v>
      </c>
      <c r="L597" t="str">
        <f t="shared" si="22"/>
        <v>NULL</v>
      </c>
    </row>
    <row r="598" spans="1:12" x14ac:dyDescent="0.25">
      <c r="A598" t="str" cm="1">
        <f t="array" ref="A598">_xlfn.CONCAT(Instructions!C605,Instructions!A605,"_",TEXT(Instructions!B605,"YYYYMMDD"),"_1_",INDEX(Table1[], MATCH(1,(Table1[Estuary]=Instructions!C605)*(Table1[StationNumber]=Instructions!D605)*(Instructions!B605&gt;Table1[StartDate])*(Instructions!B605&lt;Table1[EndDate]),0),1),"_1_",Instructions!E605,"_",Instructions!F605)</f>
        <v>TBSRVY_20190924_1_0291_1_012_047</v>
      </c>
      <c r="B598" t="str" cm="1">
        <f t="array" ref="B598">_xlfn.CONCAT(Instructions!C605,Instructions!A605,"_",TEXT(Instructions!B605,"YYYYMMDD"),"_1_",INDEX(Table1[], MATCH(1,(Table1[Estuary]=Instructions!C605)*(Table1[StationNumber]=Instructions!D605)*(Instructions!B605&gt;Table1[StartDate])*(Instructions!B605&lt;Table1[EndDate]),0),1),"_1_",Instructions!E605)</f>
        <v>TBSRVY_20190924_1_0291_1_012</v>
      </c>
      <c r="C598">
        <f>Instructions!G605</f>
        <v>30</v>
      </c>
      <c r="D598" t="str">
        <f>IF(ISBLANK(Instructions!H605),"",Instructions!H605)</f>
        <v>Entered</v>
      </c>
      <c r="E598" s="1">
        <f>IF(ISBLANK(Instructions!I605),"",Instructions!I605)</f>
        <v>45646</v>
      </c>
      <c r="F598" t="str">
        <f>IF(ISBLANK(Instructions!J605),"",Instructions!J605)</f>
        <v>Erica Williams</v>
      </c>
      <c r="G598" s="1" t="str">
        <f>IF(ISBLANK(Instructions!K605),"",Instructions!K605)</f>
        <v/>
      </c>
      <c r="H598" t="str">
        <f>IF(ISBLANK(Instructions!L605),"",Instructions!L605)</f>
        <v/>
      </c>
      <c r="I598" t="str">
        <f t="shared" si="21"/>
        <v>NULL</v>
      </c>
      <c r="J598" t="str">
        <f t="shared" si="21"/>
        <v>NULL</v>
      </c>
      <c r="K598" t="str">
        <f>Instructions!M605</f>
        <v>Added via SMSS</v>
      </c>
      <c r="L598" t="str">
        <f t="shared" si="22"/>
        <v>NULL</v>
      </c>
    </row>
    <row r="599" spans="1:12" x14ac:dyDescent="0.25">
      <c r="A599" t="str" cm="1">
        <f t="array" ref="A599">_xlfn.CONCAT(Instructions!C606,Instructions!A606,"_",TEXT(Instructions!B606,"YYYYMMDD"),"_1_",INDEX(Table1[], MATCH(1,(Table1[Estuary]=Instructions!C606)*(Table1[StationNumber]=Instructions!D606)*(Instructions!B606&gt;Table1[StartDate])*(Instructions!B606&lt;Table1[EndDate]),0),1),"_1_",Instructions!E606,"_",Instructions!F606)</f>
        <v>TBSRVY_20190924_1_0291_1_012_048</v>
      </c>
      <c r="B599" t="str" cm="1">
        <f t="array" ref="B599">_xlfn.CONCAT(Instructions!C606,Instructions!A606,"_",TEXT(Instructions!B606,"YYYYMMDD"),"_1_",INDEX(Table1[], MATCH(1,(Table1[Estuary]=Instructions!C606)*(Table1[StationNumber]=Instructions!D606)*(Instructions!B606&gt;Table1[StartDate])*(Instructions!B606&lt;Table1[EndDate]),0),1),"_1_",Instructions!E606)</f>
        <v>TBSRVY_20190924_1_0291_1_012</v>
      </c>
      <c r="C599">
        <f>Instructions!G606</f>
        <v>60</v>
      </c>
      <c r="D599" t="str">
        <f>IF(ISBLANK(Instructions!H606),"",Instructions!H606)</f>
        <v>Entered</v>
      </c>
      <c r="E599" s="1">
        <f>IF(ISBLANK(Instructions!I606),"",Instructions!I606)</f>
        <v>45646</v>
      </c>
      <c r="F599" t="str">
        <f>IF(ISBLANK(Instructions!J606),"",Instructions!J606)</f>
        <v>Erica Williams</v>
      </c>
      <c r="G599" s="1" t="str">
        <f>IF(ISBLANK(Instructions!K606),"",Instructions!K606)</f>
        <v/>
      </c>
      <c r="H599" t="str">
        <f>IF(ISBLANK(Instructions!L606),"",Instructions!L606)</f>
        <v/>
      </c>
      <c r="I599" t="str">
        <f t="shared" si="21"/>
        <v>NULL</v>
      </c>
      <c r="J599" t="str">
        <f t="shared" si="21"/>
        <v>NULL</v>
      </c>
      <c r="K599" t="str">
        <f>Instructions!M606</f>
        <v>Added via SMSS</v>
      </c>
      <c r="L599" t="str">
        <f t="shared" si="22"/>
        <v>NULL</v>
      </c>
    </row>
    <row r="600" spans="1:12" x14ac:dyDescent="0.25">
      <c r="A600" t="str" cm="1">
        <f t="array" ref="A600">_xlfn.CONCAT(Instructions!C607,Instructions!A607,"_",TEXT(Instructions!B607,"YYYYMMDD"),"_1_",INDEX(Table1[], MATCH(1,(Table1[Estuary]=Instructions!C607)*(Table1[StationNumber]=Instructions!D607)*(Instructions!B607&gt;Table1[StartDate])*(Instructions!B607&lt;Table1[EndDate]),0),1),"_1_",Instructions!E607,"_",Instructions!F607)</f>
        <v>TBSRVY_20190924_1_0291_1_012_049</v>
      </c>
      <c r="B600" t="str" cm="1">
        <f t="array" ref="B600">_xlfn.CONCAT(Instructions!C607,Instructions!A607,"_",TEXT(Instructions!B607,"YYYYMMDD"),"_1_",INDEX(Table1[], MATCH(1,(Table1[Estuary]=Instructions!C607)*(Table1[StationNumber]=Instructions!D607)*(Instructions!B607&gt;Table1[StartDate])*(Instructions!B607&lt;Table1[EndDate]),0),1),"_1_",Instructions!E607)</f>
        <v>TBSRVY_20190924_1_0291_1_012</v>
      </c>
      <c r="C600">
        <f>Instructions!G607</f>
        <v>57</v>
      </c>
      <c r="D600" t="str">
        <f>IF(ISBLANK(Instructions!H607),"",Instructions!H607)</f>
        <v>Entered</v>
      </c>
      <c r="E600" s="1">
        <f>IF(ISBLANK(Instructions!I607),"",Instructions!I607)</f>
        <v>45646</v>
      </c>
      <c r="F600" t="str">
        <f>IF(ISBLANK(Instructions!J607),"",Instructions!J607)</f>
        <v>Erica Williams</v>
      </c>
      <c r="G600" s="1" t="str">
        <f>IF(ISBLANK(Instructions!K607),"",Instructions!K607)</f>
        <v/>
      </c>
      <c r="H600" t="str">
        <f>IF(ISBLANK(Instructions!L607),"",Instructions!L607)</f>
        <v/>
      </c>
      <c r="I600" t="str">
        <f t="shared" si="21"/>
        <v>NULL</v>
      </c>
      <c r="J600" t="str">
        <f t="shared" si="21"/>
        <v>NULL</v>
      </c>
      <c r="K600" t="str">
        <f>Instructions!M607</f>
        <v>Added via SMSS</v>
      </c>
      <c r="L600" t="str">
        <f t="shared" si="22"/>
        <v>NULL</v>
      </c>
    </row>
    <row r="601" spans="1:12" x14ac:dyDescent="0.25">
      <c r="A601" t="str" cm="1">
        <f t="array" ref="A601">_xlfn.CONCAT(Instructions!C608,Instructions!A608,"_",TEXT(Instructions!B608,"YYYYMMDD"),"_1_",INDEX(Table1[], MATCH(1,(Table1[Estuary]=Instructions!C608)*(Table1[StationNumber]=Instructions!D608)*(Instructions!B608&gt;Table1[StartDate])*(Instructions!B608&lt;Table1[EndDate]),0),1),"_1_",Instructions!E608,"_",Instructions!F608)</f>
        <v>TBSRVY_20190924_1_0291_1_012_050</v>
      </c>
      <c r="B601" t="str" cm="1">
        <f t="array" ref="B601">_xlfn.CONCAT(Instructions!C608,Instructions!A608,"_",TEXT(Instructions!B608,"YYYYMMDD"),"_1_",INDEX(Table1[], MATCH(1,(Table1[Estuary]=Instructions!C608)*(Table1[StationNumber]=Instructions!D608)*(Instructions!B608&gt;Table1[StartDate])*(Instructions!B608&lt;Table1[EndDate]),0),1),"_1_",Instructions!E608)</f>
        <v>TBSRVY_20190924_1_0291_1_012</v>
      </c>
      <c r="C601">
        <f>Instructions!G608</f>
        <v>21</v>
      </c>
      <c r="D601" t="str">
        <f>IF(ISBLANK(Instructions!H608),"",Instructions!H608)</f>
        <v>Entered</v>
      </c>
      <c r="E601" s="1">
        <f>IF(ISBLANK(Instructions!I608),"",Instructions!I608)</f>
        <v>45646</v>
      </c>
      <c r="F601" t="str">
        <f>IF(ISBLANK(Instructions!J608),"",Instructions!J608)</f>
        <v>Erica Williams</v>
      </c>
      <c r="G601" s="1" t="str">
        <f>IF(ISBLANK(Instructions!K608),"",Instructions!K608)</f>
        <v/>
      </c>
      <c r="H601" t="str">
        <f>IF(ISBLANK(Instructions!L608),"",Instructions!L608)</f>
        <v/>
      </c>
      <c r="I601" t="str">
        <f t="shared" si="21"/>
        <v>NULL</v>
      </c>
      <c r="J601" t="str">
        <f t="shared" si="21"/>
        <v>NULL</v>
      </c>
      <c r="K601" t="str">
        <f>Instructions!M608</f>
        <v>Added via SMSS</v>
      </c>
      <c r="L601" t="str">
        <f t="shared" si="22"/>
        <v>NULL</v>
      </c>
    </row>
    <row r="602" spans="1:12" x14ac:dyDescent="0.25">
      <c r="A602" t="str" cm="1">
        <f t="array" ref="A602">_xlfn.CONCAT(Instructions!C609,Instructions!A609,"_",TEXT(Instructions!B609,"YYYYMMDD"),"_1_",INDEX(Table1[], MATCH(1,(Table1[Estuary]=Instructions!C609)*(Table1[StationNumber]=Instructions!D609)*(Instructions!B609&gt;Table1[StartDate])*(Instructions!B609&lt;Table1[EndDate]),0),1),"_1_",Instructions!E609,"_",Instructions!F609)</f>
        <v>TBSRVY_20190924_1_0291_1_013_001</v>
      </c>
      <c r="B602" t="str" cm="1">
        <f t="array" ref="B602">_xlfn.CONCAT(Instructions!C609,Instructions!A609,"_",TEXT(Instructions!B609,"YYYYMMDD"),"_1_",INDEX(Table1[], MATCH(1,(Table1[Estuary]=Instructions!C609)*(Table1[StationNumber]=Instructions!D609)*(Instructions!B609&gt;Table1[StartDate])*(Instructions!B609&lt;Table1[EndDate]),0),1),"_1_",Instructions!E609)</f>
        <v>TBSRVY_20190924_1_0291_1_013</v>
      </c>
      <c r="C602">
        <f>Instructions!G609</f>
        <v>11</v>
      </c>
      <c r="D602" t="str">
        <f>IF(ISBLANK(Instructions!H609),"",Instructions!H609)</f>
        <v>Entered</v>
      </c>
      <c r="E602" s="1">
        <f>IF(ISBLANK(Instructions!I609),"",Instructions!I609)</f>
        <v>45646</v>
      </c>
      <c r="F602" t="str">
        <f>IF(ISBLANK(Instructions!J609),"",Instructions!J609)</f>
        <v>Erica Williams</v>
      </c>
      <c r="G602" s="1" t="str">
        <f>IF(ISBLANK(Instructions!K609),"",Instructions!K609)</f>
        <v/>
      </c>
      <c r="H602" t="str">
        <f>IF(ISBLANK(Instructions!L609),"",Instructions!L609)</f>
        <v/>
      </c>
      <c r="I602" t="str">
        <f t="shared" si="21"/>
        <v>NULL</v>
      </c>
      <c r="J602" t="str">
        <f t="shared" si="21"/>
        <v>NULL</v>
      </c>
      <c r="K602" t="str">
        <f>Instructions!M609</f>
        <v>Added via SMSS</v>
      </c>
      <c r="L602" t="str">
        <f t="shared" si="22"/>
        <v>NULL</v>
      </c>
    </row>
    <row r="603" spans="1:12" x14ac:dyDescent="0.25">
      <c r="A603" t="str" cm="1">
        <f t="array" ref="A603">_xlfn.CONCAT(Instructions!C610,Instructions!A610,"_",TEXT(Instructions!B610,"YYYYMMDD"),"_1_",INDEX(Table1[], MATCH(1,(Table1[Estuary]=Instructions!C610)*(Table1[StationNumber]=Instructions!D610)*(Instructions!B610&gt;Table1[StartDate])*(Instructions!B610&lt;Table1[EndDate]),0),1),"_1_",Instructions!E610,"_",Instructions!F610)</f>
        <v>TBSRVY_20190924_1_0291_1_013_002</v>
      </c>
      <c r="B603" t="str" cm="1">
        <f t="array" ref="B603">_xlfn.CONCAT(Instructions!C610,Instructions!A610,"_",TEXT(Instructions!B610,"YYYYMMDD"),"_1_",INDEX(Table1[], MATCH(1,(Table1[Estuary]=Instructions!C610)*(Table1[StationNumber]=Instructions!D610)*(Instructions!B610&gt;Table1[StartDate])*(Instructions!B610&lt;Table1[EndDate]),0),1),"_1_",Instructions!E610)</f>
        <v>TBSRVY_20190924_1_0291_1_013</v>
      </c>
      <c r="C603">
        <f>Instructions!G610</f>
        <v>20</v>
      </c>
      <c r="D603" t="str">
        <f>IF(ISBLANK(Instructions!H610),"",Instructions!H610)</f>
        <v>Entered</v>
      </c>
      <c r="E603" s="1">
        <f>IF(ISBLANK(Instructions!I610),"",Instructions!I610)</f>
        <v>45646</v>
      </c>
      <c r="F603" t="str">
        <f>IF(ISBLANK(Instructions!J610),"",Instructions!J610)</f>
        <v>Erica Williams</v>
      </c>
      <c r="G603" s="1" t="str">
        <f>IF(ISBLANK(Instructions!K610),"",Instructions!K610)</f>
        <v/>
      </c>
      <c r="H603" t="str">
        <f>IF(ISBLANK(Instructions!L610),"",Instructions!L610)</f>
        <v/>
      </c>
      <c r="I603" t="str">
        <f t="shared" si="21"/>
        <v>NULL</v>
      </c>
      <c r="J603" t="str">
        <f t="shared" si="21"/>
        <v>NULL</v>
      </c>
      <c r="K603" t="str">
        <f>Instructions!M610</f>
        <v>Added via SMSS</v>
      </c>
      <c r="L603" t="str">
        <f t="shared" si="22"/>
        <v>NULL</v>
      </c>
    </row>
    <row r="604" spans="1:12" x14ac:dyDescent="0.25">
      <c r="A604" t="str" cm="1">
        <f t="array" ref="A604">_xlfn.CONCAT(Instructions!C611,Instructions!A611,"_",TEXT(Instructions!B611,"YYYYMMDD"),"_1_",INDEX(Table1[], MATCH(1,(Table1[Estuary]=Instructions!C611)*(Table1[StationNumber]=Instructions!D611)*(Instructions!B611&gt;Table1[StartDate])*(Instructions!B611&lt;Table1[EndDate]),0),1),"_1_",Instructions!E611,"_",Instructions!F611)</f>
        <v>TBSRVY_20190924_1_0291_1_013_003</v>
      </c>
      <c r="B604" t="str" cm="1">
        <f t="array" ref="B604">_xlfn.CONCAT(Instructions!C611,Instructions!A611,"_",TEXT(Instructions!B611,"YYYYMMDD"),"_1_",INDEX(Table1[], MATCH(1,(Table1[Estuary]=Instructions!C611)*(Table1[StationNumber]=Instructions!D611)*(Instructions!B611&gt;Table1[StartDate])*(Instructions!B611&lt;Table1[EndDate]),0),1),"_1_",Instructions!E611)</f>
        <v>TBSRVY_20190924_1_0291_1_013</v>
      </c>
      <c r="C604">
        <f>Instructions!G611</f>
        <v>31</v>
      </c>
      <c r="D604" t="str">
        <f>IF(ISBLANK(Instructions!H611),"",Instructions!H611)</f>
        <v>Entered</v>
      </c>
      <c r="E604" s="1">
        <f>IF(ISBLANK(Instructions!I611),"",Instructions!I611)</f>
        <v>45646</v>
      </c>
      <c r="F604" t="str">
        <f>IF(ISBLANK(Instructions!J611),"",Instructions!J611)</f>
        <v>Erica Williams</v>
      </c>
      <c r="G604" s="1" t="str">
        <f>IF(ISBLANK(Instructions!K611),"",Instructions!K611)</f>
        <v/>
      </c>
      <c r="H604" t="str">
        <f>IF(ISBLANK(Instructions!L611),"",Instructions!L611)</f>
        <v/>
      </c>
      <c r="I604" t="str">
        <f t="shared" si="21"/>
        <v>NULL</v>
      </c>
      <c r="J604" t="str">
        <f t="shared" si="21"/>
        <v>NULL</v>
      </c>
      <c r="K604" t="str">
        <f>Instructions!M611</f>
        <v>Added via SMSS</v>
      </c>
      <c r="L604" t="str">
        <f t="shared" si="22"/>
        <v>NULL</v>
      </c>
    </row>
    <row r="605" spans="1:12" x14ac:dyDescent="0.25">
      <c r="A605" t="str" cm="1">
        <f t="array" ref="A605">_xlfn.CONCAT(Instructions!C612,Instructions!A612,"_",TEXT(Instructions!B612,"YYYYMMDD"),"_1_",INDEX(Table1[], MATCH(1,(Table1[Estuary]=Instructions!C612)*(Table1[StationNumber]=Instructions!D612)*(Instructions!B612&gt;Table1[StartDate])*(Instructions!B612&lt;Table1[EndDate]),0),1),"_1_",Instructions!E612,"_",Instructions!F612)</f>
        <v>TBSRVY_20190924_1_0291_1_013_004</v>
      </c>
      <c r="B605" t="str" cm="1">
        <f t="array" ref="B605">_xlfn.CONCAT(Instructions!C612,Instructions!A612,"_",TEXT(Instructions!B612,"YYYYMMDD"),"_1_",INDEX(Table1[], MATCH(1,(Table1[Estuary]=Instructions!C612)*(Table1[StationNumber]=Instructions!D612)*(Instructions!B612&gt;Table1[StartDate])*(Instructions!B612&lt;Table1[EndDate]),0),1),"_1_",Instructions!E612)</f>
        <v>TBSRVY_20190924_1_0291_1_013</v>
      </c>
      <c r="C605">
        <f>Instructions!G612</f>
        <v>16</v>
      </c>
      <c r="D605" t="str">
        <f>IF(ISBLANK(Instructions!H612),"",Instructions!H612)</f>
        <v>Entered</v>
      </c>
      <c r="E605" s="1">
        <f>IF(ISBLANK(Instructions!I612),"",Instructions!I612)</f>
        <v>45646</v>
      </c>
      <c r="F605" t="str">
        <f>IF(ISBLANK(Instructions!J612),"",Instructions!J612)</f>
        <v>Erica Williams</v>
      </c>
      <c r="G605" s="1" t="str">
        <f>IF(ISBLANK(Instructions!K612),"",Instructions!K612)</f>
        <v/>
      </c>
      <c r="H605" t="str">
        <f>IF(ISBLANK(Instructions!L612),"",Instructions!L612)</f>
        <v/>
      </c>
      <c r="I605" t="str">
        <f t="shared" si="21"/>
        <v>NULL</v>
      </c>
      <c r="J605" t="str">
        <f t="shared" si="21"/>
        <v>NULL</v>
      </c>
      <c r="K605" t="str">
        <f>Instructions!M612</f>
        <v>Added via SMSS</v>
      </c>
      <c r="L605" t="str">
        <f t="shared" si="22"/>
        <v>NULL</v>
      </c>
    </row>
    <row r="606" spans="1:12" x14ac:dyDescent="0.25">
      <c r="A606" t="str" cm="1">
        <f t="array" ref="A606">_xlfn.CONCAT(Instructions!C613,Instructions!A613,"_",TEXT(Instructions!B613,"YYYYMMDD"),"_1_",INDEX(Table1[], MATCH(1,(Table1[Estuary]=Instructions!C613)*(Table1[StationNumber]=Instructions!D613)*(Instructions!B613&gt;Table1[StartDate])*(Instructions!B613&lt;Table1[EndDate]),0),1),"_1_",Instructions!E613,"_",Instructions!F613)</f>
        <v>TBSRVY_20190924_1_0291_1_013_005</v>
      </c>
      <c r="B606" t="str" cm="1">
        <f t="array" ref="B606">_xlfn.CONCAT(Instructions!C613,Instructions!A613,"_",TEXT(Instructions!B613,"YYYYMMDD"),"_1_",INDEX(Table1[], MATCH(1,(Table1[Estuary]=Instructions!C613)*(Table1[StationNumber]=Instructions!D613)*(Instructions!B613&gt;Table1[StartDate])*(Instructions!B613&lt;Table1[EndDate]),0),1),"_1_",Instructions!E613)</f>
        <v>TBSRVY_20190924_1_0291_1_013</v>
      </c>
      <c r="C606">
        <f>Instructions!G613</f>
        <v>17</v>
      </c>
      <c r="D606" t="str">
        <f>IF(ISBLANK(Instructions!H613),"",Instructions!H613)</f>
        <v>Entered</v>
      </c>
      <c r="E606" s="1">
        <f>IF(ISBLANK(Instructions!I613),"",Instructions!I613)</f>
        <v>45646</v>
      </c>
      <c r="F606" t="str">
        <f>IF(ISBLANK(Instructions!J613),"",Instructions!J613)</f>
        <v>Erica Williams</v>
      </c>
      <c r="G606" s="1" t="str">
        <f>IF(ISBLANK(Instructions!K613),"",Instructions!K613)</f>
        <v/>
      </c>
      <c r="H606" t="str">
        <f>IF(ISBLANK(Instructions!L613),"",Instructions!L613)</f>
        <v/>
      </c>
      <c r="I606" t="str">
        <f t="shared" si="21"/>
        <v>NULL</v>
      </c>
      <c r="J606" t="str">
        <f t="shared" si="21"/>
        <v>NULL</v>
      </c>
      <c r="K606" t="str">
        <f>Instructions!M613</f>
        <v>Added via SMSS</v>
      </c>
      <c r="L606" t="str">
        <f t="shared" si="22"/>
        <v>NULL</v>
      </c>
    </row>
    <row r="607" spans="1:12" x14ac:dyDescent="0.25">
      <c r="A607" t="str" cm="1">
        <f t="array" ref="A607">_xlfn.CONCAT(Instructions!C614,Instructions!A614,"_",TEXT(Instructions!B614,"YYYYMMDD"),"_1_",INDEX(Table1[], MATCH(1,(Table1[Estuary]=Instructions!C614)*(Table1[StationNumber]=Instructions!D614)*(Instructions!B614&gt;Table1[StartDate])*(Instructions!B614&lt;Table1[EndDate]),0),1),"_1_",Instructions!E614,"_",Instructions!F614)</f>
        <v>TBSRVY_20190924_1_0291_1_013_006</v>
      </c>
      <c r="B607" t="str" cm="1">
        <f t="array" ref="B607">_xlfn.CONCAT(Instructions!C614,Instructions!A614,"_",TEXT(Instructions!B614,"YYYYMMDD"),"_1_",INDEX(Table1[], MATCH(1,(Table1[Estuary]=Instructions!C614)*(Table1[StationNumber]=Instructions!D614)*(Instructions!B614&gt;Table1[StartDate])*(Instructions!B614&lt;Table1[EndDate]),0),1),"_1_",Instructions!E614)</f>
        <v>TBSRVY_20190924_1_0291_1_013</v>
      </c>
      <c r="C607">
        <f>Instructions!G614</f>
        <v>44</v>
      </c>
      <c r="D607" t="str">
        <f>IF(ISBLANK(Instructions!H614),"",Instructions!H614)</f>
        <v>Entered</v>
      </c>
      <c r="E607" s="1">
        <f>IF(ISBLANK(Instructions!I614),"",Instructions!I614)</f>
        <v>45646</v>
      </c>
      <c r="F607" t="str">
        <f>IF(ISBLANK(Instructions!J614),"",Instructions!J614)</f>
        <v>Erica Williams</v>
      </c>
      <c r="G607" s="1" t="str">
        <f>IF(ISBLANK(Instructions!K614),"",Instructions!K614)</f>
        <v/>
      </c>
      <c r="H607" t="str">
        <f>IF(ISBLANK(Instructions!L614),"",Instructions!L614)</f>
        <v/>
      </c>
      <c r="I607" t="str">
        <f t="shared" si="21"/>
        <v>NULL</v>
      </c>
      <c r="J607" t="str">
        <f t="shared" si="21"/>
        <v>NULL</v>
      </c>
      <c r="K607" t="str">
        <f>Instructions!M614</f>
        <v>Added via SMSS</v>
      </c>
      <c r="L607" t="str">
        <f t="shared" si="22"/>
        <v>NULL</v>
      </c>
    </row>
    <row r="608" spans="1:12" x14ac:dyDescent="0.25">
      <c r="A608" t="str" cm="1">
        <f t="array" ref="A608">_xlfn.CONCAT(Instructions!C615,Instructions!A615,"_",TEXT(Instructions!B615,"YYYYMMDD"),"_1_",INDEX(Table1[], MATCH(1,(Table1[Estuary]=Instructions!C615)*(Table1[StationNumber]=Instructions!D615)*(Instructions!B615&gt;Table1[StartDate])*(Instructions!B615&lt;Table1[EndDate]),0),1),"_1_",Instructions!E615,"_",Instructions!F615)</f>
        <v>TBSRVY_20190924_1_0291_1_013_007</v>
      </c>
      <c r="B608" t="str" cm="1">
        <f t="array" ref="B608">_xlfn.CONCAT(Instructions!C615,Instructions!A615,"_",TEXT(Instructions!B615,"YYYYMMDD"),"_1_",INDEX(Table1[], MATCH(1,(Table1[Estuary]=Instructions!C615)*(Table1[StationNumber]=Instructions!D615)*(Instructions!B615&gt;Table1[StartDate])*(Instructions!B615&lt;Table1[EndDate]),0),1),"_1_",Instructions!E615)</f>
        <v>TBSRVY_20190924_1_0291_1_013</v>
      </c>
      <c r="C608">
        <f>Instructions!G615</f>
        <v>21</v>
      </c>
      <c r="D608" t="str">
        <f>IF(ISBLANK(Instructions!H615),"",Instructions!H615)</f>
        <v>Entered</v>
      </c>
      <c r="E608" s="1">
        <f>IF(ISBLANK(Instructions!I615),"",Instructions!I615)</f>
        <v>45646</v>
      </c>
      <c r="F608" t="str">
        <f>IF(ISBLANK(Instructions!J615),"",Instructions!J615)</f>
        <v>Erica Williams</v>
      </c>
      <c r="G608" s="1" t="str">
        <f>IF(ISBLANK(Instructions!K615),"",Instructions!K615)</f>
        <v/>
      </c>
      <c r="H608" t="str">
        <f>IF(ISBLANK(Instructions!L615),"",Instructions!L615)</f>
        <v/>
      </c>
      <c r="I608" t="str">
        <f t="shared" si="21"/>
        <v>NULL</v>
      </c>
      <c r="J608" t="str">
        <f t="shared" si="21"/>
        <v>NULL</v>
      </c>
      <c r="K608" t="str">
        <f>Instructions!M615</f>
        <v>Added via SMSS</v>
      </c>
      <c r="L608" t="str">
        <f t="shared" si="22"/>
        <v>NULL</v>
      </c>
    </row>
    <row r="609" spans="1:12" x14ac:dyDescent="0.25">
      <c r="A609" t="str" cm="1">
        <f t="array" ref="A609">_xlfn.CONCAT(Instructions!C616,Instructions!A616,"_",TEXT(Instructions!B616,"YYYYMMDD"),"_1_",INDEX(Table1[], MATCH(1,(Table1[Estuary]=Instructions!C616)*(Table1[StationNumber]=Instructions!D616)*(Instructions!B616&gt;Table1[StartDate])*(Instructions!B616&lt;Table1[EndDate]),0),1),"_1_",Instructions!E616,"_",Instructions!F616)</f>
        <v>TBSRVY_20190924_1_0291_1_013_008</v>
      </c>
      <c r="B609" t="str" cm="1">
        <f t="array" ref="B609">_xlfn.CONCAT(Instructions!C616,Instructions!A616,"_",TEXT(Instructions!B616,"YYYYMMDD"),"_1_",INDEX(Table1[], MATCH(1,(Table1[Estuary]=Instructions!C616)*(Table1[StationNumber]=Instructions!D616)*(Instructions!B616&gt;Table1[StartDate])*(Instructions!B616&lt;Table1[EndDate]),0),1),"_1_",Instructions!E616)</f>
        <v>TBSRVY_20190924_1_0291_1_013</v>
      </c>
      <c r="C609">
        <f>Instructions!G616</f>
        <v>28</v>
      </c>
      <c r="D609" t="str">
        <f>IF(ISBLANK(Instructions!H616),"",Instructions!H616)</f>
        <v>Entered</v>
      </c>
      <c r="E609" s="1">
        <f>IF(ISBLANK(Instructions!I616),"",Instructions!I616)</f>
        <v>45646</v>
      </c>
      <c r="F609" t="str">
        <f>IF(ISBLANK(Instructions!J616),"",Instructions!J616)</f>
        <v>Erica Williams</v>
      </c>
      <c r="G609" s="1" t="str">
        <f>IF(ISBLANK(Instructions!K616),"",Instructions!K616)</f>
        <v/>
      </c>
      <c r="H609" t="str">
        <f>IF(ISBLANK(Instructions!L616),"",Instructions!L616)</f>
        <v/>
      </c>
      <c r="I609" t="str">
        <f t="shared" si="21"/>
        <v>NULL</v>
      </c>
      <c r="J609" t="str">
        <f t="shared" si="21"/>
        <v>NULL</v>
      </c>
      <c r="K609" t="str">
        <f>Instructions!M616</f>
        <v>Added via SMSS</v>
      </c>
      <c r="L609" t="str">
        <f t="shared" si="22"/>
        <v>NULL</v>
      </c>
    </row>
    <row r="610" spans="1:12" x14ac:dyDescent="0.25">
      <c r="A610" t="str" cm="1">
        <f t="array" ref="A610">_xlfn.CONCAT(Instructions!C617,Instructions!A617,"_",TEXT(Instructions!B617,"YYYYMMDD"),"_1_",INDEX(Table1[], MATCH(1,(Table1[Estuary]=Instructions!C617)*(Table1[StationNumber]=Instructions!D617)*(Instructions!B617&gt;Table1[StartDate])*(Instructions!B617&lt;Table1[EndDate]),0),1),"_1_",Instructions!E617,"_",Instructions!F617)</f>
        <v>TBSRVY_20190924_1_0291_1_013_009</v>
      </c>
      <c r="B610" t="str" cm="1">
        <f t="array" ref="B610">_xlfn.CONCAT(Instructions!C617,Instructions!A617,"_",TEXT(Instructions!B617,"YYYYMMDD"),"_1_",INDEX(Table1[], MATCH(1,(Table1[Estuary]=Instructions!C617)*(Table1[StationNumber]=Instructions!D617)*(Instructions!B617&gt;Table1[StartDate])*(Instructions!B617&lt;Table1[EndDate]),0),1),"_1_",Instructions!E617)</f>
        <v>TBSRVY_20190924_1_0291_1_013</v>
      </c>
      <c r="C610">
        <f>Instructions!G617</f>
        <v>50</v>
      </c>
      <c r="D610" t="str">
        <f>IF(ISBLANK(Instructions!H617),"",Instructions!H617)</f>
        <v>Entered</v>
      </c>
      <c r="E610" s="1">
        <f>IF(ISBLANK(Instructions!I617),"",Instructions!I617)</f>
        <v>45646</v>
      </c>
      <c r="F610" t="str">
        <f>IF(ISBLANK(Instructions!J617),"",Instructions!J617)</f>
        <v>Erica Williams</v>
      </c>
      <c r="G610" s="1" t="str">
        <f>IF(ISBLANK(Instructions!K617),"",Instructions!K617)</f>
        <v/>
      </c>
      <c r="H610" t="str">
        <f>IF(ISBLANK(Instructions!L617),"",Instructions!L617)</f>
        <v/>
      </c>
      <c r="I610" t="str">
        <f t="shared" si="21"/>
        <v>NULL</v>
      </c>
      <c r="J610" t="str">
        <f t="shared" si="21"/>
        <v>NULL</v>
      </c>
      <c r="K610" t="str">
        <f>Instructions!M617</f>
        <v>Added via SMSS</v>
      </c>
      <c r="L610" t="str">
        <f t="shared" si="22"/>
        <v>NULL</v>
      </c>
    </row>
    <row r="611" spans="1:12" x14ac:dyDescent="0.25">
      <c r="A611" t="str" cm="1">
        <f t="array" ref="A611">_xlfn.CONCAT(Instructions!C618,Instructions!A618,"_",TEXT(Instructions!B618,"YYYYMMDD"),"_1_",INDEX(Table1[], MATCH(1,(Table1[Estuary]=Instructions!C618)*(Table1[StationNumber]=Instructions!D618)*(Instructions!B618&gt;Table1[StartDate])*(Instructions!B618&lt;Table1[EndDate]),0),1),"_1_",Instructions!E618,"_",Instructions!F618)</f>
        <v>TBSRVY_20190924_1_0291_1_013_010</v>
      </c>
      <c r="B611" t="str" cm="1">
        <f t="array" ref="B611">_xlfn.CONCAT(Instructions!C618,Instructions!A618,"_",TEXT(Instructions!B618,"YYYYMMDD"),"_1_",INDEX(Table1[], MATCH(1,(Table1[Estuary]=Instructions!C618)*(Table1[StationNumber]=Instructions!D618)*(Instructions!B618&gt;Table1[StartDate])*(Instructions!B618&lt;Table1[EndDate]),0),1),"_1_",Instructions!E618)</f>
        <v>TBSRVY_20190924_1_0291_1_013</v>
      </c>
      <c r="C611">
        <f>Instructions!G618</f>
        <v>18</v>
      </c>
      <c r="D611" t="str">
        <f>IF(ISBLANK(Instructions!H618),"",Instructions!H618)</f>
        <v>Entered</v>
      </c>
      <c r="E611" s="1">
        <f>IF(ISBLANK(Instructions!I618),"",Instructions!I618)</f>
        <v>45646</v>
      </c>
      <c r="F611" t="str">
        <f>IF(ISBLANK(Instructions!J618),"",Instructions!J618)</f>
        <v>Erica Williams</v>
      </c>
      <c r="G611" s="1" t="str">
        <f>IF(ISBLANK(Instructions!K618),"",Instructions!K618)</f>
        <v/>
      </c>
      <c r="H611" t="str">
        <f>IF(ISBLANK(Instructions!L618),"",Instructions!L618)</f>
        <v/>
      </c>
      <c r="I611" t="str">
        <f t="shared" si="21"/>
        <v>NULL</v>
      </c>
      <c r="J611" t="str">
        <f t="shared" si="21"/>
        <v>NULL</v>
      </c>
      <c r="K611" t="str">
        <f>Instructions!M618</f>
        <v>Added via SMSS</v>
      </c>
      <c r="L611" t="str">
        <f t="shared" si="22"/>
        <v>NULL</v>
      </c>
    </row>
    <row r="612" spans="1:12" x14ac:dyDescent="0.25">
      <c r="A612" t="str" cm="1">
        <f t="array" ref="A612">_xlfn.CONCAT(Instructions!C619,Instructions!A619,"_",TEXT(Instructions!B619,"YYYYMMDD"),"_1_",INDEX(Table1[], MATCH(1,(Table1[Estuary]=Instructions!C619)*(Table1[StationNumber]=Instructions!D619)*(Instructions!B619&gt;Table1[StartDate])*(Instructions!B619&lt;Table1[EndDate]),0),1),"_1_",Instructions!E619,"_",Instructions!F619)</f>
        <v>TBSRVY_20190924_1_0291_1_013_011</v>
      </c>
      <c r="B612" t="str" cm="1">
        <f t="array" ref="B612">_xlfn.CONCAT(Instructions!C619,Instructions!A619,"_",TEXT(Instructions!B619,"YYYYMMDD"),"_1_",INDEX(Table1[], MATCH(1,(Table1[Estuary]=Instructions!C619)*(Table1[StationNumber]=Instructions!D619)*(Instructions!B619&gt;Table1[StartDate])*(Instructions!B619&lt;Table1[EndDate]),0),1),"_1_",Instructions!E619)</f>
        <v>TBSRVY_20190924_1_0291_1_013</v>
      </c>
      <c r="C612">
        <f>Instructions!G619</f>
        <v>30</v>
      </c>
      <c r="D612" t="str">
        <f>IF(ISBLANK(Instructions!H619),"",Instructions!H619)</f>
        <v>Entered</v>
      </c>
      <c r="E612" s="1">
        <f>IF(ISBLANK(Instructions!I619),"",Instructions!I619)</f>
        <v>45646</v>
      </c>
      <c r="F612" t="str">
        <f>IF(ISBLANK(Instructions!J619),"",Instructions!J619)</f>
        <v>Erica Williams</v>
      </c>
      <c r="G612" s="1" t="str">
        <f>IF(ISBLANK(Instructions!K619),"",Instructions!K619)</f>
        <v/>
      </c>
      <c r="H612" t="str">
        <f>IF(ISBLANK(Instructions!L619),"",Instructions!L619)</f>
        <v/>
      </c>
      <c r="I612" t="str">
        <f t="shared" si="21"/>
        <v>NULL</v>
      </c>
      <c r="J612" t="str">
        <f t="shared" si="21"/>
        <v>NULL</v>
      </c>
      <c r="K612" t="str">
        <f>Instructions!M619</f>
        <v>Added via SMSS</v>
      </c>
      <c r="L612" t="str">
        <f t="shared" si="22"/>
        <v>NULL</v>
      </c>
    </row>
    <row r="613" spans="1:12" x14ac:dyDescent="0.25">
      <c r="A613" t="str" cm="1">
        <f t="array" ref="A613">_xlfn.CONCAT(Instructions!C620,Instructions!A620,"_",TEXT(Instructions!B620,"YYYYMMDD"),"_1_",INDEX(Table1[], MATCH(1,(Table1[Estuary]=Instructions!C620)*(Table1[StationNumber]=Instructions!D620)*(Instructions!B620&gt;Table1[StartDate])*(Instructions!B620&lt;Table1[EndDate]),0),1),"_1_",Instructions!E620,"_",Instructions!F620)</f>
        <v>TBSRVY_20190924_1_0291_1_013_012</v>
      </c>
      <c r="B613" t="str" cm="1">
        <f t="array" ref="B613">_xlfn.CONCAT(Instructions!C620,Instructions!A620,"_",TEXT(Instructions!B620,"YYYYMMDD"),"_1_",INDEX(Table1[], MATCH(1,(Table1[Estuary]=Instructions!C620)*(Table1[StationNumber]=Instructions!D620)*(Instructions!B620&gt;Table1[StartDate])*(Instructions!B620&lt;Table1[EndDate]),0),1),"_1_",Instructions!E620)</f>
        <v>TBSRVY_20190924_1_0291_1_013</v>
      </c>
      <c r="C613">
        <f>Instructions!G620</f>
        <v>26</v>
      </c>
      <c r="D613" t="str">
        <f>IF(ISBLANK(Instructions!H620),"",Instructions!H620)</f>
        <v>Entered</v>
      </c>
      <c r="E613" s="1">
        <f>IF(ISBLANK(Instructions!I620),"",Instructions!I620)</f>
        <v>45646</v>
      </c>
      <c r="F613" t="str">
        <f>IF(ISBLANK(Instructions!J620),"",Instructions!J620)</f>
        <v>Erica Williams</v>
      </c>
      <c r="G613" s="1" t="str">
        <f>IF(ISBLANK(Instructions!K620),"",Instructions!K620)</f>
        <v/>
      </c>
      <c r="H613" t="str">
        <f>IF(ISBLANK(Instructions!L620),"",Instructions!L620)</f>
        <v/>
      </c>
      <c r="I613" t="str">
        <f t="shared" si="21"/>
        <v>NULL</v>
      </c>
      <c r="J613" t="str">
        <f t="shared" ref="J613" si="23">"NULL"</f>
        <v>NULL</v>
      </c>
      <c r="K613" t="str">
        <f>Instructions!M620</f>
        <v>Added via SMSS</v>
      </c>
      <c r="L613" t="str">
        <f t="shared" si="22"/>
        <v>NULL</v>
      </c>
    </row>
    <row r="614" spans="1:12" x14ac:dyDescent="0.25">
      <c r="A614" t="str" cm="1">
        <f t="array" ref="A614">_xlfn.CONCAT(Instructions!C621,Instructions!A621,"_",TEXT(Instructions!B621,"YYYYMMDD"),"_1_",INDEX(Table1[], MATCH(1,(Table1[Estuary]=Instructions!C621)*(Table1[StationNumber]=Instructions!D621)*(Instructions!B621&gt;Table1[StartDate])*(Instructions!B621&lt;Table1[EndDate]),0),1),"_1_",Instructions!E621,"_",Instructions!F621)</f>
        <v>TBSRVY_20190924_1_0291_1_013_013</v>
      </c>
      <c r="B614" t="str" cm="1">
        <f t="array" ref="B614">_xlfn.CONCAT(Instructions!C621,Instructions!A621,"_",TEXT(Instructions!B621,"YYYYMMDD"),"_1_",INDEX(Table1[], MATCH(1,(Table1[Estuary]=Instructions!C621)*(Table1[StationNumber]=Instructions!D621)*(Instructions!B621&gt;Table1[StartDate])*(Instructions!B621&lt;Table1[EndDate]),0),1),"_1_",Instructions!E621)</f>
        <v>TBSRVY_20190924_1_0291_1_013</v>
      </c>
      <c r="C614">
        <f>Instructions!G621</f>
        <v>22</v>
      </c>
      <c r="D614" t="str">
        <f>IF(ISBLANK(Instructions!H621),"",Instructions!H621)</f>
        <v>Entered</v>
      </c>
      <c r="E614" s="1">
        <f>IF(ISBLANK(Instructions!I621),"",Instructions!I621)</f>
        <v>45646</v>
      </c>
      <c r="F614" t="str">
        <f>IF(ISBLANK(Instructions!J621),"",Instructions!J621)</f>
        <v>Erica Williams</v>
      </c>
      <c r="G614" s="1" t="str">
        <f>IF(ISBLANK(Instructions!K621),"",Instructions!K621)</f>
        <v/>
      </c>
      <c r="H614" t="str">
        <f>IF(ISBLANK(Instructions!L621),"",Instructions!L621)</f>
        <v/>
      </c>
      <c r="I614" t="str">
        <f t="shared" ref="I614:J677" si="24">"NULL"</f>
        <v>NULL</v>
      </c>
      <c r="J614" t="str">
        <f t="shared" si="24"/>
        <v>NULL</v>
      </c>
      <c r="K614" t="str">
        <f>Instructions!M621</f>
        <v>Added via SMSS</v>
      </c>
      <c r="L614" t="str">
        <f t="shared" si="22"/>
        <v>NULL</v>
      </c>
    </row>
    <row r="615" spans="1:12" x14ac:dyDescent="0.25">
      <c r="A615" t="str" cm="1">
        <f t="array" ref="A615">_xlfn.CONCAT(Instructions!C622,Instructions!A622,"_",TEXT(Instructions!B622,"YYYYMMDD"),"_1_",INDEX(Table1[], MATCH(1,(Table1[Estuary]=Instructions!C622)*(Table1[StationNumber]=Instructions!D622)*(Instructions!B622&gt;Table1[StartDate])*(Instructions!B622&lt;Table1[EndDate]),0),1),"_1_",Instructions!E622,"_",Instructions!F622)</f>
        <v>TBSRVY_20190924_1_0291_1_013_014</v>
      </c>
      <c r="B615" t="str" cm="1">
        <f t="array" ref="B615">_xlfn.CONCAT(Instructions!C622,Instructions!A622,"_",TEXT(Instructions!B622,"YYYYMMDD"),"_1_",INDEX(Table1[], MATCH(1,(Table1[Estuary]=Instructions!C622)*(Table1[StationNumber]=Instructions!D622)*(Instructions!B622&gt;Table1[StartDate])*(Instructions!B622&lt;Table1[EndDate]),0),1),"_1_",Instructions!E622)</f>
        <v>TBSRVY_20190924_1_0291_1_013</v>
      </c>
      <c r="C615">
        <f>Instructions!G622</f>
        <v>15</v>
      </c>
      <c r="D615" t="str">
        <f>IF(ISBLANK(Instructions!H622),"",Instructions!H622)</f>
        <v>Entered</v>
      </c>
      <c r="E615" s="1">
        <f>IF(ISBLANK(Instructions!I622),"",Instructions!I622)</f>
        <v>45646</v>
      </c>
      <c r="F615" t="str">
        <f>IF(ISBLANK(Instructions!J622),"",Instructions!J622)</f>
        <v>Erica Williams</v>
      </c>
      <c r="G615" s="1" t="str">
        <f>IF(ISBLANK(Instructions!K622),"",Instructions!K622)</f>
        <v/>
      </c>
      <c r="H615" t="str">
        <f>IF(ISBLANK(Instructions!L622),"",Instructions!L622)</f>
        <v/>
      </c>
      <c r="I615" t="str">
        <f t="shared" si="24"/>
        <v>NULL</v>
      </c>
      <c r="J615" t="str">
        <f t="shared" si="24"/>
        <v>NULL</v>
      </c>
      <c r="K615" t="str">
        <f>Instructions!M622</f>
        <v>Added via SMSS</v>
      </c>
      <c r="L615" t="str">
        <f t="shared" si="22"/>
        <v>NULL</v>
      </c>
    </row>
    <row r="616" spans="1:12" x14ac:dyDescent="0.25">
      <c r="A616" t="str" cm="1">
        <f t="array" ref="A616">_xlfn.CONCAT(Instructions!C623,Instructions!A623,"_",TEXT(Instructions!B623,"YYYYMMDD"),"_1_",INDEX(Table1[], MATCH(1,(Table1[Estuary]=Instructions!C623)*(Table1[StationNumber]=Instructions!D623)*(Instructions!B623&gt;Table1[StartDate])*(Instructions!B623&lt;Table1[EndDate]),0),1),"_1_",Instructions!E623,"_",Instructions!F623)</f>
        <v>TBSRVY_20190924_1_0291_1_013_015</v>
      </c>
      <c r="B616" t="str" cm="1">
        <f t="array" ref="B616">_xlfn.CONCAT(Instructions!C623,Instructions!A623,"_",TEXT(Instructions!B623,"YYYYMMDD"),"_1_",INDEX(Table1[], MATCH(1,(Table1[Estuary]=Instructions!C623)*(Table1[StationNumber]=Instructions!D623)*(Instructions!B623&gt;Table1[StartDate])*(Instructions!B623&lt;Table1[EndDate]),0),1),"_1_",Instructions!E623)</f>
        <v>TBSRVY_20190924_1_0291_1_013</v>
      </c>
      <c r="C616">
        <f>Instructions!G623</f>
        <v>28</v>
      </c>
      <c r="D616" t="str">
        <f>IF(ISBLANK(Instructions!H623),"",Instructions!H623)</f>
        <v>Entered</v>
      </c>
      <c r="E616" s="1">
        <f>IF(ISBLANK(Instructions!I623),"",Instructions!I623)</f>
        <v>45646</v>
      </c>
      <c r="F616" t="str">
        <f>IF(ISBLANK(Instructions!J623),"",Instructions!J623)</f>
        <v>Erica Williams</v>
      </c>
      <c r="G616" s="1" t="str">
        <f>IF(ISBLANK(Instructions!K623),"",Instructions!K623)</f>
        <v/>
      </c>
      <c r="H616" t="str">
        <f>IF(ISBLANK(Instructions!L623),"",Instructions!L623)</f>
        <v/>
      </c>
      <c r="I616" t="str">
        <f t="shared" si="24"/>
        <v>NULL</v>
      </c>
      <c r="J616" t="str">
        <f t="shared" si="24"/>
        <v>NULL</v>
      </c>
      <c r="K616" t="str">
        <f>Instructions!M623</f>
        <v>Added via SMSS</v>
      </c>
      <c r="L616" t="str">
        <f t="shared" si="22"/>
        <v>NULL</v>
      </c>
    </row>
    <row r="617" spans="1:12" x14ac:dyDescent="0.25">
      <c r="A617" t="str" cm="1">
        <f t="array" ref="A617">_xlfn.CONCAT(Instructions!C624,Instructions!A624,"_",TEXT(Instructions!B624,"YYYYMMDD"),"_1_",INDEX(Table1[], MATCH(1,(Table1[Estuary]=Instructions!C624)*(Table1[StationNumber]=Instructions!D624)*(Instructions!B624&gt;Table1[StartDate])*(Instructions!B624&lt;Table1[EndDate]),0),1),"_1_",Instructions!E624,"_",Instructions!F624)</f>
        <v>TBSRVY_20190924_1_0291_1_013_016</v>
      </c>
      <c r="B617" t="str" cm="1">
        <f t="array" ref="B617">_xlfn.CONCAT(Instructions!C624,Instructions!A624,"_",TEXT(Instructions!B624,"YYYYMMDD"),"_1_",INDEX(Table1[], MATCH(1,(Table1[Estuary]=Instructions!C624)*(Table1[StationNumber]=Instructions!D624)*(Instructions!B624&gt;Table1[StartDate])*(Instructions!B624&lt;Table1[EndDate]),0),1),"_1_",Instructions!E624)</f>
        <v>TBSRVY_20190924_1_0291_1_013</v>
      </c>
      <c r="C617">
        <f>Instructions!G624</f>
        <v>22</v>
      </c>
      <c r="D617" t="str">
        <f>IF(ISBLANK(Instructions!H624),"",Instructions!H624)</f>
        <v>Entered</v>
      </c>
      <c r="E617" s="1">
        <f>IF(ISBLANK(Instructions!I624),"",Instructions!I624)</f>
        <v>45646</v>
      </c>
      <c r="F617" t="str">
        <f>IF(ISBLANK(Instructions!J624),"",Instructions!J624)</f>
        <v>Erica Williams</v>
      </c>
      <c r="G617" s="1" t="str">
        <f>IF(ISBLANK(Instructions!K624),"",Instructions!K624)</f>
        <v/>
      </c>
      <c r="H617" t="str">
        <f>IF(ISBLANK(Instructions!L624),"",Instructions!L624)</f>
        <v/>
      </c>
      <c r="I617" t="str">
        <f t="shared" si="24"/>
        <v>NULL</v>
      </c>
      <c r="J617" t="str">
        <f t="shared" si="24"/>
        <v>NULL</v>
      </c>
      <c r="K617" t="str">
        <f>Instructions!M624</f>
        <v>Added via SMSS</v>
      </c>
      <c r="L617" t="str">
        <f t="shared" si="22"/>
        <v>NULL</v>
      </c>
    </row>
    <row r="618" spans="1:12" x14ac:dyDescent="0.25">
      <c r="A618" t="str" cm="1">
        <f t="array" ref="A618">_xlfn.CONCAT(Instructions!C625,Instructions!A625,"_",TEXT(Instructions!B625,"YYYYMMDD"),"_1_",INDEX(Table1[], MATCH(1,(Table1[Estuary]=Instructions!C625)*(Table1[StationNumber]=Instructions!D625)*(Instructions!B625&gt;Table1[StartDate])*(Instructions!B625&lt;Table1[EndDate]),0),1),"_1_",Instructions!E625,"_",Instructions!F625)</f>
        <v>TBSRVY_20190924_1_0291_1_013_017</v>
      </c>
      <c r="B618" t="str" cm="1">
        <f t="array" ref="B618">_xlfn.CONCAT(Instructions!C625,Instructions!A625,"_",TEXT(Instructions!B625,"YYYYMMDD"),"_1_",INDEX(Table1[], MATCH(1,(Table1[Estuary]=Instructions!C625)*(Table1[StationNumber]=Instructions!D625)*(Instructions!B625&gt;Table1[StartDate])*(Instructions!B625&lt;Table1[EndDate]),0),1),"_1_",Instructions!E625)</f>
        <v>TBSRVY_20190924_1_0291_1_013</v>
      </c>
      <c r="C618">
        <f>Instructions!G625</f>
        <v>31</v>
      </c>
      <c r="D618" t="str">
        <f>IF(ISBLANK(Instructions!H625),"",Instructions!H625)</f>
        <v>Entered</v>
      </c>
      <c r="E618" s="1">
        <f>IF(ISBLANK(Instructions!I625),"",Instructions!I625)</f>
        <v>45646</v>
      </c>
      <c r="F618" t="str">
        <f>IF(ISBLANK(Instructions!J625),"",Instructions!J625)</f>
        <v>Erica Williams</v>
      </c>
      <c r="G618" s="1" t="str">
        <f>IF(ISBLANK(Instructions!K625),"",Instructions!K625)</f>
        <v/>
      </c>
      <c r="H618" t="str">
        <f>IF(ISBLANK(Instructions!L625),"",Instructions!L625)</f>
        <v/>
      </c>
      <c r="I618" t="str">
        <f t="shared" si="24"/>
        <v>NULL</v>
      </c>
      <c r="J618" t="str">
        <f t="shared" si="24"/>
        <v>NULL</v>
      </c>
      <c r="K618" t="str">
        <f>Instructions!M625</f>
        <v>Added via SMSS</v>
      </c>
      <c r="L618" t="str">
        <f t="shared" si="22"/>
        <v>NULL</v>
      </c>
    </row>
    <row r="619" spans="1:12" x14ac:dyDescent="0.25">
      <c r="A619" t="str" cm="1">
        <f t="array" ref="A619">_xlfn.CONCAT(Instructions!C626,Instructions!A626,"_",TEXT(Instructions!B626,"YYYYMMDD"),"_1_",INDEX(Table1[], MATCH(1,(Table1[Estuary]=Instructions!C626)*(Table1[StationNumber]=Instructions!D626)*(Instructions!B626&gt;Table1[StartDate])*(Instructions!B626&lt;Table1[EndDate]),0),1),"_1_",Instructions!E626,"_",Instructions!F626)</f>
        <v>TBSRVY_20190924_1_0291_1_013_018</v>
      </c>
      <c r="B619" t="str" cm="1">
        <f t="array" ref="B619">_xlfn.CONCAT(Instructions!C626,Instructions!A626,"_",TEXT(Instructions!B626,"YYYYMMDD"),"_1_",INDEX(Table1[], MATCH(1,(Table1[Estuary]=Instructions!C626)*(Table1[StationNumber]=Instructions!D626)*(Instructions!B626&gt;Table1[StartDate])*(Instructions!B626&lt;Table1[EndDate]),0),1),"_1_",Instructions!E626)</f>
        <v>TBSRVY_20190924_1_0291_1_013</v>
      </c>
      <c r="C619">
        <f>Instructions!G626</f>
        <v>20</v>
      </c>
      <c r="D619" t="str">
        <f>IF(ISBLANK(Instructions!H626),"",Instructions!H626)</f>
        <v>Entered</v>
      </c>
      <c r="E619" s="1">
        <f>IF(ISBLANK(Instructions!I626),"",Instructions!I626)</f>
        <v>45646</v>
      </c>
      <c r="F619" t="str">
        <f>IF(ISBLANK(Instructions!J626),"",Instructions!J626)</f>
        <v>Erica Williams</v>
      </c>
      <c r="G619" s="1" t="str">
        <f>IF(ISBLANK(Instructions!K626),"",Instructions!K626)</f>
        <v/>
      </c>
      <c r="H619" t="str">
        <f>IF(ISBLANK(Instructions!L626),"",Instructions!L626)</f>
        <v/>
      </c>
      <c r="I619" t="str">
        <f t="shared" si="24"/>
        <v>NULL</v>
      </c>
      <c r="J619" t="str">
        <f t="shared" si="24"/>
        <v>NULL</v>
      </c>
      <c r="K619" t="str">
        <f>Instructions!M626</f>
        <v>Added via SMSS</v>
      </c>
      <c r="L619" t="str">
        <f t="shared" si="22"/>
        <v>NULL</v>
      </c>
    </row>
    <row r="620" spans="1:12" x14ac:dyDescent="0.25">
      <c r="A620" t="str" cm="1">
        <f t="array" ref="A620">_xlfn.CONCAT(Instructions!C627,Instructions!A627,"_",TEXT(Instructions!B627,"YYYYMMDD"),"_1_",INDEX(Table1[], MATCH(1,(Table1[Estuary]=Instructions!C627)*(Table1[StationNumber]=Instructions!D627)*(Instructions!B627&gt;Table1[StartDate])*(Instructions!B627&lt;Table1[EndDate]),0),1),"_1_",Instructions!E627,"_",Instructions!F627)</f>
        <v>TBSRVY_20190924_1_0291_1_013_019</v>
      </c>
      <c r="B620" t="str" cm="1">
        <f t="array" ref="B620">_xlfn.CONCAT(Instructions!C627,Instructions!A627,"_",TEXT(Instructions!B627,"YYYYMMDD"),"_1_",INDEX(Table1[], MATCH(1,(Table1[Estuary]=Instructions!C627)*(Table1[StationNumber]=Instructions!D627)*(Instructions!B627&gt;Table1[StartDate])*(Instructions!B627&lt;Table1[EndDate]),0),1),"_1_",Instructions!E627)</f>
        <v>TBSRVY_20190924_1_0291_1_013</v>
      </c>
      <c r="C620">
        <f>Instructions!G627</f>
        <v>27</v>
      </c>
      <c r="D620" t="str">
        <f>IF(ISBLANK(Instructions!H627),"",Instructions!H627)</f>
        <v>Entered</v>
      </c>
      <c r="E620" s="1">
        <f>IF(ISBLANK(Instructions!I627),"",Instructions!I627)</f>
        <v>45646</v>
      </c>
      <c r="F620" t="str">
        <f>IF(ISBLANK(Instructions!J627),"",Instructions!J627)</f>
        <v>Erica Williams</v>
      </c>
      <c r="G620" s="1" t="str">
        <f>IF(ISBLANK(Instructions!K627),"",Instructions!K627)</f>
        <v/>
      </c>
      <c r="H620" t="str">
        <f>IF(ISBLANK(Instructions!L627),"",Instructions!L627)</f>
        <v/>
      </c>
      <c r="I620" t="str">
        <f t="shared" si="24"/>
        <v>NULL</v>
      </c>
      <c r="J620" t="str">
        <f t="shared" si="24"/>
        <v>NULL</v>
      </c>
      <c r="K620" t="str">
        <f>Instructions!M627</f>
        <v>Added via SMSS</v>
      </c>
      <c r="L620" t="str">
        <f t="shared" si="22"/>
        <v>NULL</v>
      </c>
    </row>
    <row r="621" spans="1:12" x14ac:dyDescent="0.25">
      <c r="A621" t="str" cm="1">
        <f t="array" ref="A621">_xlfn.CONCAT(Instructions!C628,Instructions!A628,"_",TEXT(Instructions!B628,"YYYYMMDD"),"_1_",INDEX(Table1[], MATCH(1,(Table1[Estuary]=Instructions!C628)*(Table1[StationNumber]=Instructions!D628)*(Instructions!B628&gt;Table1[StartDate])*(Instructions!B628&lt;Table1[EndDate]),0),1),"_1_",Instructions!E628,"_",Instructions!F628)</f>
        <v>TBSRVY_20190924_1_0291_1_013_020</v>
      </c>
      <c r="B621" t="str" cm="1">
        <f t="array" ref="B621">_xlfn.CONCAT(Instructions!C628,Instructions!A628,"_",TEXT(Instructions!B628,"YYYYMMDD"),"_1_",INDEX(Table1[], MATCH(1,(Table1[Estuary]=Instructions!C628)*(Table1[StationNumber]=Instructions!D628)*(Instructions!B628&gt;Table1[StartDate])*(Instructions!B628&lt;Table1[EndDate]),0),1),"_1_",Instructions!E628)</f>
        <v>TBSRVY_20190924_1_0291_1_013</v>
      </c>
      <c r="C621">
        <f>Instructions!G628</f>
        <v>47</v>
      </c>
      <c r="D621" t="str">
        <f>IF(ISBLANK(Instructions!H628),"",Instructions!H628)</f>
        <v>Entered</v>
      </c>
      <c r="E621" s="1">
        <f>IF(ISBLANK(Instructions!I628),"",Instructions!I628)</f>
        <v>45646</v>
      </c>
      <c r="F621" t="str">
        <f>IF(ISBLANK(Instructions!J628),"",Instructions!J628)</f>
        <v>Erica Williams</v>
      </c>
      <c r="G621" s="1" t="str">
        <f>IF(ISBLANK(Instructions!K628),"",Instructions!K628)</f>
        <v/>
      </c>
      <c r="H621" t="str">
        <f>IF(ISBLANK(Instructions!L628),"",Instructions!L628)</f>
        <v/>
      </c>
      <c r="I621" t="str">
        <f t="shared" si="24"/>
        <v>NULL</v>
      </c>
      <c r="J621" t="str">
        <f t="shared" si="24"/>
        <v>NULL</v>
      </c>
      <c r="K621" t="str">
        <f>Instructions!M628</f>
        <v>Added via SMSS</v>
      </c>
      <c r="L621" t="str">
        <f t="shared" si="22"/>
        <v>NULL</v>
      </c>
    </row>
    <row r="622" spans="1:12" x14ac:dyDescent="0.25">
      <c r="A622" t="str" cm="1">
        <f t="array" ref="A622">_xlfn.CONCAT(Instructions!C629,Instructions!A629,"_",TEXT(Instructions!B629,"YYYYMMDD"),"_1_",INDEX(Table1[], MATCH(1,(Table1[Estuary]=Instructions!C629)*(Table1[StationNumber]=Instructions!D629)*(Instructions!B629&gt;Table1[StartDate])*(Instructions!B629&lt;Table1[EndDate]),0),1),"_1_",Instructions!E629,"_",Instructions!F629)</f>
        <v>TBSRVY_20190924_1_0291_1_013_021</v>
      </c>
      <c r="B622" t="str" cm="1">
        <f t="array" ref="B622">_xlfn.CONCAT(Instructions!C629,Instructions!A629,"_",TEXT(Instructions!B629,"YYYYMMDD"),"_1_",INDEX(Table1[], MATCH(1,(Table1[Estuary]=Instructions!C629)*(Table1[StationNumber]=Instructions!D629)*(Instructions!B629&gt;Table1[StartDate])*(Instructions!B629&lt;Table1[EndDate]),0),1),"_1_",Instructions!E629)</f>
        <v>TBSRVY_20190924_1_0291_1_013</v>
      </c>
      <c r="C622">
        <f>Instructions!G629</f>
        <v>27</v>
      </c>
      <c r="D622" t="str">
        <f>IF(ISBLANK(Instructions!H629),"",Instructions!H629)</f>
        <v>Entered</v>
      </c>
      <c r="E622" s="1">
        <f>IF(ISBLANK(Instructions!I629),"",Instructions!I629)</f>
        <v>45646</v>
      </c>
      <c r="F622" t="str">
        <f>IF(ISBLANK(Instructions!J629),"",Instructions!J629)</f>
        <v>Erica Williams</v>
      </c>
      <c r="G622" s="1" t="str">
        <f>IF(ISBLANK(Instructions!K629),"",Instructions!K629)</f>
        <v/>
      </c>
      <c r="H622" t="str">
        <f>IF(ISBLANK(Instructions!L629),"",Instructions!L629)</f>
        <v/>
      </c>
      <c r="I622" t="str">
        <f t="shared" si="24"/>
        <v>NULL</v>
      </c>
      <c r="J622" t="str">
        <f t="shared" si="24"/>
        <v>NULL</v>
      </c>
      <c r="K622" t="str">
        <f>Instructions!M629</f>
        <v>Added via SMSS</v>
      </c>
      <c r="L622" t="str">
        <f t="shared" si="22"/>
        <v>NULL</v>
      </c>
    </row>
    <row r="623" spans="1:12" x14ac:dyDescent="0.25">
      <c r="A623" t="str" cm="1">
        <f t="array" ref="A623">_xlfn.CONCAT(Instructions!C630,Instructions!A630,"_",TEXT(Instructions!B630,"YYYYMMDD"),"_1_",INDEX(Table1[], MATCH(1,(Table1[Estuary]=Instructions!C630)*(Table1[StationNumber]=Instructions!D630)*(Instructions!B630&gt;Table1[StartDate])*(Instructions!B630&lt;Table1[EndDate]),0),1),"_1_",Instructions!E630,"_",Instructions!F630)</f>
        <v>TBSRVY_20190924_1_0291_1_013_022</v>
      </c>
      <c r="B623" t="str" cm="1">
        <f t="array" ref="B623">_xlfn.CONCAT(Instructions!C630,Instructions!A630,"_",TEXT(Instructions!B630,"YYYYMMDD"),"_1_",INDEX(Table1[], MATCH(1,(Table1[Estuary]=Instructions!C630)*(Table1[StationNumber]=Instructions!D630)*(Instructions!B630&gt;Table1[StartDate])*(Instructions!B630&lt;Table1[EndDate]),0),1),"_1_",Instructions!E630)</f>
        <v>TBSRVY_20190924_1_0291_1_013</v>
      </c>
      <c r="C623">
        <f>Instructions!G630</f>
        <v>40</v>
      </c>
      <c r="D623" t="str">
        <f>IF(ISBLANK(Instructions!H630),"",Instructions!H630)</f>
        <v>Entered</v>
      </c>
      <c r="E623" s="1">
        <f>IF(ISBLANK(Instructions!I630),"",Instructions!I630)</f>
        <v>45646</v>
      </c>
      <c r="F623" t="str">
        <f>IF(ISBLANK(Instructions!J630),"",Instructions!J630)</f>
        <v>Erica Williams</v>
      </c>
      <c r="G623" s="1" t="str">
        <f>IF(ISBLANK(Instructions!K630),"",Instructions!K630)</f>
        <v/>
      </c>
      <c r="H623" t="str">
        <f>IF(ISBLANK(Instructions!L630),"",Instructions!L630)</f>
        <v/>
      </c>
      <c r="I623" t="str">
        <f t="shared" si="24"/>
        <v>NULL</v>
      </c>
      <c r="J623" t="str">
        <f t="shared" si="24"/>
        <v>NULL</v>
      </c>
      <c r="K623" t="str">
        <f>Instructions!M630</f>
        <v>Added via SMSS</v>
      </c>
      <c r="L623" t="str">
        <f t="shared" si="22"/>
        <v>NULL</v>
      </c>
    </row>
    <row r="624" spans="1:12" x14ac:dyDescent="0.25">
      <c r="A624" t="str" cm="1">
        <f t="array" ref="A624">_xlfn.CONCAT(Instructions!C631,Instructions!A631,"_",TEXT(Instructions!B631,"YYYYMMDD"),"_1_",INDEX(Table1[], MATCH(1,(Table1[Estuary]=Instructions!C631)*(Table1[StationNumber]=Instructions!D631)*(Instructions!B631&gt;Table1[StartDate])*(Instructions!B631&lt;Table1[EndDate]),0),1),"_1_",Instructions!E631,"_",Instructions!F631)</f>
        <v>TBSRVY_20190924_1_0291_1_013_023</v>
      </c>
      <c r="B624" t="str" cm="1">
        <f t="array" ref="B624">_xlfn.CONCAT(Instructions!C631,Instructions!A631,"_",TEXT(Instructions!B631,"YYYYMMDD"),"_1_",INDEX(Table1[], MATCH(1,(Table1[Estuary]=Instructions!C631)*(Table1[StationNumber]=Instructions!D631)*(Instructions!B631&gt;Table1[StartDate])*(Instructions!B631&lt;Table1[EndDate]),0),1),"_1_",Instructions!E631)</f>
        <v>TBSRVY_20190924_1_0291_1_013</v>
      </c>
      <c r="C624">
        <f>Instructions!G631</f>
        <v>20</v>
      </c>
      <c r="D624" t="str">
        <f>IF(ISBLANK(Instructions!H631),"",Instructions!H631)</f>
        <v>Entered</v>
      </c>
      <c r="E624" s="1">
        <f>IF(ISBLANK(Instructions!I631),"",Instructions!I631)</f>
        <v>45646</v>
      </c>
      <c r="F624" t="str">
        <f>IF(ISBLANK(Instructions!J631),"",Instructions!J631)</f>
        <v>Erica Williams</v>
      </c>
      <c r="G624" s="1" t="str">
        <f>IF(ISBLANK(Instructions!K631),"",Instructions!K631)</f>
        <v/>
      </c>
      <c r="H624" t="str">
        <f>IF(ISBLANK(Instructions!L631),"",Instructions!L631)</f>
        <v/>
      </c>
      <c r="I624" t="str">
        <f t="shared" si="24"/>
        <v>NULL</v>
      </c>
      <c r="J624" t="str">
        <f t="shared" si="24"/>
        <v>NULL</v>
      </c>
      <c r="K624" t="str">
        <f>Instructions!M631</f>
        <v>Added via SMSS</v>
      </c>
      <c r="L624" t="str">
        <f t="shared" si="22"/>
        <v>NULL</v>
      </c>
    </row>
    <row r="625" spans="1:12" x14ac:dyDescent="0.25">
      <c r="A625" t="str" cm="1">
        <f t="array" ref="A625">_xlfn.CONCAT(Instructions!C632,Instructions!A632,"_",TEXT(Instructions!B632,"YYYYMMDD"),"_1_",INDEX(Table1[], MATCH(1,(Table1[Estuary]=Instructions!C632)*(Table1[StationNumber]=Instructions!D632)*(Instructions!B632&gt;Table1[StartDate])*(Instructions!B632&lt;Table1[EndDate]),0),1),"_1_",Instructions!E632,"_",Instructions!F632)</f>
        <v>TBSRVY_20190924_1_0291_1_013_024</v>
      </c>
      <c r="B625" t="str" cm="1">
        <f t="array" ref="B625">_xlfn.CONCAT(Instructions!C632,Instructions!A632,"_",TEXT(Instructions!B632,"YYYYMMDD"),"_1_",INDEX(Table1[], MATCH(1,(Table1[Estuary]=Instructions!C632)*(Table1[StationNumber]=Instructions!D632)*(Instructions!B632&gt;Table1[StartDate])*(Instructions!B632&lt;Table1[EndDate]),0),1),"_1_",Instructions!E632)</f>
        <v>TBSRVY_20190924_1_0291_1_013</v>
      </c>
      <c r="C625">
        <f>Instructions!G632</f>
        <v>33</v>
      </c>
      <c r="D625" t="str">
        <f>IF(ISBLANK(Instructions!H632),"",Instructions!H632)</f>
        <v>Entered</v>
      </c>
      <c r="E625" s="1">
        <f>IF(ISBLANK(Instructions!I632),"",Instructions!I632)</f>
        <v>45646</v>
      </c>
      <c r="F625" t="str">
        <f>IF(ISBLANK(Instructions!J632),"",Instructions!J632)</f>
        <v>Erica Williams</v>
      </c>
      <c r="G625" s="1" t="str">
        <f>IF(ISBLANK(Instructions!K632),"",Instructions!K632)</f>
        <v/>
      </c>
      <c r="H625" t="str">
        <f>IF(ISBLANK(Instructions!L632),"",Instructions!L632)</f>
        <v/>
      </c>
      <c r="I625" t="str">
        <f t="shared" si="24"/>
        <v>NULL</v>
      </c>
      <c r="J625" t="str">
        <f t="shared" si="24"/>
        <v>NULL</v>
      </c>
      <c r="K625" t="str">
        <f>Instructions!M632</f>
        <v>Added via SMSS</v>
      </c>
      <c r="L625" t="str">
        <f t="shared" si="22"/>
        <v>NULL</v>
      </c>
    </row>
    <row r="626" spans="1:12" x14ac:dyDescent="0.25">
      <c r="A626" t="str" cm="1">
        <f t="array" ref="A626">_xlfn.CONCAT(Instructions!C633,Instructions!A633,"_",TEXT(Instructions!B633,"YYYYMMDD"),"_1_",INDEX(Table1[], MATCH(1,(Table1[Estuary]=Instructions!C633)*(Table1[StationNumber]=Instructions!D633)*(Instructions!B633&gt;Table1[StartDate])*(Instructions!B633&lt;Table1[EndDate]),0),1),"_1_",Instructions!E633,"_",Instructions!F633)</f>
        <v>TBSRVY_20190924_1_0291_1_013_025</v>
      </c>
      <c r="B626" t="str" cm="1">
        <f t="array" ref="B626">_xlfn.CONCAT(Instructions!C633,Instructions!A633,"_",TEXT(Instructions!B633,"YYYYMMDD"),"_1_",INDEX(Table1[], MATCH(1,(Table1[Estuary]=Instructions!C633)*(Table1[StationNumber]=Instructions!D633)*(Instructions!B633&gt;Table1[StartDate])*(Instructions!B633&lt;Table1[EndDate]),0),1),"_1_",Instructions!E633)</f>
        <v>TBSRVY_20190924_1_0291_1_013</v>
      </c>
      <c r="C626">
        <f>Instructions!G633</f>
        <v>17</v>
      </c>
      <c r="D626" t="str">
        <f>IF(ISBLANK(Instructions!H633),"",Instructions!H633)</f>
        <v>Entered</v>
      </c>
      <c r="E626" s="1">
        <f>IF(ISBLANK(Instructions!I633),"",Instructions!I633)</f>
        <v>45646</v>
      </c>
      <c r="F626" t="str">
        <f>IF(ISBLANK(Instructions!J633),"",Instructions!J633)</f>
        <v>Erica Williams</v>
      </c>
      <c r="G626" s="1" t="str">
        <f>IF(ISBLANK(Instructions!K633),"",Instructions!K633)</f>
        <v/>
      </c>
      <c r="H626" t="str">
        <f>IF(ISBLANK(Instructions!L633),"",Instructions!L633)</f>
        <v/>
      </c>
      <c r="I626" t="str">
        <f t="shared" si="24"/>
        <v>NULL</v>
      </c>
      <c r="J626" t="str">
        <f t="shared" si="24"/>
        <v>NULL</v>
      </c>
      <c r="K626" t="str">
        <f>Instructions!M633</f>
        <v>Added via SMSS</v>
      </c>
      <c r="L626" t="str">
        <f t="shared" si="22"/>
        <v>NULL</v>
      </c>
    </row>
    <row r="627" spans="1:12" x14ac:dyDescent="0.25">
      <c r="A627" t="str" cm="1">
        <f t="array" ref="A627">_xlfn.CONCAT(Instructions!C634,Instructions!A634,"_",TEXT(Instructions!B634,"YYYYMMDD"),"_1_",INDEX(Table1[], MATCH(1,(Table1[Estuary]=Instructions!C634)*(Table1[StationNumber]=Instructions!D634)*(Instructions!B634&gt;Table1[StartDate])*(Instructions!B634&lt;Table1[EndDate]),0),1),"_1_",Instructions!E634,"_",Instructions!F634)</f>
        <v>TBSRVY_20190924_1_0291_1_013_026</v>
      </c>
      <c r="B627" t="str" cm="1">
        <f t="array" ref="B627">_xlfn.CONCAT(Instructions!C634,Instructions!A634,"_",TEXT(Instructions!B634,"YYYYMMDD"),"_1_",INDEX(Table1[], MATCH(1,(Table1[Estuary]=Instructions!C634)*(Table1[StationNumber]=Instructions!D634)*(Instructions!B634&gt;Table1[StartDate])*(Instructions!B634&lt;Table1[EndDate]),0),1),"_1_",Instructions!E634)</f>
        <v>TBSRVY_20190924_1_0291_1_013</v>
      </c>
      <c r="C627">
        <f>Instructions!G634</f>
        <v>33</v>
      </c>
      <c r="D627" t="str">
        <f>IF(ISBLANK(Instructions!H634),"",Instructions!H634)</f>
        <v>Entered</v>
      </c>
      <c r="E627" s="1">
        <f>IF(ISBLANK(Instructions!I634),"",Instructions!I634)</f>
        <v>45646</v>
      </c>
      <c r="F627" t="str">
        <f>IF(ISBLANK(Instructions!J634),"",Instructions!J634)</f>
        <v>Erica Williams</v>
      </c>
      <c r="G627" s="1" t="str">
        <f>IF(ISBLANK(Instructions!K634),"",Instructions!K634)</f>
        <v/>
      </c>
      <c r="H627" t="str">
        <f>IF(ISBLANK(Instructions!L634),"",Instructions!L634)</f>
        <v/>
      </c>
      <c r="I627" t="str">
        <f t="shared" si="24"/>
        <v>NULL</v>
      </c>
      <c r="J627" t="str">
        <f t="shared" si="24"/>
        <v>NULL</v>
      </c>
      <c r="K627" t="str">
        <f>Instructions!M634</f>
        <v>Added via SMSS</v>
      </c>
      <c r="L627" t="str">
        <f t="shared" si="22"/>
        <v>NULL</v>
      </c>
    </row>
    <row r="628" spans="1:12" x14ac:dyDescent="0.25">
      <c r="A628" t="str" cm="1">
        <f t="array" ref="A628">_xlfn.CONCAT(Instructions!C635,Instructions!A635,"_",TEXT(Instructions!B635,"YYYYMMDD"),"_1_",INDEX(Table1[], MATCH(1,(Table1[Estuary]=Instructions!C635)*(Table1[StationNumber]=Instructions!D635)*(Instructions!B635&gt;Table1[StartDate])*(Instructions!B635&lt;Table1[EndDate]),0),1),"_1_",Instructions!E635,"_",Instructions!F635)</f>
        <v>TBSRVY_20190924_1_0291_1_013_027</v>
      </c>
      <c r="B628" t="str" cm="1">
        <f t="array" ref="B628">_xlfn.CONCAT(Instructions!C635,Instructions!A635,"_",TEXT(Instructions!B635,"YYYYMMDD"),"_1_",INDEX(Table1[], MATCH(1,(Table1[Estuary]=Instructions!C635)*(Table1[StationNumber]=Instructions!D635)*(Instructions!B635&gt;Table1[StartDate])*(Instructions!B635&lt;Table1[EndDate]),0),1),"_1_",Instructions!E635)</f>
        <v>TBSRVY_20190924_1_0291_1_013</v>
      </c>
      <c r="C628">
        <f>Instructions!G635</f>
        <v>16</v>
      </c>
      <c r="D628" t="str">
        <f>IF(ISBLANK(Instructions!H635),"",Instructions!H635)</f>
        <v>Entered</v>
      </c>
      <c r="E628" s="1">
        <f>IF(ISBLANK(Instructions!I635),"",Instructions!I635)</f>
        <v>45646</v>
      </c>
      <c r="F628" t="str">
        <f>IF(ISBLANK(Instructions!J635),"",Instructions!J635)</f>
        <v>Erica Williams</v>
      </c>
      <c r="G628" s="1" t="str">
        <f>IF(ISBLANK(Instructions!K635),"",Instructions!K635)</f>
        <v/>
      </c>
      <c r="H628" t="str">
        <f>IF(ISBLANK(Instructions!L635),"",Instructions!L635)</f>
        <v/>
      </c>
      <c r="I628" t="str">
        <f t="shared" si="24"/>
        <v>NULL</v>
      </c>
      <c r="J628" t="str">
        <f t="shared" si="24"/>
        <v>NULL</v>
      </c>
      <c r="K628" t="str">
        <f>Instructions!M635</f>
        <v>Added via SMSS</v>
      </c>
      <c r="L628" t="str">
        <f t="shared" si="22"/>
        <v>NULL</v>
      </c>
    </row>
    <row r="629" spans="1:12" x14ac:dyDescent="0.25">
      <c r="A629" t="str" cm="1">
        <f t="array" ref="A629">_xlfn.CONCAT(Instructions!C636,Instructions!A636,"_",TEXT(Instructions!B636,"YYYYMMDD"),"_1_",INDEX(Table1[], MATCH(1,(Table1[Estuary]=Instructions!C636)*(Table1[StationNumber]=Instructions!D636)*(Instructions!B636&gt;Table1[StartDate])*(Instructions!B636&lt;Table1[EndDate]),0),1),"_1_",Instructions!E636,"_",Instructions!F636)</f>
        <v>TBSRVY_20190924_1_0291_1_013_028</v>
      </c>
      <c r="B629" t="str" cm="1">
        <f t="array" ref="B629">_xlfn.CONCAT(Instructions!C636,Instructions!A636,"_",TEXT(Instructions!B636,"YYYYMMDD"),"_1_",INDEX(Table1[], MATCH(1,(Table1[Estuary]=Instructions!C636)*(Table1[StationNumber]=Instructions!D636)*(Instructions!B636&gt;Table1[StartDate])*(Instructions!B636&lt;Table1[EndDate]),0),1),"_1_",Instructions!E636)</f>
        <v>TBSRVY_20190924_1_0291_1_013</v>
      </c>
      <c r="C629">
        <f>Instructions!G636</f>
        <v>40</v>
      </c>
      <c r="D629" t="str">
        <f>IF(ISBLANK(Instructions!H636),"",Instructions!H636)</f>
        <v>Entered</v>
      </c>
      <c r="E629" s="1">
        <f>IF(ISBLANK(Instructions!I636),"",Instructions!I636)</f>
        <v>45646</v>
      </c>
      <c r="F629" t="str">
        <f>IF(ISBLANK(Instructions!J636),"",Instructions!J636)</f>
        <v>Erica Williams</v>
      </c>
      <c r="G629" s="1" t="str">
        <f>IF(ISBLANK(Instructions!K636),"",Instructions!K636)</f>
        <v/>
      </c>
      <c r="H629" t="str">
        <f>IF(ISBLANK(Instructions!L636),"",Instructions!L636)</f>
        <v/>
      </c>
      <c r="I629" t="str">
        <f t="shared" si="24"/>
        <v>NULL</v>
      </c>
      <c r="J629" t="str">
        <f t="shared" si="24"/>
        <v>NULL</v>
      </c>
      <c r="K629" t="str">
        <f>Instructions!M636</f>
        <v>Added via SMSS</v>
      </c>
      <c r="L629" t="str">
        <f t="shared" si="22"/>
        <v>NULL</v>
      </c>
    </row>
    <row r="630" spans="1:12" x14ac:dyDescent="0.25">
      <c r="A630" t="str" cm="1">
        <f t="array" ref="A630">_xlfn.CONCAT(Instructions!C637,Instructions!A637,"_",TEXT(Instructions!B637,"YYYYMMDD"),"_1_",INDEX(Table1[], MATCH(1,(Table1[Estuary]=Instructions!C637)*(Table1[StationNumber]=Instructions!D637)*(Instructions!B637&gt;Table1[StartDate])*(Instructions!B637&lt;Table1[EndDate]),0),1),"_1_",Instructions!E637,"_",Instructions!F637)</f>
        <v>TBSRVY_20190924_1_0291_1_013_029</v>
      </c>
      <c r="B630" t="str" cm="1">
        <f t="array" ref="B630">_xlfn.CONCAT(Instructions!C637,Instructions!A637,"_",TEXT(Instructions!B637,"YYYYMMDD"),"_1_",INDEX(Table1[], MATCH(1,(Table1[Estuary]=Instructions!C637)*(Table1[StationNumber]=Instructions!D637)*(Instructions!B637&gt;Table1[StartDate])*(Instructions!B637&lt;Table1[EndDate]),0),1),"_1_",Instructions!E637)</f>
        <v>TBSRVY_20190924_1_0291_1_013</v>
      </c>
      <c r="C630">
        <f>Instructions!G637</f>
        <v>36</v>
      </c>
      <c r="D630" t="str">
        <f>IF(ISBLANK(Instructions!H637),"",Instructions!H637)</f>
        <v>Entered</v>
      </c>
      <c r="E630" s="1">
        <f>IF(ISBLANK(Instructions!I637),"",Instructions!I637)</f>
        <v>45646</v>
      </c>
      <c r="F630" t="str">
        <f>IF(ISBLANK(Instructions!J637),"",Instructions!J637)</f>
        <v>Erica Williams</v>
      </c>
      <c r="G630" s="1" t="str">
        <f>IF(ISBLANK(Instructions!K637),"",Instructions!K637)</f>
        <v/>
      </c>
      <c r="H630" t="str">
        <f>IF(ISBLANK(Instructions!L637),"",Instructions!L637)</f>
        <v/>
      </c>
      <c r="I630" t="str">
        <f t="shared" si="24"/>
        <v>NULL</v>
      </c>
      <c r="J630" t="str">
        <f t="shared" si="24"/>
        <v>NULL</v>
      </c>
      <c r="K630" t="str">
        <f>Instructions!M637</f>
        <v>Added via SMSS</v>
      </c>
      <c r="L630" t="str">
        <f t="shared" si="22"/>
        <v>NULL</v>
      </c>
    </row>
    <row r="631" spans="1:12" x14ac:dyDescent="0.25">
      <c r="A631" t="str" cm="1">
        <f t="array" ref="A631">_xlfn.CONCAT(Instructions!C638,Instructions!A638,"_",TEXT(Instructions!B638,"YYYYMMDD"),"_1_",INDEX(Table1[], MATCH(1,(Table1[Estuary]=Instructions!C638)*(Table1[StationNumber]=Instructions!D638)*(Instructions!B638&gt;Table1[StartDate])*(Instructions!B638&lt;Table1[EndDate]),0),1),"_1_",Instructions!E638,"_",Instructions!F638)</f>
        <v>TBSRVY_20190924_1_0291_1_013_030</v>
      </c>
      <c r="B631" t="str" cm="1">
        <f t="array" ref="B631">_xlfn.CONCAT(Instructions!C638,Instructions!A638,"_",TEXT(Instructions!B638,"YYYYMMDD"),"_1_",INDEX(Table1[], MATCH(1,(Table1[Estuary]=Instructions!C638)*(Table1[StationNumber]=Instructions!D638)*(Instructions!B638&gt;Table1[StartDate])*(Instructions!B638&lt;Table1[EndDate]),0),1),"_1_",Instructions!E638)</f>
        <v>TBSRVY_20190924_1_0291_1_013</v>
      </c>
      <c r="C631">
        <f>Instructions!G638</f>
        <v>15</v>
      </c>
      <c r="D631" t="str">
        <f>IF(ISBLANK(Instructions!H638),"",Instructions!H638)</f>
        <v>Entered</v>
      </c>
      <c r="E631" s="1">
        <f>IF(ISBLANK(Instructions!I638),"",Instructions!I638)</f>
        <v>45646</v>
      </c>
      <c r="F631" t="str">
        <f>IF(ISBLANK(Instructions!J638),"",Instructions!J638)</f>
        <v>Erica Williams</v>
      </c>
      <c r="G631" s="1" t="str">
        <f>IF(ISBLANK(Instructions!K638),"",Instructions!K638)</f>
        <v/>
      </c>
      <c r="H631" t="str">
        <f>IF(ISBLANK(Instructions!L638),"",Instructions!L638)</f>
        <v/>
      </c>
      <c r="I631" t="str">
        <f t="shared" si="24"/>
        <v>NULL</v>
      </c>
      <c r="J631" t="str">
        <f t="shared" si="24"/>
        <v>NULL</v>
      </c>
      <c r="K631" t="str">
        <f>Instructions!M638</f>
        <v>Added via SMSS</v>
      </c>
      <c r="L631" t="str">
        <f t="shared" si="22"/>
        <v>NULL</v>
      </c>
    </row>
    <row r="632" spans="1:12" x14ac:dyDescent="0.25">
      <c r="A632" t="str" cm="1">
        <f t="array" ref="A632">_xlfn.CONCAT(Instructions!C639,Instructions!A639,"_",TEXT(Instructions!B639,"YYYYMMDD"),"_1_",INDEX(Table1[], MATCH(1,(Table1[Estuary]=Instructions!C639)*(Table1[StationNumber]=Instructions!D639)*(Instructions!B639&gt;Table1[StartDate])*(Instructions!B639&lt;Table1[EndDate]),0),1),"_1_",Instructions!E639,"_",Instructions!F639)</f>
        <v>TBSRVY_20190924_1_0291_1_013_031</v>
      </c>
      <c r="B632" t="str" cm="1">
        <f t="array" ref="B632">_xlfn.CONCAT(Instructions!C639,Instructions!A639,"_",TEXT(Instructions!B639,"YYYYMMDD"),"_1_",INDEX(Table1[], MATCH(1,(Table1[Estuary]=Instructions!C639)*(Table1[StationNumber]=Instructions!D639)*(Instructions!B639&gt;Table1[StartDate])*(Instructions!B639&lt;Table1[EndDate]),0),1),"_1_",Instructions!E639)</f>
        <v>TBSRVY_20190924_1_0291_1_013</v>
      </c>
      <c r="C632">
        <f>Instructions!G639</f>
        <v>8</v>
      </c>
      <c r="D632" t="str">
        <f>IF(ISBLANK(Instructions!H639),"",Instructions!H639)</f>
        <v>Entered</v>
      </c>
      <c r="E632" s="1">
        <f>IF(ISBLANK(Instructions!I639),"",Instructions!I639)</f>
        <v>45646</v>
      </c>
      <c r="F632" t="str">
        <f>IF(ISBLANK(Instructions!J639),"",Instructions!J639)</f>
        <v>Erica Williams</v>
      </c>
      <c r="G632" s="1" t="str">
        <f>IF(ISBLANK(Instructions!K639),"",Instructions!K639)</f>
        <v/>
      </c>
      <c r="H632" t="str">
        <f>IF(ISBLANK(Instructions!L639),"",Instructions!L639)</f>
        <v/>
      </c>
      <c r="I632" t="str">
        <f t="shared" si="24"/>
        <v>NULL</v>
      </c>
      <c r="J632" t="str">
        <f t="shared" si="24"/>
        <v>NULL</v>
      </c>
      <c r="K632" t="str">
        <f>Instructions!M639</f>
        <v>Added via SMSS</v>
      </c>
      <c r="L632" t="str">
        <f t="shared" si="22"/>
        <v>NULL</v>
      </c>
    </row>
    <row r="633" spans="1:12" x14ac:dyDescent="0.25">
      <c r="A633" t="str" cm="1">
        <f t="array" ref="A633">_xlfn.CONCAT(Instructions!C640,Instructions!A640,"_",TEXT(Instructions!B640,"YYYYMMDD"),"_1_",INDEX(Table1[], MATCH(1,(Table1[Estuary]=Instructions!C640)*(Table1[StationNumber]=Instructions!D640)*(Instructions!B640&gt;Table1[StartDate])*(Instructions!B640&lt;Table1[EndDate]),0),1),"_1_",Instructions!E640,"_",Instructions!F640)</f>
        <v>TBSRVY_20190924_1_0291_1_013_032</v>
      </c>
      <c r="B633" t="str" cm="1">
        <f t="array" ref="B633">_xlfn.CONCAT(Instructions!C640,Instructions!A640,"_",TEXT(Instructions!B640,"YYYYMMDD"),"_1_",INDEX(Table1[], MATCH(1,(Table1[Estuary]=Instructions!C640)*(Table1[StationNumber]=Instructions!D640)*(Instructions!B640&gt;Table1[StartDate])*(Instructions!B640&lt;Table1[EndDate]),0),1),"_1_",Instructions!E640)</f>
        <v>TBSRVY_20190924_1_0291_1_013</v>
      </c>
      <c r="C633">
        <f>Instructions!G640</f>
        <v>12</v>
      </c>
      <c r="D633" t="str">
        <f>IF(ISBLANK(Instructions!H640),"",Instructions!H640)</f>
        <v>Entered</v>
      </c>
      <c r="E633" s="1">
        <f>IF(ISBLANK(Instructions!I640),"",Instructions!I640)</f>
        <v>45646</v>
      </c>
      <c r="F633" t="str">
        <f>IF(ISBLANK(Instructions!J640),"",Instructions!J640)</f>
        <v>Erica Williams</v>
      </c>
      <c r="G633" s="1" t="str">
        <f>IF(ISBLANK(Instructions!K640),"",Instructions!K640)</f>
        <v/>
      </c>
      <c r="H633" t="str">
        <f>IF(ISBLANK(Instructions!L640),"",Instructions!L640)</f>
        <v/>
      </c>
      <c r="I633" t="str">
        <f t="shared" si="24"/>
        <v>NULL</v>
      </c>
      <c r="J633" t="str">
        <f t="shared" si="24"/>
        <v>NULL</v>
      </c>
      <c r="K633" t="str">
        <f>Instructions!M640</f>
        <v>Added via SMSS</v>
      </c>
      <c r="L633" t="str">
        <f t="shared" si="22"/>
        <v>NULL</v>
      </c>
    </row>
    <row r="634" spans="1:12" x14ac:dyDescent="0.25">
      <c r="A634" t="str" cm="1">
        <f t="array" ref="A634">_xlfn.CONCAT(Instructions!C641,Instructions!A641,"_",TEXT(Instructions!B641,"YYYYMMDD"),"_1_",INDEX(Table1[], MATCH(1,(Table1[Estuary]=Instructions!C641)*(Table1[StationNumber]=Instructions!D641)*(Instructions!B641&gt;Table1[StartDate])*(Instructions!B641&lt;Table1[EndDate]),0),1),"_1_",Instructions!E641,"_",Instructions!F641)</f>
        <v>TBSRVY_20190924_1_0291_1_013_033</v>
      </c>
      <c r="B634" t="str" cm="1">
        <f t="array" ref="B634">_xlfn.CONCAT(Instructions!C641,Instructions!A641,"_",TEXT(Instructions!B641,"YYYYMMDD"),"_1_",INDEX(Table1[], MATCH(1,(Table1[Estuary]=Instructions!C641)*(Table1[StationNumber]=Instructions!D641)*(Instructions!B641&gt;Table1[StartDate])*(Instructions!B641&lt;Table1[EndDate]),0),1),"_1_",Instructions!E641)</f>
        <v>TBSRVY_20190924_1_0291_1_013</v>
      </c>
      <c r="C634">
        <f>Instructions!G641</f>
        <v>35</v>
      </c>
      <c r="D634" t="str">
        <f>IF(ISBLANK(Instructions!H641),"",Instructions!H641)</f>
        <v>Entered</v>
      </c>
      <c r="E634" s="1">
        <f>IF(ISBLANK(Instructions!I641),"",Instructions!I641)</f>
        <v>45646</v>
      </c>
      <c r="F634" t="str">
        <f>IF(ISBLANK(Instructions!J641),"",Instructions!J641)</f>
        <v>Erica Williams</v>
      </c>
      <c r="G634" s="1" t="str">
        <f>IF(ISBLANK(Instructions!K641),"",Instructions!K641)</f>
        <v/>
      </c>
      <c r="H634" t="str">
        <f>IF(ISBLANK(Instructions!L641),"",Instructions!L641)</f>
        <v/>
      </c>
      <c r="I634" t="str">
        <f t="shared" si="24"/>
        <v>NULL</v>
      </c>
      <c r="J634" t="str">
        <f t="shared" si="24"/>
        <v>NULL</v>
      </c>
      <c r="K634" t="str">
        <f>Instructions!M641</f>
        <v>Added via SMSS</v>
      </c>
      <c r="L634" t="str">
        <f t="shared" si="22"/>
        <v>NULL</v>
      </c>
    </row>
    <row r="635" spans="1:12" x14ac:dyDescent="0.25">
      <c r="A635" t="str" cm="1">
        <f t="array" ref="A635">_xlfn.CONCAT(Instructions!C642,Instructions!A642,"_",TEXT(Instructions!B642,"YYYYMMDD"),"_1_",INDEX(Table1[], MATCH(1,(Table1[Estuary]=Instructions!C642)*(Table1[StationNumber]=Instructions!D642)*(Instructions!B642&gt;Table1[StartDate])*(Instructions!B642&lt;Table1[EndDate]),0),1),"_1_",Instructions!E642,"_",Instructions!F642)</f>
        <v>TBSRVY_20190924_1_0291_1_013_034</v>
      </c>
      <c r="B635" t="str" cm="1">
        <f t="array" ref="B635">_xlfn.CONCAT(Instructions!C642,Instructions!A642,"_",TEXT(Instructions!B642,"YYYYMMDD"),"_1_",INDEX(Table1[], MATCH(1,(Table1[Estuary]=Instructions!C642)*(Table1[StationNumber]=Instructions!D642)*(Instructions!B642&gt;Table1[StartDate])*(Instructions!B642&lt;Table1[EndDate]),0),1),"_1_",Instructions!E642)</f>
        <v>TBSRVY_20190924_1_0291_1_013</v>
      </c>
      <c r="C635">
        <f>Instructions!G642</f>
        <v>30</v>
      </c>
      <c r="D635" t="str">
        <f>IF(ISBLANK(Instructions!H642),"",Instructions!H642)</f>
        <v>Entered</v>
      </c>
      <c r="E635" s="1">
        <f>IF(ISBLANK(Instructions!I642),"",Instructions!I642)</f>
        <v>45646</v>
      </c>
      <c r="F635" t="str">
        <f>IF(ISBLANK(Instructions!J642),"",Instructions!J642)</f>
        <v>Erica Williams</v>
      </c>
      <c r="G635" s="1" t="str">
        <f>IF(ISBLANK(Instructions!K642),"",Instructions!K642)</f>
        <v/>
      </c>
      <c r="H635" t="str">
        <f>IF(ISBLANK(Instructions!L642),"",Instructions!L642)</f>
        <v/>
      </c>
      <c r="I635" t="str">
        <f t="shared" si="24"/>
        <v>NULL</v>
      </c>
      <c r="J635" t="str">
        <f t="shared" si="24"/>
        <v>NULL</v>
      </c>
      <c r="K635" t="str">
        <f>Instructions!M642</f>
        <v>Added via SMSS</v>
      </c>
      <c r="L635" t="str">
        <f t="shared" si="22"/>
        <v>NULL</v>
      </c>
    </row>
    <row r="636" spans="1:12" x14ac:dyDescent="0.25">
      <c r="A636" t="str" cm="1">
        <f t="array" ref="A636">_xlfn.CONCAT(Instructions!C643,Instructions!A643,"_",TEXT(Instructions!B643,"YYYYMMDD"),"_1_",INDEX(Table1[], MATCH(1,(Table1[Estuary]=Instructions!C643)*(Table1[StationNumber]=Instructions!D643)*(Instructions!B643&gt;Table1[StartDate])*(Instructions!B643&lt;Table1[EndDate]),0),1),"_1_",Instructions!E643,"_",Instructions!F643)</f>
        <v>TBSRVY_20190924_1_0291_1_013_035</v>
      </c>
      <c r="B636" t="str" cm="1">
        <f t="array" ref="B636">_xlfn.CONCAT(Instructions!C643,Instructions!A643,"_",TEXT(Instructions!B643,"YYYYMMDD"),"_1_",INDEX(Table1[], MATCH(1,(Table1[Estuary]=Instructions!C643)*(Table1[StationNumber]=Instructions!D643)*(Instructions!B643&gt;Table1[StartDate])*(Instructions!B643&lt;Table1[EndDate]),0),1),"_1_",Instructions!E643)</f>
        <v>TBSRVY_20190924_1_0291_1_013</v>
      </c>
      <c r="C636">
        <f>Instructions!G643</f>
        <v>25</v>
      </c>
      <c r="D636" t="str">
        <f>IF(ISBLANK(Instructions!H643),"",Instructions!H643)</f>
        <v>Entered</v>
      </c>
      <c r="E636" s="1">
        <f>IF(ISBLANK(Instructions!I643),"",Instructions!I643)</f>
        <v>45646</v>
      </c>
      <c r="F636" t="str">
        <f>IF(ISBLANK(Instructions!J643),"",Instructions!J643)</f>
        <v>Erica Williams</v>
      </c>
      <c r="G636" s="1" t="str">
        <f>IF(ISBLANK(Instructions!K643),"",Instructions!K643)</f>
        <v/>
      </c>
      <c r="H636" t="str">
        <f>IF(ISBLANK(Instructions!L643),"",Instructions!L643)</f>
        <v/>
      </c>
      <c r="I636" t="str">
        <f t="shared" si="24"/>
        <v>NULL</v>
      </c>
      <c r="J636" t="str">
        <f t="shared" si="24"/>
        <v>NULL</v>
      </c>
      <c r="K636" t="str">
        <f>Instructions!M643</f>
        <v>Added via SMSS</v>
      </c>
      <c r="L636" t="str">
        <f t="shared" si="22"/>
        <v>NULL</v>
      </c>
    </row>
    <row r="637" spans="1:12" x14ac:dyDescent="0.25">
      <c r="A637" t="str" cm="1">
        <f t="array" ref="A637">_xlfn.CONCAT(Instructions!C644,Instructions!A644,"_",TEXT(Instructions!B644,"YYYYMMDD"),"_1_",INDEX(Table1[], MATCH(1,(Table1[Estuary]=Instructions!C644)*(Table1[StationNumber]=Instructions!D644)*(Instructions!B644&gt;Table1[StartDate])*(Instructions!B644&lt;Table1[EndDate]),0),1),"_1_",Instructions!E644,"_",Instructions!F644)</f>
        <v>TBSRVY_20190924_1_0291_1_013_036</v>
      </c>
      <c r="B637" t="str" cm="1">
        <f t="array" ref="B637">_xlfn.CONCAT(Instructions!C644,Instructions!A644,"_",TEXT(Instructions!B644,"YYYYMMDD"),"_1_",INDEX(Table1[], MATCH(1,(Table1[Estuary]=Instructions!C644)*(Table1[StationNumber]=Instructions!D644)*(Instructions!B644&gt;Table1[StartDate])*(Instructions!B644&lt;Table1[EndDate]),0),1),"_1_",Instructions!E644)</f>
        <v>TBSRVY_20190924_1_0291_1_013</v>
      </c>
      <c r="C637">
        <f>Instructions!G644</f>
        <v>15</v>
      </c>
      <c r="D637" t="str">
        <f>IF(ISBLANK(Instructions!H644),"",Instructions!H644)</f>
        <v>Entered</v>
      </c>
      <c r="E637" s="1">
        <f>IF(ISBLANK(Instructions!I644),"",Instructions!I644)</f>
        <v>45646</v>
      </c>
      <c r="F637" t="str">
        <f>IF(ISBLANK(Instructions!J644),"",Instructions!J644)</f>
        <v>Erica Williams</v>
      </c>
      <c r="G637" s="1" t="str">
        <f>IF(ISBLANK(Instructions!K644),"",Instructions!K644)</f>
        <v/>
      </c>
      <c r="H637" t="str">
        <f>IF(ISBLANK(Instructions!L644),"",Instructions!L644)</f>
        <v/>
      </c>
      <c r="I637" t="str">
        <f t="shared" si="24"/>
        <v>NULL</v>
      </c>
      <c r="J637" t="str">
        <f t="shared" si="24"/>
        <v>NULL</v>
      </c>
      <c r="K637" t="str">
        <f>Instructions!M644</f>
        <v>Added via SMSS</v>
      </c>
      <c r="L637" t="str">
        <f t="shared" si="22"/>
        <v>NULL</v>
      </c>
    </row>
    <row r="638" spans="1:12" x14ac:dyDescent="0.25">
      <c r="A638" t="str" cm="1">
        <f t="array" ref="A638">_xlfn.CONCAT(Instructions!C645,Instructions!A645,"_",TEXT(Instructions!B645,"YYYYMMDD"),"_1_",INDEX(Table1[], MATCH(1,(Table1[Estuary]=Instructions!C645)*(Table1[StationNumber]=Instructions!D645)*(Instructions!B645&gt;Table1[StartDate])*(Instructions!B645&lt;Table1[EndDate]),0),1),"_1_",Instructions!E645,"_",Instructions!F645)</f>
        <v>TBSRVY_20190924_1_0291_1_013_037</v>
      </c>
      <c r="B638" t="str" cm="1">
        <f t="array" ref="B638">_xlfn.CONCAT(Instructions!C645,Instructions!A645,"_",TEXT(Instructions!B645,"YYYYMMDD"),"_1_",INDEX(Table1[], MATCH(1,(Table1[Estuary]=Instructions!C645)*(Table1[StationNumber]=Instructions!D645)*(Instructions!B645&gt;Table1[StartDate])*(Instructions!B645&lt;Table1[EndDate]),0),1),"_1_",Instructions!E645)</f>
        <v>TBSRVY_20190924_1_0291_1_013</v>
      </c>
      <c r="C638">
        <f>Instructions!G645</f>
        <v>55</v>
      </c>
      <c r="D638" t="str">
        <f>IF(ISBLANK(Instructions!H645),"",Instructions!H645)</f>
        <v>Entered</v>
      </c>
      <c r="E638" s="1">
        <f>IF(ISBLANK(Instructions!I645),"",Instructions!I645)</f>
        <v>45646</v>
      </c>
      <c r="F638" t="str">
        <f>IF(ISBLANK(Instructions!J645),"",Instructions!J645)</f>
        <v>Erica Williams</v>
      </c>
      <c r="G638" s="1" t="str">
        <f>IF(ISBLANK(Instructions!K645),"",Instructions!K645)</f>
        <v/>
      </c>
      <c r="H638" t="str">
        <f>IF(ISBLANK(Instructions!L645),"",Instructions!L645)</f>
        <v/>
      </c>
      <c r="I638" t="str">
        <f t="shared" si="24"/>
        <v>NULL</v>
      </c>
      <c r="J638" t="str">
        <f t="shared" si="24"/>
        <v>NULL</v>
      </c>
      <c r="K638" t="str">
        <f>Instructions!M645</f>
        <v>Added via SMSS</v>
      </c>
      <c r="L638" t="str">
        <f t="shared" si="22"/>
        <v>NULL</v>
      </c>
    </row>
    <row r="639" spans="1:12" x14ac:dyDescent="0.25">
      <c r="A639" t="str" cm="1">
        <f t="array" ref="A639">_xlfn.CONCAT(Instructions!C646,Instructions!A646,"_",TEXT(Instructions!B646,"YYYYMMDD"),"_1_",INDEX(Table1[], MATCH(1,(Table1[Estuary]=Instructions!C646)*(Table1[StationNumber]=Instructions!D646)*(Instructions!B646&gt;Table1[StartDate])*(Instructions!B646&lt;Table1[EndDate]),0),1),"_1_",Instructions!E646,"_",Instructions!F646)</f>
        <v>TBSRVY_20190924_1_0291_1_013_038</v>
      </c>
      <c r="B639" t="str" cm="1">
        <f t="array" ref="B639">_xlfn.CONCAT(Instructions!C646,Instructions!A646,"_",TEXT(Instructions!B646,"YYYYMMDD"),"_1_",INDEX(Table1[], MATCH(1,(Table1[Estuary]=Instructions!C646)*(Table1[StationNumber]=Instructions!D646)*(Instructions!B646&gt;Table1[StartDate])*(Instructions!B646&lt;Table1[EndDate]),0),1),"_1_",Instructions!E646)</f>
        <v>TBSRVY_20190924_1_0291_1_013</v>
      </c>
      <c r="C639">
        <f>Instructions!G646</f>
        <v>29</v>
      </c>
      <c r="D639" t="str">
        <f>IF(ISBLANK(Instructions!H646),"",Instructions!H646)</f>
        <v>Entered</v>
      </c>
      <c r="E639" s="1">
        <f>IF(ISBLANK(Instructions!I646),"",Instructions!I646)</f>
        <v>45646</v>
      </c>
      <c r="F639" t="str">
        <f>IF(ISBLANK(Instructions!J646),"",Instructions!J646)</f>
        <v>Erica Williams</v>
      </c>
      <c r="G639" s="1" t="str">
        <f>IF(ISBLANK(Instructions!K646),"",Instructions!K646)</f>
        <v/>
      </c>
      <c r="H639" t="str">
        <f>IF(ISBLANK(Instructions!L646),"",Instructions!L646)</f>
        <v/>
      </c>
      <c r="I639" t="str">
        <f t="shared" si="24"/>
        <v>NULL</v>
      </c>
      <c r="J639" t="str">
        <f t="shared" si="24"/>
        <v>NULL</v>
      </c>
      <c r="K639" t="str">
        <f>Instructions!M646</f>
        <v>Added via SMSS</v>
      </c>
      <c r="L639" t="str">
        <f t="shared" si="22"/>
        <v>NULL</v>
      </c>
    </row>
    <row r="640" spans="1:12" x14ac:dyDescent="0.25">
      <c r="A640" t="str" cm="1">
        <f t="array" ref="A640">_xlfn.CONCAT(Instructions!C647,Instructions!A647,"_",TEXT(Instructions!B647,"YYYYMMDD"),"_1_",INDEX(Table1[], MATCH(1,(Table1[Estuary]=Instructions!C647)*(Table1[StationNumber]=Instructions!D647)*(Instructions!B647&gt;Table1[StartDate])*(Instructions!B647&lt;Table1[EndDate]),0),1),"_1_",Instructions!E647,"_",Instructions!F647)</f>
        <v>TBSRVY_20190924_1_0291_1_013_039</v>
      </c>
      <c r="B640" t="str" cm="1">
        <f t="array" ref="B640">_xlfn.CONCAT(Instructions!C647,Instructions!A647,"_",TEXT(Instructions!B647,"YYYYMMDD"),"_1_",INDEX(Table1[], MATCH(1,(Table1[Estuary]=Instructions!C647)*(Table1[StationNumber]=Instructions!D647)*(Instructions!B647&gt;Table1[StartDate])*(Instructions!B647&lt;Table1[EndDate]),0),1),"_1_",Instructions!E647)</f>
        <v>TBSRVY_20190924_1_0291_1_013</v>
      </c>
      <c r="C640">
        <f>Instructions!G647</f>
        <v>65</v>
      </c>
      <c r="D640" t="str">
        <f>IF(ISBLANK(Instructions!H647),"",Instructions!H647)</f>
        <v>Entered</v>
      </c>
      <c r="E640" s="1">
        <f>IF(ISBLANK(Instructions!I647),"",Instructions!I647)</f>
        <v>45646</v>
      </c>
      <c r="F640" t="str">
        <f>IF(ISBLANK(Instructions!J647),"",Instructions!J647)</f>
        <v>Erica Williams</v>
      </c>
      <c r="G640" s="1" t="str">
        <f>IF(ISBLANK(Instructions!K647),"",Instructions!K647)</f>
        <v/>
      </c>
      <c r="H640" t="str">
        <f>IF(ISBLANK(Instructions!L647),"",Instructions!L647)</f>
        <v/>
      </c>
      <c r="I640" t="str">
        <f t="shared" si="24"/>
        <v>NULL</v>
      </c>
      <c r="J640" t="str">
        <f t="shared" si="24"/>
        <v>NULL</v>
      </c>
      <c r="K640" t="str">
        <f>Instructions!M647</f>
        <v>Added via SMSS</v>
      </c>
      <c r="L640" t="str">
        <f t="shared" si="22"/>
        <v>NULL</v>
      </c>
    </row>
    <row r="641" spans="1:12" x14ac:dyDescent="0.25">
      <c r="A641" t="str" cm="1">
        <f t="array" ref="A641">_xlfn.CONCAT(Instructions!C648,Instructions!A648,"_",TEXT(Instructions!B648,"YYYYMMDD"),"_1_",INDEX(Table1[], MATCH(1,(Table1[Estuary]=Instructions!C648)*(Table1[StationNumber]=Instructions!D648)*(Instructions!B648&gt;Table1[StartDate])*(Instructions!B648&lt;Table1[EndDate]),0),1),"_1_",Instructions!E648,"_",Instructions!F648)</f>
        <v>TBSRVY_20190924_1_0291_1_013_040</v>
      </c>
      <c r="B641" t="str" cm="1">
        <f t="array" ref="B641">_xlfn.CONCAT(Instructions!C648,Instructions!A648,"_",TEXT(Instructions!B648,"YYYYMMDD"),"_1_",INDEX(Table1[], MATCH(1,(Table1[Estuary]=Instructions!C648)*(Table1[StationNumber]=Instructions!D648)*(Instructions!B648&gt;Table1[StartDate])*(Instructions!B648&lt;Table1[EndDate]),0),1),"_1_",Instructions!E648)</f>
        <v>TBSRVY_20190924_1_0291_1_013</v>
      </c>
      <c r="C641">
        <f>Instructions!G648</f>
        <v>27</v>
      </c>
      <c r="D641" t="str">
        <f>IF(ISBLANK(Instructions!H648),"",Instructions!H648)</f>
        <v>Entered</v>
      </c>
      <c r="E641" s="1">
        <f>IF(ISBLANK(Instructions!I648),"",Instructions!I648)</f>
        <v>45646</v>
      </c>
      <c r="F641" t="str">
        <f>IF(ISBLANK(Instructions!J648),"",Instructions!J648)</f>
        <v>Erica Williams</v>
      </c>
      <c r="G641" s="1" t="str">
        <f>IF(ISBLANK(Instructions!K648),"",Instructions!K648)</f>
        <v/>
      </c>
      <c r="H641" t="str">
        <f>IF(ISBLANK(Instructions!L648),"",Instructions!L648)</f>
        <v/>
      </c>
      <c r="I641" t="str">
        <f t="shared" si="24"/>
        <v>NULL</v>
      </c>
      <c r="J641" t="str">
        <f t="shared" si="24"/>
        <v>NULL</v>
      </c>
      <c r="K641" t="str">
        <f>Instructions!M648</f>
        <v>Added via SMSS</v>
      </c>
      <c r="L641" t="str">
        <f t="shared" si="22"/>
        <v>NULL</v>
      </c>
    </row>
    <row r="642" spans="1:12" x14ac:dyDescent="0.25">
      <c r="A642" t="str" cm="1">
        <f t="array" ref="A642">_xlfn.CONCAT(Instructions!C649,Instructions!A649,"_",TEXT(Instructions!B649,"YYYYMMDD"),"_1_",INDEX(Table1[], MATCH(1,(Table1[Estuary]=Instructions!C649)*(Table1[StationNumber]=Instructions!D649)*(Instructions!B649&gt;Table1[StartDate])*(Instructions!B649&lt;Table1[EndDate]),0),1),"_1_",Instructions!E649,"_",Instructions!F649)</f>
        <v>TBSRVY_20190924_1_0291_1_013_041</v>
      </c>
      <c r="B642" t="str" cm="1">
        <f t="array" ref="B642">_xlfn.CONCAT(Instructions!C649,Instructions!A649,"_",TEXT(Instructions!B649,"YYYYMMDD"),"_1_",INDEX(Table1[], MATCH(1,(Table1[Estuary]=Instructions!C649)*(Table1[StationNumber]=Instructions!D649)*(Instructions!B649&gt;Table1[StartDate])*(Instructions!B649&lt;Table1[EndDate]),0),1),"_1_",Instructions!E649)</f>
        <v>TBSRVY_20190924_1_0291_1_013</v>
      </c>
      <c r="C642">
        <f>Instructions!G649</f>
        <v>5</v>
      </c>
      <c r="D642" t="str">
        <f>IF(ISBLANK(Instructions!H649),"",Instructions!H649)</f>
        <v>Entered</v>
      </c>
      <c r="E642" s="1">
        <f>IF(ISBLANK(Instructions!I649),"",Instructions!I649)</f>
        <v>45646</v>
      </c>
      <c r="F642" t="str">
        <f>IF(ISBLANK(Instructions!J649),"",Instructions!J649)</f>
        <v>Erica Williams</v>
      </c>
      <c r="G642" s="1" t="str">
        <f>IF(ISBLANK(Instructions!K649),"",Instructions!K649)</f>
        <v/>
      </c>
      <c r="H642" t="str">
        <f>IF(ISBLANK(Instructions!L649),"",Instructions!L649)</f>
        <v/>
      </c>
      <c r="I642" t="str">
        <f t="shared" si="24"/>
        <v>NULL</v>
      </c>
      <c r="J642" t="str">
        <f t="shared" si="24"/>
        <v>NULL</v>
      </c>
      <c r="K642" t="str">
        <f>Instructions!M649</f>
        <v>Added via SMSS</v>
      </c>
      <c r="L642" t="str">
        <f t="shared" si="22"/>
        <v>NULL</v>
      </c>
    </row>
    <row r="643" spans="1:12" x14ac:dyDescent="0.25">
      <c r="A643" t="str" cm="1">
        <f t="array" ref="A643">_xlfn.CONCAT(Instructions!C650,Instructions!A650,"_",TEXT(Instructions!B650,"YYYYMMDD"),"_1_",INDEX(Table1[], MATCH(1,(Table1[Estuary]=Instructions!C650)*(Table1[StationNumber]=Instructions!D650)*(Instructions!B650&gt;Table1[StartDate])*(Instructions!B650&lt;Table1[EndDate]),0),1),"_1_",Instructions!E650,"_",Instructions!F650)</f>
        <v>TBSRVY_20190924_1_0291_1_013_042</v>
      </c>
      <c r="B643" t="str" cm="1">
        <f t="array" ref="B643">_xlfn.CONCAT(Instructions!C650,Instructions!A650,"_",TEXT(Instructions!B650,"YYYYMMDD"),"_1_",INDEX(Table1[], MATCH(1,(Table1[Estuary]=Instructions!C650)*(Table1[StationNumber]=Instructions!D650)*(Instructions!B650&gt;Table1[StartDate])*(Instructions!B650&lt;Table1[EndDate]),0),1),"_1_",Instructions!E650)</f>
        <v>TBSRVY_20190924_1_0291_1_013</v>
      </c>
      <c r="C643">
        <f>Instructions!G650</f>
        <v>37</v>
      </c>
      <c r="D643" t="str">
        <f>IF(ISBLANK(Instructions!H650),"",Instructions!H650)</f>
        <v>Entered</v>
      </c>
      <c r="E643" s="1">
        <f>IF(ISBLANK(Instructions!I650),"",Instructions!I650)</f>
        <v>45646</v>
      </c>
      <c r="F643" t="str">
        <f>IF(ISBLANK(Instructions!J650),"",Instructions!J650)</f>
        <v>Erica Williams</v>
      </c>
      <c r="G643" s="1" t="str">
        <f>IF(ISBLANK(Instructions!K650),"",Instructions!K650)</f>
        <v/>
      </c>
      <c r="H643" t="str">
        <f>IF(ISBLANK(Instructions!L650),"",Instructions!L650)</f>
        <v/>
      </c>
      <c r="I643" t="str">
        <f t="shared" si="24"/>
        <v>NULL</v>
      </c>
      <c r="J643" t="str">
        <f t="shared" si="24"/>
        <v>NULL</v>
      </c>
      <c r="K643" t="str">
        <f>Instructions!M650</f>
        <v>Added via SMSS</v>
      </c>
      <c r="L643" t="str">
        <f t="shared" si="22"/>
        <v>NULL</v>
      </c>
    </row>
    <row r="644" spans="1:12" x14ac:dyDescent="0.25">
      <c r="A644" t="str" cm="1">
        <f t="array" ref="A644">_xlfn.CONCAT(Instructions!C651,Instructions!A651,"_",TEXT(Instructions!B651,"YYYYMMDD"),"_1_",INDEX(Table1[], MATCH(1,(Table1[Estuary]=Instructions!C651)*(Table1[StationNumber]=Instructions!D651)*(Instructions!B651&gt;Table1[StartDate])*(Instructions!B651&lt;Table1[EndDate]),0),1),"_1_",Instructions!E651,"_",Instructions!F651)</f>
        <v>TBSRVY_20190924_1_0291_1_013_043</v>
      </c>
      <c r="B644" t="str" cm="1">
        <f t="array" ref="B644">_xlfn.CONCAT(Instructions!C651,Instructions!A651,"_",TEXT(Instructions!B651,"YYYYMMDD"),"_1_",INDEX(Table1[], MATCH(1,(Table1[Estuary]=Instructions!C651)*(Table1[StationNumber]=Instructions!D651)*(Instructions!B651&gt;Table1[StartDate])*(Instructions!B651&lt;Table1[EndDate]),0),1),"_1_",Instructions!E651)</f>
        <v>TBSRVY_20190924_1_0291_1_013</v>
      </c>
      <c r="C644">
        <f>Instructions!G651</f>
        <v>25</v>
      </c>
      <c r="D644" t="str">
        <f>IF(ISBLANK(Instructions!H651),"",Instructions!H651)</f>
        <v>Entered</v>
      </c>
      <c r="E644" s="1">
        <f>IF(ISBLANK(Instructions!I651),"",Instructions!I651)</f>
        <v>45646</v>
      </c>
      <c r="F644" t="str">
        <f>IF(ISBLANK(Instructions!J651),"",Instructions!J651)</f>
        <v>Erica Williams</v>
      </c>
      <c r="G644" s="1" t="str">
        <f>IF(ISBLANK(Instructions!K651),"",Instructions!K651)</f>
        <v/>
      </c>
      <c r="H644" t="str">
        <f>IF(ISBLANK(Instructions!L651),"",Instructions!L651)</f>
        <v/>
      </c>
      <c r="I644" t="str">
        <f t="shared" si="24"/>
        <v>NULL</v>
      </c>
      <c r="J644" t="str">
        <f t="shared" si="24"/>
        <v>NULL</v>
      </c>
      <c r="K644" t="str">
        <f>Instructions!M651</f>
        <v>Added via SMSS</v>
      </c>
      <c r="L644" t="str">
        <f t="shared" si="22"/>
        <v>NULL</v>
      </c>
    </row>
    <row r="645" spans="1:12" x14ac:dyDescent="0.25">
      <c r="A645" t="str" cm="1">
        <f t="array" ref="A645">_xlfn.CONCAT(Instructions!C652,Instructions!A652,"_",TEXT(Instructions!B652,"YYYYMMDD"),"_1_",INDEX(Table1[], MATCH(1,(Table1[Estuary]=Instructions!C652)*(Table1[StationNumber]=Instructions!D652)*(Instructions!B652&gt;Table1[StartDate])*(Instructions!B652&lt;Table1[EndDate]),0),1),"_1_",Instructions!E652,"_",Instructions!F652)</f>
        <v>TBSRVY_20190924_1_0291_1_013_044</v>
      </c>
      <c r="B645" t="str" cm="1">
        <f t="array" ref="B645">_xlfn.CONCAT(Instructions!C652,Instructions!A652,"_",TEXT(Instructions!B652,"YYYYMMDD"),"_1_",INDEX(Table1[], MATCH(1,(Table1[Estuary]=Instructions!C652)*(Table1[StationNumber]=Instructions!D652)*(Instructions!B652&gt;Table1[StartDate])*(Instructions!B652&lt;Table1[EndDate]),0),1),"_1_",Instructions!E652)</f>
        <v>TBSRVY_20190924_1_0291_1_013</v>
      </c>
      <c r="C645">
        <f>Instructions!G652</f>
        <v>34</v>
      </c>
      <c r="D645" t="str">
        <f>IF(ISBLANK(Instructions!H652),"",Instructions!H652)</f>
        <v>Entered</v>
      </c>
      <c r="E645" s="1">
        <f>IF(ISBLANK(Instructions!I652),"",Instructions!I652)</f>
        <v>45646</v>
      </c>
      <c r="F645" t="str">
        <f>IF(ISBLANK(Instructions!J652),"",Instructions!J652)</f>
        <v>Erica Williams</v>
      </c>
      <c r="G645" s="1" t="str">
        <f>IF(ISBLANK(Instructions!K652),"",Instructions!K652)</f>
        <v/>
      </c>
      <c r="H645" t="str">
        <f>IF(ISBLANK(Instructions!L652),"",Instructions!L652)</f>
        <v/>
      </c>
      <c r="I645" t="str">
        <f t="shared" si="24"/>
        <v>NULL</v>
      </c>
      <c r="J645" t="str">
        <f t="shared" si="24"/>
        <v>NULL</v>
      </c>
      <c r="K645" t="str">
        <f>Instructions!M652</f>
        <v>Added via SMSS</v>
      </c>
      <c r="L645" t="str">
        <f t="shared" si="22"/>
        <v>NULL</v>
      </c>
    </row>
    <row r="646" spans="1:12" x14ac:dyDescent="0.25">
      <c r="A646" t="str" cm="1">
        <f t="array" ref="A646">_xlfn.CONCAT(Instructions!C653,Instructions!A653,"_",TEXT(Instructions!B653,"YYYYMMDD"),"_1_",INDEX(Table1[], MATCH(1,(Table1[Estuary]=Instructions!C653)*(Table1[StationNumber]=Instructions!D653)*(Instructions!B653&gt;Table1[StartDate])*(Instructions!B653&lt;Table1[EndDate]),0),1),"_1_",Instructions!E653,"_",Instructions!F653)</f>
        <v>TBSRVY_20190924_1_0291_1_013_045</v>
      </c>
      <c r="B646" t="str" cm="1">
        <f t="array" ref="B646">_xlfn.CONCAT(Instructions!C653,Instructions!A653,"_",TEXT(Instructions!B653,"YYYYMMDD"),"_1_",INDEX(Table1[], MATCH(1,(Table1[Estuary]=Instructions!C653)*(Table1[StationNumber]=Instructions!D653)*(Instructions!B653&gt;Table1[StartDate])*(Instructions!B653&lt;Table1[EndDate]),0),1),"_1_",Instructions!E653)</f>
        <v>TBSRVY_20190924_1_0291_1_013</v>
      </c>
      <c r="C646">
        <f>Instructions!G653</f>
        <v>24</v>
      </c>
      <c r="D646" t="str">
        <f>IF(ISBLANK(Instructions!H653),"",Instructions!H653)</f>
        <v>Entered</v>
      </c>
      <c r="E646" s="1">
        <f>IF(ISBLANK(Instructions!I653),"",Instructions!I653)</f>
        <v>45646</v>
      </c>
      <c r="F646" t="str">
        <f>IF(ISBLANK(Instructions!J653),"",Instructions!J653)</f>
        <v>Erica Williams</v>
      </c>
      <c r="G646" s="1" t="str">
        <f>IF(ISBLANK(Instructions!K653),"",Instructions!K653)</f>
        <v/>
      </c>
      <c r="H646" t="str">
        <f>IF(ISBLANK(Instructions!L653),"",Instructions!L653)</f>
        <v/>
      </c>
      <c r="I646" t="str">
        <f t="shared" si="24"/>
        <v>NULL</v>
      </c>
      <c r="J646" t="str">
        <f t="shared" si="24"/>
        <v>NULL</v>
      </c>
      <c r="K646" t="str">
        <f>Instructions!M653</f>
        <v>Added via SMSS</v>
      </c>
      <c r="L646" t="str">
        <f t="shared" si="22"/>
        <v>NULL</v>
      </c>
    </row>
    <row r="647" spans="1:12" x14ac:dyDescent="0.25">
      <c r="A647" t="str" cm="1">
        <f t="array" ref="A647">_xlfn.CONCAT(Instructions!C654,Instructions!A654,"_",TEXT(Instructions!B654,"YYYYMMDD"),"_1_",INDEX(Table1[], MATCH(1,(Table1[Estuary]=Instructions!C654)*(Table1[StationNumber]=Instructions!D654)*(Instructions!B654&gt;Table1[StartDate])*(Instructions!B654&lt;Table1[EndDate]),0),1),"_1_",Instructions!E654,"_",Instructions!F654)</f>
        <v>TBSRVY_20190924_1_0291_1_013_046</v>
      </c>
      <c r="B647" t="str" cm="1">
        <f t="array" ref="B647">_xlfn.CONCAT(Instructions!C654,Instructions!A654,"_",TEXT(Instructions!B654,"YYYYMMDD"),"_1_",INDEX(Table1[], MATCH(1,(Table1[Estuary]=Instructions!C654)*(Table1[StationNumber]=Instructions!D654)*(Instructions!B654&gt;Table1[StartDate])*(Instructions!B654&lt;Table1[EndDate]),0),1),"_1_",Instructions!E654)</f>
        <v>TBSRVY_20190924_1_0291_1_013</v>
      </c>
      <c r="C647">
        <f>Instructions!G654</f>
        <v>22</v>
      </c>
      <c r="D647" t="str">
        <f>IF(ISBLANK(Instructions!H654),"",Instructions!H654)</f>
        <v>Entered</v>
      </c>
      <c r="E647" s="1">
        <f>IF(ISBLANK(Instructions!I654),"",Instructions!I654)</f>
        <v>45646</v>
      </c>
      <c r="F647" t="str">
        <f>IF(ISBLANK(Instructions!J654),"",Instructions!J654)</f>
        <v>Erica Williams</v>
      </c>
      <c r="G647" s="1" t="str">
        <f>IF(ISBLANK(Instructions!K654),"",Instructions!K654)</f>
        <v/>
      </c>
      <c r="H647" t="str">
        <f>IF(ISBLANK(Instructions!L654),"",Instructions!L654)</f>
        <v/>
      </c>
      <c r="I647" t="str">
        <f t="shared" si="24"/>
        <v>NULL</v>
      </c>
      <c r="J647" t="str">
        <f t="shared" si="24"/>
        <v>NULL</v>
      </c>
      <c r="K647" t="str">
        <f>Instructions!M654</f>
        <v>Added via SMSS</v>
      </c>
      <c r="L647" t="str">
        <f t="shared" si="22"/>
        <v>NULL</v>
      </c>
    </row>
    <row r="648" spans="1:12" x14ac:dyDescent="0.25">
      <c r="A648" t="str" cm="1">
        <f t="array" ref="A648">_xlfn.CONCAT(Instructions!C655,Instructions!A655,"_",TEXT(Instructions!B655,"YYYYMMDD"),"_1_",INDEX(Table1[], MATCH(1,(Table1[Estuary]=Instructions!C655)*(Table1[StationNumber]=Instructions!D655)*(Instructions!B655&gt;Table1[StartDate])*(Instructions!B655&lt;Table1[EndDate]),0),1),"_1_",Instructions!E655,"_",Instructions!F655)</f>
        <v>TBSRVY_20190924_1_0291_1_013_047</v>
      </c>
      <c r="B648" t="str" cm="1">
        <f t="array" ref="B648">_xlfn.CONCAT(Instructions!C655,Instructions!A655,"_",TEXT(Instructions!B655,"YYYYMMDD"),"_1_",INDEX(Table1[], MATCH(1,(Table1[Estuary]=Instructions!C655)*(Table1[StationNumber]=Instructions!D655)*(Instructions!B655&gt;Table1[StartDate])*(Instructions!B655&lt;Table1[EndDate]),0),1),"_1_",Instructions!E655)</f>
        <v>TBSRVY_20190924_1_0291_1_013</v>
      </c>
      <c r="C648">
        <f>Instructions!G655</f>
        <v>18</v>
      </c>
      <c r="D648" t="str">
        <f>IF(ISBLANK(Instructions!H655),"",Instructions!H655)</f>
        <v>Entered</v>
      </c>
      <c r="E648" s="1">
        <f>IF(ISBLANK(Instructions!I655),"",Instructions!I655)</f>
        <v>45646</v>
      </c>
      <c r="F648" t="str">
        <f>IF(ISBLANK(Instructions!J655),"",Instructions!J655)</f>
        <v>Erica Williams</v>
      </c>
      <c r="G648" s="1" t="str">
        <f>IF(ISBLANK(Instructions!K655),"",Instructions!K655)</f>
        <v/>
      </c>
      <c r="H648" t="str">
        <f>IF(ISBLANK(Instructions!L655),"",Instructions!L655)</f>
        <v/>
      </c>
      <c r="I648" t="str">
        <f t="shared" si="24"/>
        <v>NULL</v>
      </c>
      <c r="J648" t="str">
        <f t="shared" si="24"/>
        <v>NULL</v>
      </c>
      <c r="K648" t="str">
        <f>Instructions!M655</f>
        <v>Added via SMSS</v>
      </c>
      <c r="L648" t="str">
        <f t="shared" si="22"/>
        <v>NULL</v>
      </c>
    </row>
    <row r="649" spans="1:12" x14ac:dyDescent="0.25">
      <c r="A649" t="str" cm="1">
        <f t="array" ref="A649">_xlfn.CONCAT(Instructions!C656,Instructions!A656,"_",TEXT(Instructions!B656,"YYYYMMDD"),"_1_",INDEX(Table1[], MATCH(1,(Table1[Estuary]=Instructions!C656)*(Table1[StationNumber]=Instructions!D656)*(Instructions!B656&gt;Table1[StartDate])*(Instructions!B656&lt;Table1[EndDate]),0),1),"_1_",Instructions!E656,"_",Instructions!F656)</f>
        <v>TBSRVY_20190924_1_0291_1_013_048</v>
      </c>
      <c r="B649" t="str" cm="1">
        <f t="array" ref="B649">_xlfn.CONCAT(Instructions!C656,Instructions!A656,"_",TEXT(Instructions!B656,"YYYYMMDD"),"_1_",INDEX(Table1[], MATCH(1,(Table1[Estuary]=Instructions!C656)*(Table1[StationNumber]=Instructions!D656)*(Instructions!B656&gt;Table1[StartDate])*(Instructions!B656&lt;Table1[EndDate]),0),1),"_1_",Instructions!E656)</f>
        <v>TBSRVY_20190924_1_0291_1_013</v>
      </c>
      <c r="C649">
        <f>Instructions!G656</f>
        <v>46</v>
      </c>
      <c r="D649" t="str">
        <f>IF(ISBLANK(Instructions!H656),"",Instructions!H656)</f>
        <v>Entered</v>
      </c>
      <c r="E649" s="1">
        <f>IF(ISBLANK(Instructions!I656),"",Instructions!I656)</f>
        <v>45646</v>
      </c>
      <c r="F649" t="str">
        <f>IF(ISBLANK(Instructions!J656),"",Instructions!J656)</f>
        <v>Erica Williams</v>
      </c>
      <c r="G649" s="1" t="str">
        <f>IF(ISBLANK(Instructions!K656),"",Instructions!K656)</f>
        <v/>
      </c>
      <c r="H649" t="str">
        <f>IF(ISBLANK(Instructions!L656),"",Instructions!L656)</f>
        <v/>
      </c>
      <c r="I649" t="str">
        <f t="shared" si="24"/>
        <v>NULL</v>
      </c>
      <c r="J649" t="str">
        <f t="shared" si="24"/>
        <v>NULL</v>
      </c>
      <c r="K649" t="str">
        <f>Instructions!M656</f>
        <v>Added via SMSS</v>
      </c>
      <c r="L649" t="str">
        <f t="shared" si="22"/>
        <v>NULL</v>
      </c>
    </row>
    <row r="650" spans="1:12" x14ac:dyDescent="0.25">
      <c r="A650" t="str" cm="1">
        <f t="array" ref="A650">_xlfn.CONCAT(Instructions!C657,Instructions!A657,"_",TEXT(Instructions!B657,"YYYYMMDD"),"_1_",INDEX(Table1[], MATCH(1,(Table1[Estuary]=Instructions!C657)*(Table1[StationNumber]=Instructions!D657)*(Instructions!B657&gt;Table1[StartDate])*(Instructions!B657&lt;Table1[EndDate]),0),1),"_1_",Instructions!E657,"_",Instructions!F657)</f>
        <v>TBSRVY_20190924_1_0291_1_013_049</v>
      </c>
      <c r="B650" t="str" cm="1">
        <f t="array" ref="B650">_xlfn.CONCAT(Instructions!C657,Instructions!A657,"_",TEXT(Instructions!B657,"YYYYMMDD"),"_1_",INDEX(Table1[], MATCH(1,(Table1[Estuary]=Instructions!C657)*(Table1[StationNumber]=Instructions!D657)*(Instructions!B657&gt;Table1[StartDate])*(Instructions!B657&lt;Table1[EndDate]),0),1),"_1_",Instructions!E657)</f>
        <v>TBSRVY_20190924_1_0291_1_013</v>
      </c>
      <c r="C650">
        <f>Instructions!G657</f>
        <v>36</v>
      </c>
      <c r="D650" t="str">
        <f>IF(ISBLANK(Instructions!H657),"",Instructions!H657)</f>
        <v>Entered</v>
      </c>
      <c r="E650" s="1">
        <f>IF(ISBLANK(Instructions!I657),"",Instructions!I657)</f>
        <v>45646</v>
      </c>
      <c r="F650" t="str">
        <f>IF(ISBLANK(Instructions!J657),"",Instructions!J657)</f>
        <v>Erica Williams</v>
      </c>
      <c r="G650" s="1" t="str">
        <f>IF(ISBLANK(Instructions!K657),"",Instructions!K657)</f>
        <v/>
      </c>
      <c r="H650" t="str">
        <f>IF(ISBLANK(Instructions!L657),"",Instructions!L657)</f>
        <v/>
      </c>
      <c r="I650" t="str">
        <f t="shared" si="24"/>
        <v>NULL</v>
      </c>
      <c r="J650" t="str">
        <f t="shared" si="24"/>
        <v>NULL</v>
      </c>
      <c r="K650" t="str">
        <f>Instructions!M657</f>
        <v>Added via SMSS</v>
      </c>
      <c r="L650" t="str">
        <f t="shared" si="22"/>
        <v>NULL</v>
      </c>
    </row>
    <row r="651" spans="1:12" x14ac:dyDescent="0.25">
      <c r="A651" t="str" cm="1">
        <f t="array" ref="A651">_xlfn.CONCAT(Instructions!C658,Instructions!A658,"_",TEXT(Instructions!B658,"YYYYMMDD"),"_1_",INDEX(Table1[], MATCH(1,(Table1[Estuary]=Instructions!C658)*(Table1[StationNumber]=Instructions!D658)*(Instructions!B658&gt;Table1[StartDate])*(Instructions!B658&lt;Table1[EndDate]),0),1),"_1_",Instructions!E658,"_",Instructions!F658)</f>
        <v>TBSRVY_20190924_1_0291_1_013_050</v>
      </c>
      <c r="B651" t="str" cm="1">
        <f t="array" ref="B651">_xlfn.CONCAT(Instructions!C658,Instructions!A658,"_",TEXT(Instructions!B658,"YYYYMMDD"),"_1_",INDEX(Table1[], MATCH(1,(Table1[Estuary]=Instructions!C658)*(Table1[StationNumber]=Instructions!D658)*(Instructions!B658&gt;Table1[StartDate])*(Instructions!B658&lt;Table1[EndDate]),0),1),"_1_",Instructions!E658)</f>
        <v>TBSRVY_20190924_1_0291_1_013</v>
      </c>
      <c r="C651">
        <f>Instructions!G658</f>
        <v>20</v>
      </c>
      <c r="D651" t="str">
        <f>IF(ISBLANK(Instructions!H658),"",Instructions!H658)</f>
        <v>Entered</v>
      </c>
      <c r="E651" s="1">
        <f>IF(ISBLANK(Instructions!I658),"",Instructions!I658)</f>
        <v>45646</v>
      </c>
      <c r="F651" t="str">
        <f>IF(ISBLANK(Instructions!J658),"",Instructions!J658)</f>
        <v>Erica Williams</v>
      </c>
      <c r="G651" s="1" t="str">
        <f>IF(ISBLANK(Instructions!K658),"",Instructions!K658)</f>
        <v/>
      </c>
      <c r="H651" t="str">
        <f>IF(ISBLANK(Instructions!L658),"",Instructions!L658)</f>
        <v/>
      </c>
      <c r="I651" t="str">
        <f t="shared" si="24"/>
        <v>NULL</v>
      </c>
      <c r="J651" t="str">
        <f t="shared" si="24"/>
        <v>NULL</v>
      </c>
      <c r="K651" t="str">
        <f>Instructions!M658</f>
        <v>Added via SMSS</v>
      </c>
      <c r="L651" t="str">
        <f t="shared" si="22"/>
        <v>NULL</v>
      </c>
    </row>
    <row r="652" spans="1:12" x14ac:dyDescent="0.25">
      <c r="A652" t="str" cm="1">
        <f t="array" ref="A652">_xlfn.CONCAT(Instructions!C659,Instructions!A659,"_",TEXT(Instructions!B659,"YYYYMMDD"),"_1_",INDEX(Table1[], MATCH(1,(Table1[Estuary]=Instructions!C659)*(Table1[StationNumber]=Instructions!D659)*(Instructions!B659&gt;Table1[StartDate])*(Instructions!B659&lt;Table1[EndDate]),0),1),"_1_",Instructions!E659,"_",Instructions!F659)</f>
        <v>TBSRVY_20190924_1_0291_1_014_001</v>
      </c>
      <c r="B652" t="str" cm="1">
        <f t="array" ref="B652">_xlfn.CONCAT(Instructions!C659,Instructions!A659,"_",TEXT(Instructions!B659,"YYYYMMDD"),"_1_",INDEX(Table1[], MATCH(1,(Table1[Estuary]=Instructions!C659)*(Table1[StationNumber]=Instructions!D659)*(Instructions!B659&gt;Table1[StartDate])*(Instructions!B659&lt;Table1[EndDate]),0),1),"_1_",Instructions!E659)</f>
        <v>TBSRVY_20190924_1_0291_1_014</v>
      </c>
      <c r="C652">
        <f>Instructions!G659</f>
        <v>28</v>
      </c>
      <c r="D652" t="str">
        <f>IF(ISBLANK(Instructions!H659),"",Instructions!H659)</f>
        <v>Entered</v>
      </c>
      <c r="E652" s="1">
        <f>IF(ISBLANK(Instructions!I659),"",Instructions!I659)</f>
        <v>45646</v>
      </c>
      <c r="F652" t="str">
        <f>IF(ISBLANK(Instructions!J659),"",Instructions!J659)</f>
        <v>Erica Williams</v>
      </c>
      <c r="G652" s="1" t="str">
        <f>IF(ISBLANK(Instructions!K659),"",Instructions!K659)</f>
        <v/>
      </c>
      <c r="H652" t="str">
        <f>IF(ISBLANK(Instructions!L659),"",Instructions!L659)</f>
        <v/>
      </c>
      <c r="I652" t="str">
        <f t="shared" si="24"/>
        <v>NULL</v>
      </c>
      <c r="J652" t="str">
        <f t="shared" si="24"/>
        <v>NULL</v>
      </c>
      <c r="K652" t="str">
        <f>Instructions!M659</f>
        <v>Added via SMSS</v>
      </c>
      <c r="L652" t="str">
        <f t="shared" si="22"/>
        <v>NULL</v>
      </c>
    </row>
    <row r="653" spans="1:12" x14ac:dyDescent="0.25">
      <c r="A653" t="str" cm="1">
        <f t="array" ref="A653">_xlfn.CONCAT(Instructions!C660,Instructions!A660,"_",TEXT(Instructions!B660,"YYYYMMDD"),"_1_",INDEX(Table1[], MATCH(1,(Table1[Estuary]=Instructions!C660)*(Table1[StationNumber]=Instructions!D660)*(Instructions!B660&gt;Table1[StartDate])*(Instructions!B660&lt;Table1[EndDate]),0),1),"_1_",Instructions!E660,"_",Instructions!F660)</f>
        <v>TBSRVY_20190924_1_0291_1_014_002</v>
      </c>
      <c r="B653" t="str" cm="1">
        <f t="array" ref="B653">_xlfn.CONCAT(Instructions!C660,Instructions!A660,"_",TEXT(Instructions!B660,"YYYYMMDD"),"_1_",INDEX(Table1[], MATCH(1,(Table1[Estuary]=Instructions!C660)*(Table1[StationNumber]=Instructions!D660)*(Instructions!B660&gt;Table1[StartDate])*(Instructions!B660&lt;Table1[EndDate]),0),1),"_1_",Instructions!E660)</f>
        <v>TBSRVY_20190924_1_0291_1_014</v>
      </c>
      <c r="C653">
        <f>Instructions!G660</f>
        <v>31</v>
      </c>
      <c r="D653" t="str">
        <f>IF(ISBLANK(Instructions!H660),"",Instructions!H660)</f>
        <v>Entered</v>
      </c>
      <c r="E653" s="1">
        <f>IF(ISBLANK(Instructions!I660),"",Instructions!I660)</f>
        <v>45646</v>
      </c>
      <c r="F653" t="str">
        <f>IF(ISBLANK(Instructions!J660),"",Instructions!J660)</f>
        <v>Erica Williams</v>
      </c>
      <c r="G653" s="1" t="str">
        <f>IF(ISBLANK(Instructions!K660),"",Instructions!K660)</f>
        <v/>
      </c>
      <c r="H653" t="str">
        <f>IF(ISBLANK(Instructions!L660),"",Instructions!L660)</f>
        <v/>
      </c>
      <c r="I653" t="str">
        <f t="shared" si="24"/>
        <v>NULL</v>
      </c>
      <c r="J653" t="str">
        <f t="shared" si="24"/>
        <v>NULL</v>
      </c>
      <c r="K653" t="str">
        <f>Instructions!M660</f>
        <v>Added via SMSS</v>
      </c>
      <c r="L653" t="str">
        <f t="shared" si="22"/>
        <v>NULL</v>
      </c>
    </row>
    <row r="654" spans="1:12" x14ac:dyDescent="0.25">
      <c r="A654" t="str" cm="1">
        <f t="array" ref="A654">_xlfn.CONCAT(Instructions!C661,Instructions!A661,"_",TEXT(Instructions!B661,"YYYYMMDD"),"_1_",INDEX(Table1[], MATCH(1,(Table1[Estuary]=Instructions!C661)*(Table1[StationNumber]=Instructions!D661)*(Instructions!B661&gt;Table1[StartDate])*(Instructions!B661&lt;Table1[EndDate]),0),1),"_1_",Instructions!E661,"_",Instructions!F661)</f>
        <v>TBSRVY_20190924_1_0291_1_014_003</v>
      </c>
      <c r="B654" t="str" cm="1">
        <f t="array" ref="B654">_xlfn.CONCAT(Instructions!C661,Instructions!A661,"_",TEXT(Instructions!B661,"YYYYMMDD"),"_1_",INDEX(Table1[], MATCH(1,(Table1[Estuary]=Instructions!C661)*(Table1[StationNumber]=Instructions!D661)*(Instructions!B661&gt;Table1[StartDate])*(Instructions!B661&lt;Table1[EndDate]),0),1),"_1_",Instructions!E661)</f>
        <v>TBSRVY_20190924_1_0291_1_014</v>
      </c>
      <c r="C654">
        <f>Instructions!G661</f>
        <v>32</v>
      </c>
      <c r="D654" t="str">
        <f>IF(ISBLANK(Instructions!H661),"",Instructions!H661)</f>
        <v>Entered</v>
      </c>
      <c r="E654" s="1">
        <f>IF(ISBLANK(Instructions!I661),"",Instructions!I661)</f>
        <v>45646</v>
      </c>
      <c r="F654" t="str">
        <f>IF(ISBLANK(Instructions!J661),"",Instructions!J661)</f>
        <v>Erica Williams</v>
      </c>
      <c r="G654" s="1" t="str">
        <f>IF(ISBLANK(Instructions!K661),"",Instructions!K661)</f>
        <v/>
      </c>
      <c r="H654" t="str">
        <f>IF(ISBLANK(Instructions!L661),"",Instructions!L661)</f>
        <v/>
      </c>
      <c r="I654" t="str">
        <f t="shared" si="24"/>
        <v>NULL</v>
      </c>
      <c r="J654" t="str">
        <f t="shared" si="24"/>
        <v>NULL</v>
      </c>
      <c r="K654" t="str">
        <f>Instructions!M661</f>
        <v>Added via SMSS</v>
      </c>
      <c r="L654" t="str">
        <f t="shared" si="22"/>
        <v>NULL</v>
      </c>
    </row>
    <row r="655" spans="1:12" x14ac:dyDescent="0.25">
      <c r="A655" t="str" cm="1">
        <f t="array" ref="A655">_xlfn.CONCAT(Instructions!C662,Instructions!A662,"_",TEXT(Instructions!B662,"YYYYMMDD"),"_1_",INDEX(Table1[], MATCH(1,(Table1[Estuary]=Instructions!C662)*(Table1[StationNumber]=Instructions!D662)*(Instructions!B662&gt;Table1[StartDate])*(Instructions!B662&lt;Table1[EndDate]),0),1),"_1_",Instructions!E662,"_",Instructions!F662)</f>
        <v>TBSRVY_20190924_1_0291_1_014_004</v>
      </c>
      <c r="B655" t="str" cm="1">
        <f t="array" ref="B655">_xlfn.CONCAT(Instructions!C662,Instructions!A662,"_",TEXT(Instructions!B662,"YYYYMMDD"),"_1_",INDEX(Table1[], MATCH(1,(Table1[Estuary]=Instructions!C662)*(Table1[StationNumber]=Instructions!D662)*(Instructions!B662&gt;Table1[StartDate])*(Instructions!B662&lt;Table1[EndDate]),0),1),"_1_",Instructions!E662)</f>
        <v>TBSRVY_20190924_1_0291_1_014</v>
      </c>
      <c r="C655">
        <f>Instructions!G662</f>
        <v>30</v>
      </c>
      <c r="D655" t="str">
        <f>IF(ISBLANK(Instructions!H662),"",Instructions!H662)</f>
        <v>Entered</v>
      </c>
      <c r="E655" s="1">
        <f>IF(ISBLANK(Instructions!I662),"",Instructions!I662)</f>
        <v>45646</v>
      </c>
      <c r="F655" t="str">
        <f>IF(ISBLANK(Instructions!J662),"",Instructions!J662)</f>
        <v>Erica Williams</v>
      </c>
      <c r="G655" s="1" t="str">
        <f>IF(ISBLANK(Instructions!K662),"",Instructions!K662)</f>
        <v/>
      </c>
      <c r="H655" t="str">
        <f>IF(ISBLANK(Instructions!L662),"",Instructions!L662)</f>
        <v/>
      </c>
      <c r="I655" t="str">
        <f t="shared" si="24"/>
        <v>NULL</v>
      </c>
      <c r="J655" t="str">
        <f t="shared" si="24"/>
        <v>NULL</v>
      </c>
      <c r="K655" t="str">
        <f>Instructions!M662</f>
        <v>Added via SMSS</v>
      </c>
      <c r="L655" t="str">
        <f t="shared" si="22"/>
        <v>NULL</v>
      </c>
    </row>
    <row r="656" spans="1:12" x14ac:dyDescent="0.25">
      <c r="A656" t="str" cm="1">
        <f t="array" ref="A656">_xlfn.CONCAT(Instructions!C663,Instructions!A663,"_",TEXT(Instructions!B663,"YYYYMMDD"),"_1_",INDEX(Table1[], MATCH(1,(Table1[Estuary]=Instructions!C663)*(Table1[StationNumber]=Instructions!D663)*(Instructions!B663&gt;Table1[StartDate])*(Instructions!B663&lt;Table1[EndDate]),0),1),"_1_",Instructions!E663,"_",Instructions!F663)</f>
        <v>TBSRVY_20190924_1_0291_1_014_005</v>
      </c>
      <c r="B656" t="str" cm="1">
        <f t="array" ref="B656">_xlfn.CONCAT(Instructions!C663,Instructions!A663,"_",TEXT(Instructions!B663,"YYYYMMDD"),"_1_",INDEX(Table1[], MATCH(1,(Table1[Estuary]=Instructions!C663)*(Table1[StationNumber]=Instructions!D663)*(Instructions!B663&gt;Table1[StartDate])*(Instructions!B663&lt;Table1[EndDate]),0),1),"_1_",Instructions!E663)</f>
        <v>TBSRVY_20190924_1_0291_1_014</v>
      </c>
      <c r="C656">
        <f>Instructions!G663</f>
        <v>18</v>
      </c>
      <c r="D656" t="str">
        <f>IF(ISBLANK(Instructions!H663),"",Instructions!H663)</f>
        <v>Entered</v>
      </c>
      <c r="E656" s="1">
        <f>IF(ISBLANK(Instructions!I663),"",Instructions!I663)</f>
        <v>45646</v>
      </c>
      <c r="F656" t="str">
        <f>IF(ISBLANK(Instructions!J663),"",Instructions!J663)</f>
        <v>Erica Williams</v>
      </c>
      <c r="G656" s="1" t="str">
        <f>IF(ISBLANK(Instructions!K663),"",Instructions!K663)</f>
        <v/>
      </c>
      <c r="H656" t="str">
        <f>IF(ISBLANK(Instructions!L663),"",Instructions!L663)</f>
        <v/>
      </c>
      <c r="I656" t="str">
        <f t="shared" si="24"/>
        <v>NULL</v>
      </c>
      <c r="J656" t="str">
        <f t="shared" si="24"/>
        <v>NULL</v>
      </c>
      <c r="K656" t="str">
        <f>Instructions!M663</f>
        <v>Added via SMSS</v>
      </c>
      <c r="L656" t="str">
        <f t="shared" si="22"/>
        <v>NULL</v>
      </c>
    </row>
    <row r="657" spans="1:12" x14ac:dyDescent="0.25">
      <c r="A657" t="str" cm="1">
        <f t="array" ref="A657">_xlfn.CONCAT(Instructions!C664,Instructions!A664,"_",TEXT(Instructions!B664,"YYYYMMDD"),"_1_",INDEX(Table1[], MATCH(1,(Table1[Estuary]=Instructions!C664)*(Table1[StationNumber]=Instructions!D664)*(Instructions!B664&gt;Table1[StartDate])*(Instructions!B664&lt;Table1[EndDate]),0),1),"_1_",Instructions!E664,"_",Instructions!F664)</f>
        <v>TBSRVY_20190924_1_0291_1_014_006</v>
      </c>
      <c r="B657" t="str" cm="1">
        <f t="array" ref="B657">_xlfn.CONCAT(Instructions!C664,Instructions!A664,"_",TEXT(Instructions!B664,"YYYYMMDD"),"_1_",INDEX(Table1[], MATCH(1,(Table1[Estuary]=Instructions!C664)*(Table1[StationNumber]=Instructions!D664)*(Instructions!B664&gt;Table1[StartDate])*(Instructions!B664&lt;Table1[EndDate]),0),1),"_1_",Instructions!E664)</f>
        <v>TBSRVY_20190924_1_0291_1_014</v>
      </c>
      <c r="C657">
        <f>Instructions!G664</f>
        <v>24</v>
      </c>
      <c r="D657" t="str">
        <f>IF(ISBLANK(Instructions!H664),"",Instructions!H664)</f>
        <v>Entered</v>
      </c>
      <c r="E657" s="1">
        <f>IF(ISBLANK(Instructions!I664),"",Instructions!I664)</f>
        <v>45646</v>
      </c>
      <c r="F657" t="str">
        <f>IF(ISBLANK(Instructions!J664),"",Instructions!J664)</f>
        <v>Erica Williams</v>
      </c>
      <c r="G657" s="1" t="str">
        <f>IF(ISBLANK(Instructions!K664),"",Instructions!K664)</f>
        <v/>
      </c>
      <c r="H657" t="str">
        <f>IF(ISBLANK(Instructions!L664),"",Instructions!L664)</f>
        <v/>
      </c>
      <c r="I657" t="str">
        <f t="shared" si="24"/>
        <v>NULL</v>
      </c>
      <c r="J657" t="str">
        <f t="shared" si="24"/>
        <v>NULL</v>
      </c>
      <c r="K657" t="str">
        <f>Instructions!M664</f>
        <v>Added via SMSS</v>
      </c>
      <c r="L657" t="str">
        <f t="shared" si="22"/>
        <v>NULL</v>
      </c>
    </row>
    <row r="658" spans="1:12" x14ac:dyDescent="0.25">
      <c r="A658" t="str" cm="1">
        <f t="array" ref="A658">_xlfn.CONCAT(Instructions!C665,Instructions!A665,"_",TEXT(Instructions!B665,"YYYYMMDD"),"_1_",INDEX(Table1[], MATCH(1,(Table1[Estuary]=Instructions!C665)*(Table1[StationNumber]=Instructions!D665)*(Instructions!B665&gt;Table1[StartDate])*(Instructions!B665&lt;Table1[EndDate]),0),1),"_1_",Instructions!E665,"_",Instructions!F665)</f>
        <v>TBSRVY_20190924_1_0291_1_014_007</v>
      </c>
      <c r="B658" t="str" cm="1">
        <f t="array" ref="B658">_xlfn.CONCAT(Instructions!C665,Instructions!A665,"_",TEXT(Instructions!B665,"YYYYMMDD"),"_1_",INDEX(Table1[], MATCH(1,(Table1[Estuary]=Instructions!C665)*(Table1[StationNumber]=Instructions!D665)*(Instructions!B665&gt;Table1[StartDate])*(Instructions!B665&lt;Table1[EndDate]),0),1),"_1_",Instructions!E665)</f>
        <v>TBSRVY_20190924_1_0291_1_014</v>
      </c>
      <c r="C658">
        <f>Instructions!G665</f>
        <v>25</v>
      </c>
      <c r="D658" t="str">
        <f>IF(ISBLANK(Instructions!H665),"",Instructions!H665)</f>
        <v>Entered</v>
      </c>
      <c r="E658" s="1">
        <f>IF(ISBLANK(Instructions!I665),"",Instructions!I665)</f>
        <v>45646</v>
      </c>
      <c r="F658" t="str">
        <f>IF(ISBLANK(Instructions!J665),"",Instructions!J665)</f>
        <v>Erica Williams</v>
      </c>
      <c r="G658" s="1" t="str">
        <f>IF(ISBLANK(Instructions!K665),"",Instructions!K665)</f>
        <v/>
      </c>
      <c r="H658" t="str">
        <f>IF(ISBLANK(Instructions!L665),"",Instructions!L665)</f>
        <v/>
      </c>
      <c r="I658" t="str">
        <f t="shared" si="24"/>
        <v>NULL</v>
      </c>
      <c r="J658" t="str">
        <f t="shared" si="24"/>
        <v>NULL</v>
      </c>
      <c r="K658" t="str">
        <f>Instructions!M665</f>
        <v>Added via SMSS</v>
      </c>
      <c r="L658" t="str">
        <f t="shared" si="22"/>
        <v>NULL</v>
      </c>
    </row>
    <row r="659" spans="1:12" x14ac:dyDescent="0.25">
      <c r="A659" t="str" cm="1">
        <f t="array" ref="A659">_xlfn.CONCAT(Instructions!C666,Instructions!A666,"_",TEXT(Instructions!B666,"YYYYMMDD"),"_1_",INDEX(Table1[], MATCH(1,(Table1[Estuary]=Instructions!C666)*(Table1[StationNumber]=Instructions!D666)*(Instructions!B666&gt;Table1[StartDate])*(Instructions!B666&lt;Table1[EndDate]),0),1),"_1_",Instructions!E666,"_",Instructions!F666)</f>
        <v>TBSRVY_20190924_1_0291_1_014_008</v>
      </c>
      <c r="B659" t="str" cm="1">
        <f t="array" ref="B659">_xlfn.CONCAT(Instructions!C666,Instructions!A666,"_",TEXT(Instructions!B666,"YYYYMMDD"),"_1_",INDEX(Table1[], MATCH(1,(Table1[Estuary]=Instructions!C666)*(Table1[StationNumber]=Instructions!D666)*(Instructions!B666&gt;Table1[StartDate])*(Instructions!B666&lt;Table1[EndDate]),0),1),"_1_",Instructions!E666)</f>
        <v>TBSRVY_20190924_1_0291_1_014</v>
      </c>
      <c r="C659">
        <f>Instructions!G666</f>
        <v>20</v>
      </c>
      <c r="D659" t="str">
        <f>IF(ISBLANK(Instructions!H666),"",Instructions!H666)</f>
        <v>Entered</v>
      </c>
      <c r="E659" s="1">
        <f>IF(ISBLANK(Instructions!I666),"",Instructions!I666)</f>
        <v>45646</v>
      </c>
      <c r="F659" t="str">
        <f>IF(ISBLANK(Instructions!J666),"",Instructions!J666)</f>
        <v>Erica Williams</v>
      </c>
      <c r="G659" s="1" t="str">
        <f>IF(ISBLANK(Instructions!K666),"",Instructions!K666)</f>
        <v/>
      </c>
      <c r="H659" t="str">
        <f>IF(ISBLANK(Instructions!L666),"",Instructions!L666)</f>
        <v/>
      </c>
      <c r="I659" t="str">
        <f t="shared" si="24"/>
        <v>NULL</v>
      </c>
      <c r="J659" t="str">
        <f t="shared" si="24"/>
        <v>NULL</v>
      </c>
      <c r="K659" t="str">
        <f>Instructions!M666</f>
        <v>Added via SMSS</v>
      </c>
      <c r="L659" t="str">
        <f t="shared" si="22"/>
        <v>NULL</v>
      </c>
    </row>
    <row r="660" spans="1:12" x14ac:dyDescent="0.25">
      <c r="A660" t="str" cm="1">
        <f t="array" ref="A660">_xlfn.CONCAT(Instructions!C667,Instructions!A667,"_",TEXT(Instructions!B667,"YYYYMMDD"),"_1_",INDEX(Table1[], MATCH(1,(Table1[Estuary]=Instructions!C667)*(Table1[StationNumber]=Instructions!D667)*(Instructions!B667&gt;Table1[StartDate])*(Instructions!B667&lt;Table1[EndDate]),0),1),"_1_",Instructions!E667,"_",Instructions!F667)</f>
        <v>TBSRVY_20190924_1_0291_1_014_009</v>
      </c>
      <c r="B660" t="str" cm="1">
        <f t="array" ref="B660">_xlfn.CONCAT(Instructions!C667,Instructions!A667,"_",TEXT(Instructions!B667,"YYYYMMDD"),"_1_",INDEX(Table1[], MATCH(1,(Table1[Estuary]=Instructions!C667)*(Table1[StationNumber]=Instructions!D667)*(Instructions!B667&gt;Table1[StartDate])*(Instructions!B667&lt;Table1[EndDate]),0),1),"_1_",Instructions!E667)</f>
        <v>TBSRVY_20190924_1_0291_1_014</v>
      </c>
      <c r="C660">
        <f>Instructions!G667</f>
        <v>24</v>
      </c>
      <c r="D660" t="str">
        <f>IF(ISBLANK(Instructions!H667),"",Instructions!H667)</f>
        <v>Entered</v>
      </c>
      <c r="E660" s="1">
        <f>IF(ISBLANK(Instructions!I667),"",Instructions!I667)</f>
        <v>45646</v>
      </c>
      <c r="F660" t="str">
        <f>IF(ISBLANK(Instructions!J667),"",Instructions!J667)</f>
        <v>Erica Williams</v>
      </c>
      <c r="G660" s="1" t="str">
        <f>IF(ISBLANK(Instructions!K667),"",Instructions!K667)</f>
        <v/>
      </c>
      <c r="H660" t="str">
        <f>IF(ISBLANK(Instructions!L667),"",Instructions!L667)</f>
        <v/>
      </c>
      <c r="I660" t="str">
        <f t="shared" si="24"/>
        <v>NULL</v>
      </c>
      <c r="J660" t="str">
        <f t="shared" si="24"/>
        <v>NULL</v>
      </c>
      <c r="K660" t="str">
        <f>Instructions!M667</f>
        <v>Added via SMSS</v>
      </c>
      <c r="L660" t="str">
        <f t="shared" si="22"/>
        <v>NULL</v>
      </c>
    </row>
    <row r="661" spans="1:12" x14ac:dyDescent="0.25">
      <c r="A661" t="str" cm="1">
        <f t="array" ref="A661">_xlfn.CONCAT(Instructions!C668,Instructions!A668,"_",TEXT(Instructions!B668,"YYYYMMDD"),"_1_",INDEX(Table1[], MATCH(1,(Table1[Estuary]=Instructions!C668)*(Table1[StationNumber]=Instructions!D668)*(Instructions!B668&gt;Table1[StartDate])*(Instructions!B668&lt;Table1[EndDate]),0),1),"_1_",Instructions!E668,"_",Instructions!F668)</f>
        <v>TBSRVY_20190924_1_0291_1_014_010</v>
      </c>
      <c r="B661" t="str" cm="1">
        <f t="array" ref="B661">_xlfn.CONCAT(Instructions!C668,Instructions!A668,"_",TEXT(Instructions!B668,"YYYYMMDD"),"_1_",INDEX(Table1[], MATCH(1,(Table1[Estuary]=Instructions!C668)*(Table1[StationNumber]=Instructions!D668)*(Instructions!B668&gt;Table1[StartDate])*(Instructions!B668&lt;Table1[EndDate]),0),1),"_1_",Instructions!E668)</f>
        <v>TBSRVY_20190924_1_0291_1_014</v>
      </c>
      <c r="C661">
        <f>Instructions!G668</f>
        <v>10</v>
      </c>
      <c r="D661" t="str">
        <f>IF(ISBLANK(Instructions!H668),"",Instructions!H668)</f>
        <v>Entered</v>
      </c>
      <c r="E661" s="1">
        <f>IF(ISBLANK(Instructions!I668),"",Instructions!I668)</f>
        <v>45646</v>
      </c>
      <c r="F661" t="str">
        <f>IF(ISBLANK(Instructions!J668),"",Instructions!J668)</f>
        <v>Erica Williams</v>
      </c>
      <c r="G661" s="1" t="str">
        <f>IF(ISBLANK(Instructions!K668),"",Instructions!K668)</f>
        <v/>
      </c>
      <c r="H661" t="str">
        <f>IF(ISBLANK(Instructions!L668),"",Instructions!L668)</f>
        <v/>
      </c>
      <c r="I661" t="str">
        <f t="shared" si="24"/>
        <v>NULL</v>
      </c>
      <c r="J661" t="str">
        <f t="shared" si="24"/>
        <v>NULL</v>
      </c>
      <c r="K661" t="str">
        <f>Instructions!M668</f>
        <v>Added via SMSS</v>
      </c>
      <c r="L661" t="str">
        <f t="shared" si="22"/>
        <v>NULL</v>
      </c>
    </row>
    <row r="662" spans="1:12" x14ac:dyDescent="0.25">
      <c r="A662" t="str" cm="1">
        <f t="array" ref="A662">_xlfn.CONCAT(Instructions!C669,Instructions!A669,"_",TEXT(Instructions!B669,"YYYYMMDD"),"_1_",INDEX(Table1[], MATCH(1,(Table1[Estuary]=Instructions!C669)*(Table1[StationNumber]=Instructions!D669)*(Instructions!B669&gt;Table1[StartDate])*(Instructions!B669&lt;Table1[EndDate]),0),1),"_1_",Instructions!E669,"_",Instructions!F669)</f>
        <v>TBSRVY_20190924_1_0291_1_014_011</v>
      </c>
      <c r="B662" t="str" cm="1">
        <f t="array" ref="B662">_xlfn.CONCAT(Instructions!C669,Instructions!A669,"_",TEXT(Instructions!B669,"YYYYMMDD"),"_1_",INDEX(Table1[], MATCH(1,(Table1[Estuary]=Instructions!C669)*(Table1[StationNumber]=Instructions!D669)*(Instructions!B669&gt;Table1[StartDate])*(Instructions!B669&lt;Table1[EndDate]),0),1),"_1_",Instructions!E669)</f>
        <v>TBSRVY_20190924_1_0291_1_014</v>
      </c>
      <c r="C662">
        <f>Instructions!G669</f>
        <v>56</v>
      </c>
      <c r="D662" t="str">
        <f>IF(ISBLANK(Instructions!H669),"",Instructions!H669)</f>
        <v>Entered</v>
      </c>
      <c r="E662" s="1">
        <f>IF(ISBLANK(Instructions!I669),"",Instructions!I669)</f>
        <v>45646</v>
      </c>
      <c r="F662" t="str">
        <f>IF(ISBLANK(Instructions!J669),"",Instructions!J669)</f>
        <v>Erica Williams</v>
      </c>
      <c r="G662" s="1" t="str">
        <f>IF(ISBLANK(Instructions!K669),"",Instructions!K669)</f>
        <v/>
      </c>
      <c r="H662" t="str">
        <f>IF(ISBLANK(Instructions!L669),"",Instructions!L669)</f>
        <v/>
      </c>
      <c r="I662" t="str">
        <f t="shared" si="24"/>
        <v>NULL</v>
      </c>
      <c r="J662" t="str">
        <f t="shared" si="24"/>
        <v>NULL</v>
      </c>
      <c r="K662" t="str">
        <f>Instructions!M669</f>
        <v>Added via SMSS</v>
      </c>
      <c r="L662" t="str">
        <f t="shared" si="22"/>
        <v>NULL</v>
      </c>
    </row>
    <row r="663" spans="1:12" x14ac:dyDescent="0.25">
      <c r="A663" t="str" cm="1">
        <f t="array" ref="A663">_xlfn.CONCAT(Instructions!C670,Instructions!A670,"_",TEXT(Instructions!B670,"YYYYMMDD"),"_1_",INDEX(Table1[], MATCH(1,(Table1[Estuary]=Instructions!C670)*(Table1[StationNumber]=Instructions!D670)*(Instructions!B670&gt;Table1[StartDate])*(Instructions!B670&lt;Table1[EndDate]),0),1),"_1_",Instructions!E670,"_",Instructions!F670)</f>
        <v>TBSRVY_20190924_1_0291_1_014_012</v>
      </c>
      <c r="B663" t="str" cm="1">
        <f t="array" ref="B663">_xlfn.CONCAT(Instructions!C670,Instructions!A670,"_",TEXT(Instructions!B670,"YYYYMMDD"),"_1_",INDEX(Table1[], MATCH(1,(Table1[Estuary]=Instructions!C670)*(Table1[StationNumber]=Instructions!D670)*(Instructions!B670&gt;Table1[StartDate])*(Instructions!B670&lt;Table1[EndDate]),0),1),"_1_",Instructions!E670)</f>
        <v>TBSRVY_20190924_1_0291_1_014</v>
      </c>
      <c r="C663">
        <f>Instructions!G670</f>
        <v>30</v>
      </c>
      <c r="D663" t="str">
        <f>IF(ISBLANK(Instructions!H670),"",Instructions!H670)</f>
        <v>Entered</v>
      </c>
      <c r="E663" s="1">
        <f>IF(ISBLANK(Instructions!I670),"",Instructions!I670)</f>
        <v>45646</v>
      </c>
      <c r="F663" t="str">
        <f>IF(ISBLANK(Instructions!J670),"",Instructions!J670)</f>
        <v>Erica Williams</v>
      </c>
      <c r="G663" s="1" t="str">
        <f>IF(ISBLANK(Instructions!K670),"",Instructions!K670)</f>
        <v/>
      </c>
      <c r="H663" t="str">
        <f>IF(ISBLANK(Instructions!L670),"",Instructions!L670)</f>
        <v/>
      </c>
      <c r="I663" t="str">
        <f t="shared" si="24"/>
        <v>NULL</v>
      </c>
      <c r="J663" t="str">
        <f t="shared" si="24"/>
        <v>NULL</v>
      </c>
      <c r="K663" t="str">
        <f>Instructions!M670</f>
        <v>Added via SMSS</v>
      </c>
      <c r="L663" t="str">
        <f t="shared" si="22"/>
        <v>NULL</v>
      </c>
    </row>
    <row r="664" spans="1:12" x14ac:dyDescent="0.25">
      <c r="A664" t="str" cm="1">
        <f t="array" ref="A664">_xlfn.CONCAT(Instructions!C671,Instructions!A671,"_",TEXT(Instructions!B671,"YYYYMMDD"),"_1_",INDEX(Table1[], MATCH(1,(Table1[Estuary]=Instructions!C671)*(Table1[StationNumber]=Instructions!D671)*(Instructions!B671&gt;Table1[StartDate])*(Instructions!B671&lt;Table1[EndDate]),0),1),"_1_",Instructions!E671,"_",Instructions!F671)</f>
        <v>TBSRVY_20190924_1_0291_1_014_013</v>
      </c>
      <c r="B664" t="str" cm="1">
        <f t="array" ref="B664">_xlfn.CONCAT(Instructions!C671,Instructions!A671,"_",TEXT(Instructions!B671,"YYYYMMDD"),"_1_",INDEX(Table1[], MATCH(1,(Table1[Estuary]=Instructions!C671)*(Table1[StationNumber]=Instructions!D671)*(Instructions!B671&gt;Table1[StartDate])*(Instructions!B671&lt;Table1[EndDate]),0),1),"_1_",Instructions!E671)</f>
        <v>TBSRVY_20190924_1_0291_1_014</v>
      </c>
      <c r="C664">
        <f>Instructions!G671</f>
        <v>5</v>
      </c>
      <c r="D664" t="str">
        <f>IF(ISBLANK(Instructions!H671),"",Instructions!H671)</f>
        <v>Entered</v>
      </c>
      <c r="E664" s="1">
        <f>IF(ISBLANK(Instructions!I671),"",Instructions!I671)</f>
        <v>45646</v>
      </c>
      <c r="F664" t="str">
        <f>IF(ISBLANK(Instructions!J671),"",Instructions!J671)</f>
        <v>Erica Williams</v>
      </c>
      <c r="G664" s="1" t="str">
        <f>IF(ISBLANK(Instructions!K671),"",Instructions!K671)</f>
        <v/>
      </c>
      <c r="H664" t="str">
        <f>IF(ISBLANK(Instructions!L671),"",Instructions!L671)</f>
        <v/>
      </c>
      <c r="I664" t="str">
        <f t="shared" si="24"/>
        <v>NULL</v>
      </c>
      <c r="J664" t="str">
        <f t="shared" si="24"/>
        <v>NULL</v>
      </c>
      <c r="K664" t="str">
        <f>Instructions!M671</f>
        <v>Added via SMSS</v>
      </c>
      <c r="L664" t="str">
        <f t="shared" si="22"/>
        <v>NULL</v>
      </c>
    </row>
    <row r="665" spans="1:12" x14ac:dyDescent="0.25">
      <c r="A665" t="str" cm="1">
        <f t="array" ref="A665">_xlfn.CONCAT(Instructions!C672,Instructions!A672,"_",TEXT(Instructions!B672,"YYYYMMDD"),"_1_",INDEX(Table1[], MATCH(1,(Table1[Estuary]=Instructions!C672)*(Table1[StationNumber]=Instructions!D672)*(Instructions!B672&gt;Table1[StartDate])*(Instructions!B672&lt;Table1[EndDate]),0),1),"_1_",Instructions!E672,"_",Instructions!F672)</f>
        <v>TBSRVY_20190924_1_0291_1_014_014</v>
      </c>
      <c r="B665" t="str" cm="1">
        <f t="array" ref="B665">_xlfn.CONCAT(Instructions!C672,Instructions!A672,"_",TEXT(Instructions!B672,"YYYYMMDD"),"_1_",INDEX(Table1[], MATCH(1,(Table1[Estuary]=Instructions!C672)*(Table1[StationNumber]=Instructions!D672)*(Instructions!B672&gt;Table1[StartDate])*(Instructions!B672&lt;Table1[EndDate]),0),1),"_1_",Instructions!E672)</f>
        <v>TBSRVY_20190924_1_0291_1_014</v>
      </c>
      <c r="C665">
        <f>Instructions!G672</f>
        <v>33</v>
      </c>
      <c r="D665" t="str">
        <f>IF(ISBLANK(Instructions!H672),"",Instructions!H672)</f>
        <v>Entered</v>
      </c>
      <c r="E665" s="1">
        <f>IF(ISBLANK(Instructions!I672),"",Instructions!I672)</f>
        <v>45646</v>
      </c>
      <c r="F665" t="str">
        <f>IF(ISBLANK(Instructions!J672),"",Instructions!J672)</f>
        <v>Erica Williams</v>
      </c>
      <c r="G665" s="1" t="str">
        <f>IF(ISBLANK(Instructions!K672),"",Instructions!K672)</f>
        <v/>
      </c>
      <c r="H665" t="str">
        <f>IF(ISBLANK(Instructions!L672),"",Instructions!L672)</f>
        <v/>
      </c>
      <c r="I665" t="str">
        <f t="shared" si="24"/>
        <v>NULL</v>
      </c>
      <c r="J665" t="str">
        <f t="shared" si="24"/>
        <v>NULL</v>
      </c>
      <c r="K665" t="str">
        <f>Instructions!M672</f>
        <v>Added via SMSS</v>
      </c>
      <c r="L665" t="str">
        <f t="shared" si="22"/>
        <v>NULL</v>
      </c>
    </row>
    <row r="666" spans="1:12" x14ac:dyDescent="0.25">
      <c r="A666" t="str" cm="1">
        <f t="array" ref="A666">_xlfn.CONCAT(Instructions!C673,Instructions!A673,"_",TEXT(Instructions!B673,"YYYYMMDD"),"_1_",INDEX(Table1[], MATCH(1,(Table1[Estuary]=Instructions!C673)*(Table1[StationNumber]=Instructions!D673)*(Instructions!B673&gt;Table1[StartDate])*(Instructions!B673&lt;Table1[EndDate]),0),1),"_1_",Instructions!E673,"_",Instructions!F673)</f>
        <v>TBSRVY_20190924_1_0291_1_014_015</v>
      </c>
      <c r="B666" t="str" cm="1">
        <f t="array" ref="B666">_xlfn.CONCAT(Instructions!C673,Instructions!A673,"_",TEXT(Instructions!B673,"YYYYMMDD"),"_1_",INDEX(Table1[], MATCH(1,(Table1[Estuary]=Instructions!C673)*(Table1[StationNumber]=Instructions!D673)*(Instructions!B673&gt;Table1[StartDate])*(Instructions!B673&lt;Table1[EndDate]),0),1),"_1_",Instructions!E673)</f>
        <v>TBSRVY_20190924_1_0291_1_014</v>
      </c>
      <c r="C666">
        <f>Instructions!G673</f>
        <v>4</v>
      </c>
      <c r="D666" t="str">
        <f>IF(ISBLANK(Instructions!H673),"",Instructions!H673)</f>
        <v>Entered</v>
      </c>
      <c r="E666" s="1">
        <f>IF(ISBLANK(Instructions!I673),"",Instructions!I673)</f>
        <v>45646</v>
      </c>
      <c r="F666" t="str">
        <f>IF(ISBLANK(Instructions!J673),"",Instructions!J673)</f>
        <v>Erica Williams</v>
      </c>
      <c r="G666" s="1" t="str">
        <f>IF(ISBLANK(Instructions!K673),"",Instructions!K673)</f>
        <v/>
      </c>
      <c r="H666" t="str">
        <f>IF(ISBLANK(Instructions!L673),"",Instructions!L673)</f>
        <v/>
      </c>
      <c r="I666" t="str">
        <f t="shared" si="24"/>
        <v>NULL</v>
      </c>
      <c r="J666" t="str">
        <f t="shared" si="24"/>
        <v>NULL</v>
      </c>
      <c r="K666" t="str">
        <f>Instructions!M673</f>
        <v>Added via SMSS</v>
      </c>
      <c r="L666" t="str">
        <f t="shared" si="22"/>
        <v>NULL</v>
      </c>
    </row>
    <row r="667" spans="1:12" x14ac:dyDescent="0.25">
      <c r="A667" t="str" cm="1">
        <f t="array" ref="A667">_xlfn.CONCAT(Instructions!C674,Instructions!A674,"_",TEXT(Instructions!B674,"YYYYMMDD"),"_1_",INDEX(Table1[], MATCH(1,(Table1[Estuary]=Instructions!C674)*(Table1[StationNumber]=Instructions!D674)*(Instructions!B674&gt;Table1[StartDate])*(Instructions!B674&lt;Table1[EndDate]),0),1),"_1_",Instructions!E674,"_",Instructions!F674)</f>
        <v>TBSRVY_20190924_1_0291_1_014_016</v>
      </c>
      <c r="B667" t="str" cm="1">
        <f t="array" ref="B667">_xlfn.CONCAT(Instructions!C674,Instructions!A674,"_",TEXT(Instructions!B674,"YYYYMMDD"),"_1_",INDEX(Table1[], MATCH(1,(Table1[Estuary]=Instructions!C674)*(Table1[StationNumber]=Instructions!D674)*(Instructions!B674&gt;Table1[StartDate])*(Instructions!B674&lt;Table1[EndDate]),0),1),"_1_",Instructions!E674)</f>
        <v>TBSRVY_20190924_1_0291_1_014</v>
      </c>
      <c r="C667">
        <f>Instructions!G674</f>
        <v>8</v>
      </c>
      <c r="D667" t="str">
        <f>IF(ISBLANK(Instructions!H674),"",Instructions!H674)</f>
        <v>Entered</v>
      </c>
      <c r="E667" s="1">
        <f>IF(ISBLANK(Instructions!I674),"",Instructions!I674)</f>
        <v>45646</v>
      </c>
      <c r="F667" t="str">
        <f>IF(ISBLANK(Instructions!J674),"",Instructions!J674)</f>
        <v>Erica Williams</v>
      </c>
      <c r="G667" s="1" t="str">
        <f>IF(ISBLANK(Instructions!K674),"",Instructions!K674)</f>
        <v/>
      </c>
      <c r="H667" t="str">
        <f>IF(ISBLANK(Instructions!L674),"",Instructions!L674)</f>
        <v/>
      </c>
      <c r="I667" t="str">
        <f t="shared" si="24"/>
        <v>NULL</v>
      </c>
      <c r="J667" t="str">
        <f t="shared" si="24"/>
        <v>NULL</v>
      </c>
      <c r="K667" t="str">
        <f>Instructions!M674</f>
        <v>Added via SMSS</v>
      </c>
      <c r="L667" t="str">
        <f t="shared" si="22"/>
        <v>NULL</v>
      </c>
    </row>
    <row r="668" spans="1:12" x14ac:dyDescent="0.25">
      <c r="A668" t="str" cm="1">
        <f t="array" ref="A668">_xlfn.CONCAT(Instructions!C675,Instructions!A675,"_",TEXT(Instructions!B675,"YYYYMMDD"),"_1_",INDEX(Table1[], MATCH(1,(Table1[Estuary]=Instructions!C675)*(Table1[StationNumber]=Instructions!D675)*(Instructions!B675&gt;Table1[StartDate])*(Instructions!B675&lt;Table1[EndDate]),0),1),"_1_",Instructions!E675,"_",Instructions!F675)</f>
        <v>TBSRVY_20190924_1_0291_1_014_017</v>
      </c>
      <c r="B668" t="str" cm="1">
        <f t="array" ref="B668">_xlfn.CONCAT(Instructions!C675,Instructions!A675,"_",TEXT(Instructions!B675,"YYYYMMDD"),"_1_",INDEX(Table1[], MATCH(1,(Table1[Estuary]=Instructions!C675)*(Table1[StationNumber]=Instructions!D675)*(Instructions!B675&gt;Table1[StartDate])*(Instructions!B675&lt;Table1[EndDate]),0),1),"_1_",Instructions!E675)</f>
        <v>TBSRVY_20190924_1_0291_1_014</v>
      </c>
      <c r="C668">
        <f>Instructions!G675</f>
        <v>5</v>
      </c>
      <c r="D668" t="str">
        <f>IF(ISBLANK(Instructions!H675),"",Instructions!H675)</f>
        <v>Entered</v>
      </c>
      <c r="E668" s="1">
        <f>IF(ISBLANK(Instructions!I675),"",Instructions!I675)</f>
        <v>45646</v>
      </c>
      <c r="F668" t="str">
        <f>IF(ISBLANK(Instructions!J675),"",Instructions!J675)</f>
        <v>Erica Williams</v>
      </c>
      <c r="G668" s="1" t="str">
        <f>IF(ISBLANK(Instructions!K675),"",Instructions!K675)</f>
        <v/>
      </c>
      <c r="H668" t="str">
        <f>IF(ISBLANK(Instructions!L675),"",Instructions!L675)</f>
        <v/>
      </c>
      <c r="I668" t="str">
        <f t="shared" si="24"/>
        <v>NULL</v>
      </c>
      <c r="J668" t="str">
        <f t="shared" si="24"/>
        <v>NULL</v>
      </c>
      <c r="K668" t="str">
        <f>Instructions!M675</f>
        <v>Added via SMSS</v>
      </c>
      <c r="L668" t="str">
        <f t="shared" si="22"/>
        <v>NULL</v>
      </c>
    </row>
    <row r="669" spans="1:12" x14ac:dyDescent="0.25">
      <c r="A669" t="str" cm="1">
        <f t="array" ref="A669">_xlfn.CONCAT(Instructions!C676,Instructions!A676,"_",TEXT(Instructions!B676,"YYYYMMDD"),"_1_",INDEX(Table1[], MATCH(1,(Table1[Estuary]=Instructions!C676)*(Table1[StationNumber]=Instructions!D676)*(Instructions!B676&gt;Table1[StartDate])*(Instructions!B676&lt;Table1[EndDate]),0),1),"_1_",Instructions!E676,"_",Instructions!F676)</f>
        <v>TBSRVY_20190924_1_0291_1_014_018</v>
      </c>
      <c r="B669" t="str" cm="1">
        <f t="array" ref="B669">_xlfn.CONCAT(Instructions!C676,Instructions!A676,"_",TEXT(Instructions!B676,"YYYYMMDD"),"_1_",INDEX(Table1[], MATCH(1,(Table1[Estuary]=Instructions!C676)*(Table1[StationNumber]=Instructions!D676)*(Instructions!B676&gt;Table1[StartDate])*(Instructions!B676&lt;Table1[EndDate]),0),1),"_1_",Instructions!E676)</f>
        <v>TBSRVY_20190924_1_0291_1_014</v>
      </c>
      <c r="C669">
        <f>Instructions!G676</f>
        <v>7</v>
      </c>
      <c r="D669" t="str">
        <f>IF(ISBLANK(Instructions!H676),"",Instructions!H676)</f>
        <v>Entered</v>
      </c>
      <c r="E669" s="1">
        <f>IF(ISBLANK(Instructions!I676),"",Instructions!I676)</f>
        <v>45646</v>
      </c>
      <c r="F669" t="str">
        <f>IF(ISBLANK(Instructions!J676),"",Instructions!J676)</f>
        <v>Erica Williams</v>
      </c>
      <c r="G669" s="1" t="str">
        <f>IF(ISBLANK(Instructions!K676),"",Instructions!K676)</f>
        <v/>
      </c>
      <c r="H669" t="str">
        <f>IF(ISBLANK(Instructions!L676),"",Instructions!L676)</f>
        <v/>
      </c>
      <c r="I669" t="str">
        <f t="shared" si="24"/>
        <v>NULL</v>
      </c>
      <c r="J669" t="str">
        <f t="shared" si="24"/>
        <v>NULL</v>
      </c>
      <c r="K669" t="str">
        <f>Instructions!M676</f>
        <v>Added via SMSS</v>
      </c>
      <c r="L669" t="str">
        <f t="shared" si="22"/>
        <v>NULL</v>
      </c>
    </row>
    <row r="670" spans="1:12" x14ac:dyDescent="0.25">
      <c r="A670" t="str" cm="1">
        <f t="array" ref="A670">_xlfn.CONCAT(Instructions!C677,Instructions!A677,"_",TEXT(Instructions!B677,"YYYYMMDD"),"_1_",INDEX(Table1[], MATCH(1,(Table1[Estuary]=Instructions!C677)*(Table1[StationNumber]=Instructions!D677)*(Instructions!B677&gt;Table1[StartDate])*(Instructions!B677&lt;Table1[EndDate]),0),1),"_1_",Instructions!E677,"_",Instructions!F677)</f>
        <v>TBSRVY_20190924_1_0291_1_014_019</v>
      </c>
      <c r="B670" t="str" cm="1">
        <f t="array" ref="B670">_xlfn.CONCAT(Instructions!C677,Instructions!A677,"_",TEXT(Instructions!B677,"YYYYMMDD"),"_1_",INDEX(Table1[], MATCH(1,(Table1[Estuary]=Instructions!C677)*(Table1[StationNumber]=Instructions!D677)*(Instructions!B677&gt;Table1[StartDate])*(Instructions!B677&lt;Table1[EndDate]),0),1),"_1_",Instructions!E677)</f>
        <v>TBSRVY_20190924_1_0291_1_014</v>
      </c>
      <c r="C670">
        <f>Instructions!G677</f>
        <v>55</v>
      </c>
      <c r="D670" t="str">
        <f>IF(ISBLANK(Instructions!H677),"",Instructions!H677)</f>
        <v>Entered</v>
      </c>
      <c r="E670" s="1">
        <f>IF(ISBLANK(Instructions!I677),"",Instructions!I677)</f>
        <v>45646</v>
      </c>
      <c r="F670" t="str">
        <f>IF(ISBLANK(Instructions!J677),"",Instructions!J677)</f>
        <v>Erica Williams</v>
      </c>
      <c r="G670" s="1" t="str">
        <f>IF(ISBLANK(Instructions!K677),"",Instructions!K677)</f>
        <v/>
      </c>
      <c r="H670" t="str">
        <f>IF(ISBLANK(Instructions!L677),"",Instructions!L677)</f>
        <v/>
      </c>
      <c r="I670" t="str">
        <f t="shared" si="24"/>
        <v>NULL</v>
      </c>
      <c r="J670" t="str">
        <f t="shared" si="24"/>
        <v>NULL</v>
      </c>
      <c r="K670" t="str">
        <f>Instructions!M677</f>
        <v>Added via SMSS</v>
      </c>
      <c r="L670" t="str">
        <f t="shared" si="22"/>
        <v>NULL</v>
      </c>
    </row>
    <row r="671" spans="1:12" x14ac:dyDescent="0.25">
      <c r="A671" t="str" cm="1">
        <f t="array" ref="A671">_xlfn.CONCAT(Instructions!C678,Instructions!A678,"_",TEXT(Instructions!B678,"YYYYMMDD"),"_1_",INDEX(Table1[], MATCH(1,(Table1[Estuary]=Instructions!C678)*(Table1[StationNumber]=Instructions!D678)*(Instructions!B678&gt;Table1[StartDate])*(Instructions!B678&lt;Table1[EndDate]),0),1),"_1_",Instructions!E678,"_",Instructions!F678)</f>
        <v>TBSRVY_20190924_1_0291_1_014_020</v>
      </c>
      <c r="B671" t="str" cm="1">
        <f t="array" ref="B671">_xlfn.CONCAT(Instructions!C678,Instructions!A678,"_",TEXT(Instructions!B678,"YYYYMMDD"),"_1_",INDEX(Table1[], MATCH(1,(Table1[Estuary]=Instructions!C678)*(Table1[StationNumber]=Instructions!D678)*(Instructions!B678&gt;Table1[StartDate])*(Instructions!B678&lt;Table1[EndDate]),0),1),"_1_",Instructions!E678)</f>
        <v>TBSRVY_20190924_1_0291_1_014</v>
      </c>
      <c r="C671">
        <f>Instructions!G678</f>
        <v>63</v>
      </c>
      <c r="D671" t="str">
        <f>IF(ISBLANK(Instructions!H678),"",Instructions!H678)</f>
        <v>Entered</v>
      </c>
      <c r="E671" s="1">
        <f>IF(ISBLANK(Instructions!I678),"",Instructions!I678)</f>
        <v>45646</v>
      </c>
      <c r="F671" t="str">
        <f>IF(ISBLANK(Instructions!J678),"",Instructions!J678)</f>
        <v>Erica Williams</v>
      </c>
      <c r="G671" s="1" t="str">
        <f>IF(ISBLANK(Instructions!K678),"",Instructions!K678)</f>
        <v/>
      </c>
      <c r="H671" t="str">
        <f>IF(ISBLANK(Instructions!L678),"",Instructions!L678)</f>
        <v/>
      </c>
      <c r="I671" t="str">
        <f t="shared" si="24"/>
        <v>NULL</v>
      </c>
      <c r="J671" t="str">
        <f t="shared" si="24"/>
        <v>NULL</v>
      </c>
      <c r="K671" t="str">
        <f>Instructions!M678</f>
        <v>Added via SMSS</v>
      </c>
      <c r="L671" t="str">
        <f t="shared" si="22"/>
        <v>NULL</v>
      </c>
    </row>
    <row r="672" spans="1:12" x14ac:dyDescent="0.25">
      <c r="A672" t="str" cm="1">
        <f t="array" ref="A672">_xlfn.CONCAT(Instructions!C679,Instructions!A679,"_",TEXT(Instructions!B679,"YYYYMMDD"),"_1_",INDEX(Table1[], MATCH(1,(Table1[Estuary]=Instructions!C679)*(Table1[StationNumber]=Instructions!D679)*(Instructions!B679&gt;Table1[StartDate])*(Instructions!B679&lt;Table1[EndDate]),0),1),"_1_",Instructions!E679,"_",Instructions!F679)</f>
        <v>TBSRVY_20190924_1_0291_1_014_021</v>
      </c>
      <c r="B672" t="str" cm="1">
        <f t="array" ref="B672">_xlfn.CONCAT(Instructions!C679,Instructions!A679,"_",TEXT(Instructions!B679,"YYYYMMDD"),"_1_",INDEX(Table1[], MATCH(1,(Table1[Estuary]=Instructions!C679)*(Table1[StationNumber]=Instructions!D679)*(Instructions!B679&gt;Table1[StartDate])*(Instructions!B679&lt;Table1[EndDate]),0),1),"_1_",Instructions!E679)</f>
        <v>TBSRVY_20190924_1_0291_1_014</v>
      </c>
      <c r="C672">
        <f>Instructions!G679</f>
        <v>8</v>
      </c>
      <c r="D672" t="str">
        <f>IF(ISBLANK(Instructions!H679),"",Instructions!H679)</f>
        <v>Entered</v>
      </c>
      <c r="E672" s="1">
        <f>IF(ISBLANK(Instructions!I679),"",Instructions!I679)</f>
        <v>45646</v>
      </c>
      <c r="F672" t="str">
        <f>IF(ISBLANK(Instructions!J679),"",Instructions!J679)</f>
        <v>Erica Williams</v>
      </c>
      <c r="G672" s="1" t="str">
        <f>IF(ISBLANK(Instructions!K679),"",Instructions!K679)</f>
        <v/>
      </c>
      <c r="H672" t="str">
        <f>IF(ISBLANK(Instructions!L679),"",Instructions!L679)</f>
        <v/>
      </c>
      <c r="I672" t="str">
        <f t="shared" si="24"/>
        <v>NULL</v>
      </c>
      <c r="J672" t="str">
        <f t="shared" si="24"/>
        <v>NULL</v>
      </c>
      <c r="K672" t="str">
        <f>Instructions!M679</f>
        <v>Added via SMSS</v>
      </c>
      <c r="L672" t="str">
        <f t="shared" si="22"/>
        <v>NULL</v>
      </c>
    </row>
    <row r="673" spans="1:12" x14ac:dyDescent="0.25">
      <c r="A673" t="str" cm="1">
        <f t="array" ref="A673">_xlfn.CONCAT(Instructions!C680,Instructions!A680,"_",TEXT(Instructions!B680,"YYYYMMDD"),"_1_",INDEX(Table1[], MATCH(1,(Table1[Estuary]=Instructions!C680)*(Table1[StationNumber]=Instructions!D680)*(Instructions!B680&gt;Table1[StartDate])*(Instructions!B680&lt;Table1[EndDate]),0),1),"_1_",Instructions!E680,"_",Instructions!F680)</f>
        <v>TBSRVY_20190924_1_0291_1_014_022</v>
      </c>
      <c r="B673" t="str" cm="1">
        <f t="array" ref="B673">_xlfn.CONCAT(Instructions!C680,Instructions!A680,"_",TEXT(Instructions!B680,"YYYYMMDD"),"_1_",INDEX(Table1[], MATCH(1,(Table1[Estuary]=Instructions!C680)*(Table1[StationNumber]=Instructions!D680)*(Instructions!B680&gt;Table1[StartDate])*(Instructions!B680&lt;Table1[EndDate]),0),1),"_1_",Instructions!E680)</f>
        <v>TBSRVY_20190924_1_0291_1_014</v>
      </c>
      <c r="C673">
        <f>Instructions!G680</f>
        <v>18</v>
      </c>
      <c r="D673" t="str">
        <f>IF(ISBLANK(Instructions!H680),"",Instructions!H680)</f>
        <v>Entered</v>
      </c>
      <c r="E673" s="1">
        <f>IF(ISBLANK(Instructions!I680),"",Instructions!I680)</f>
        <v>45646</v>
      </c>
      <c r="F673" t="str">
        <f>IF(ISBLANK(Instructions!J680),"",Instructions!J680)</f>
        <v>Erica Williams</v>
      </c>
      <c r="G673" s="1" t="str">
        <f>IF(ISBLANK(Instructions!K680),"",Instructions!K680)</f>
        <v/>
      </c>
      <c r="H673" t="str">
        <f>IF(ISBLANK(Instructions!L680),"",Instructions!L680)</f>
        <v/>
      </c>
      <c r="I673" t="str">
        <f t="shared" si="24"/>
        <v>NULL</v>
      </c>
      <c r="J673" t="str">
        <f t="shared" si="24"/>
        <v>NULL</v>
      </c>
      <c r="K673" t="str">
        <f>Instructions!M680</f>
        <v>Added via SMSS</v>
      </c>
      <c r="L673" t="str">
        <f t="shared" si="22"/>
        <v>NULL</v>
      </c>
    </row>
    <row r="674" spans="1:12" x14ac:dyDescent="0.25">
      <c r="A674" t="str" cm="1">
        <f t="array" ref="A674">_xlfn.CONCAT(Instructions!C681,Instructions!A681,"_",TEXT(Instructions!B681,"YYYYMMDD"),"_1_",INDEX(Table1[], MATCH(1,(Table1[Estuary]=Instructions!C681)*(Table1[StationNumber]=Instructions!D681)*(Instructions!B681&gt;Table1[StartDate])*(Instructions!B681&lt;Table1[EndDate]),0),1),"_1_",Instructions!E681,"_",Instructions!F681)</f>
        <v>TBSRVY_20190924_1_0291_1_014_023</v>
      </c>
      <c r="B674" t="str" cm="1">
        <f t="array" ref="B674">_xlfn.CONCAT(Instructions!C681,Instructions!A681,"_",TEXT(Instructions!B681,"YYYYMMDD"),"_1_",INDEX(Table1[], MATCH(1,(Table1[Estuary]=Instructions!C681)*(Table1[StationNumber]=Instructions!D681)*(Instructions!B681&gt;Table1[StartDate])*(Instructions!B681&lt;Table1[EndDate]),0),1),"_1_",Instructions!E681)</f>
        <v>TBSRVY_20190924_1_0291_1_014</v>
      </c>
      <c r="C674">
        <f>Instructions!G681</f>
        <v>25</v>
      </c>
      <c r="D674" t="str">
        <f>IF(ISBLANK(Instructions!H681),"",Instructions!H681)</f>
        <v>Entered</v>
      </c>
      <c r="E674" s="1">
        <f>IF(ISBLANK(Instructions!I681),"",Instructions!I681)</f>
        <v>45646</v>
      </c>
      <c r="F674" t="str">
        <f>IF(ISBLANK(Instructions!J681),"",Instructions!J681)</f>
        <v>Erica Williams</v>
      </c>
      <c r="G674" s="1" t="str">
        <f>IF(ISBLANK(Instructions!K681),"",Instructions!K681)</f>
        <v/>
      </c>
      <c r="H674" t="str">
        <f>IF(ISBLANK(Instructions!L681),"",Instructions!L681)</f>
        <v/>
      </c>
      <c r="I674" t="str">
        <f t="shared" si="24"/>
        <v>NULL</v>
      </c>
      <c r="J674" t="str">
        <f t="shared" si="24"/>
        <v>NULL</v>
      </c>
      <c r="K674" t="str">
        <f>Instructions!M681</f>
        <v>Added via SMSS</v>
      </c>
      <c r="L674" t="str">
        <f t="shared" si="22"/>
        <v>NULL</v>
      </c>
    </row>
    <row r="675" spans="1:12" x14ac:dyDescent="0.25">
      <c r="A675" t="str" cm="1">
        <f t="array" ref="A675">_xlfn.CONCAT(Instructions!C682,Instructions!A682,"_",TEXT(Instructions!B682,"YYYYMMDD"),"_1_",INDEX(Table1[], MATCH(1,(Table1[Estuary]=Instructions!C682)*(Table1[StationNumber]=Instructions!D682)*(Instructions!B682&gt;Table1[StartDate])*(Instructions!B682&lt;Table1[EndDate]),0),1),"_1_",Instructions!E682,"_",Instructions!F682)</f>
        <v>TBSRVY_20190924_1_0291_1_014_024</v>
      </c>
      <c r="B675" t="str" cm="1">
        <f t="array" ref="B675">_xlfn.CONCAT(Instructions!C682,Instructions!A682,"_",TEXT(Instructions!B682,"YYYYMMDD"),"_1_",INDEX(Table1[], MATCH(1,(Table1[Estuary]=Instructions!C682)*(Table1[StationNumber]=Instructions!D682)*(Instructions!B682&gt;Table1[StartDate])*(Instructions!B682&lt;Table1[EndDate]),0),1),"_1_",Instructions!E682)</f>
        <v>TBSRVY_20190924_1_0291_1_014</v>
      </c>
      <c r="C675">
        <f>Instructions!G682</f>
        <v>11</v>
      </c>
      <c r="D675" t="str">
        <f>IF(ISBLANK(Instructions!H682),"",Instructions!H682)</f>
        <v>Entered</v>
      </c>
      <c r="E675" s="1">
        <f>IF(ISBLANK(Instructions!I682),"",Instructions!I682)</f>
        <v>45646</v>
      </c>
      <c r="F675" t="str">
        <f>IF(ISBLANK(Instructions!J682),"",Instructions!J682)</f>
        <v>Erica Williams</v>
      </c>
      <c r="G675" s="1" t="str">
        <f>IF(ISBLANK(Instructions!K682),"",Instructions!K682)</f>
        <v/>
      </c>
      <c r="H675" t="str">
        <f>IF(ISBLANK(Instructions!L682),"",Instructions!L682)</f>
        <v/>
      </c>
      <c r="I675" t="str">
        <f t="shared" si="24"/>
        <v>NULL</v>
      </c>
      <c r="J675" t="str">
        <f t="shared" si="24"/>
        <v>NULL</v>
      </c>
      <c r="K675" t="str">
        <f>Instructions!M682</f>
        <v>Added via SMSS</v>
      </c>
      <c r="L675" t="str">
        <f t="shared" si="22"/>
        <v>NULL</v>
      </c>
    </row>
    <row r="676" spans="1:12" x14ac:dyDescent="0.25">
      <c r="A676" t="str" cm="1">
        <f t="array" ref="A676">_xlfn.CONCAT(Instructions!C683,Instructions!A683,"_",TEXT(Instructions!B683,"YYYYMMDD"),"_1_",INDEX(Table1[], MATCH(1,(Table1[Estuary]=Instructions!C683)*(Table1[StationNumber]=Instructions!D683)*(Instructions!B683&gt;Table1[StartDate])*(Instructions!B683&lt;Table1[EndDate]),0),1),"_1_",Instructions!E683,"_",Instructions!F683)</f>
        <v>TBSRVY_20190924_1_0291_1_014_025</v>
      </c>
      <c r="B676" t="str" cm="1">
        <f t="array" ref="B676">_xlfn.CONCAT(Instructions!C683,Instructions!A683,"_",TEXT(Instructions!B683,"YYYYMMDD"),"_1_",INDEX(Table1[], MATCH(1,(Table1[Estuary]=Instructions!C683)*(Table1[StationNumber]=Instructions!D683)*(Instructions!B683&gt;Table1[StartDate])*(Instructions!B683&lt;Table1[EndDate]),0),1),"_1_",Instructions!E683)</f>
        <v>TBSRVY_20190924_1_0291_1_014</v>
      </c>
      <c r="C676">
        <f>Instructions!G683</f>
        <v>10</v>
      </c>
      <c r="D676" t="str">
        <f>IF(ISBLANK(Instructions!H683),"",Instructions!H683)</f>
        <v>Entered</v>
      </c>
      <c r="E676" s="1">
        <f>IF(ISBLANK(Instructions!I683),"",Instructions!I683)</f>
        <v>45646</v>
      </c>
      <c r="F676" t="str">
        <f>IF(ISBLANK(Instructions!J683),"",Instructions!J683)</f>
        <v>Erica Williams</v>
      </c>
      <c r="G676" s="1" t="str">
        <f>IF(ISBLANK(Instructions!K683),"",Instructions!K683)</f>
        <v/>
      </c>
      <c r="H676" t="str">
        <f>IF(ISBLANK(Instructions!L683),"",Instructions!L683)</f>
        <v/>
      </c>
      <c r="I676" t="str">
        <f t="shared" si="24"/>
        <v>NULL</v>
      </c>
      <c r="J676" t="str">
        <f t="shared" si="24"/>
        <v>NULL</v>
      </c>
      <c r="K676" t="str">
        <f>Instructions!M683</f>
        <v>Added via SMSS</v>
      </c>
      <c r="L676" t="str">
        <f t="shared" si="22"/>
        <v>NULL</v>
      </c>
    </row>
    <row r="677" spans="1:12" x14ac:dyDescent="0.25">
      <c r="A677" t="str" cm="1">
        <f t="array" ref="A677">_xlfn.CONCAT(Instructions!C684,Instructions!A684,"_",TEXT(Instructions!B684,"YYYYMMDD"),"_1_",INDEX(Table1[], MATCH(1,(Table1[Estuary]=Instructions!C684)*(Table1[StationNumber]=Instructions!D684)*(Instructions!B684&gt;Table1[StartDate])*(Instructions!B684&lt;Table1[EndDate]),0),1),"_1_",Instructions!E684,"_",Instructions!F684)</f>
        <v>TBSRVY_20190924_1_0291_1_014_026</v>
      </c>
      <c r="B677" t="str" cm="1">
        <f t="array" ref="B677">_xlfn.CONCAT(Instructions!C684,Instructions!A684,"_",TEXT(Instructions!B684,"YYYYMMDD"),"_1_",INDEX(Table1[], MATCH(1,(Table1[Estuary]=Instructions!C684)*(Table1[StationNumber]=Instructions!D684)*(Instructions!B684&gt;Table1[StartDate])*(Instructions!B684&lt;Table1[EndDate]),0),1),"_1_",Instructions!E684)</f>
        <v>TBSRVY_20190924_1_0291_1_014</v>
      </c>
      <c r="C677">
        <f>Instructions!G684</f>
        <v>30</v>
      </c>
      <c r="D677" t="str">
        <f>IF(ISBLANK(Instructions!H684),"",Instructions!H684)</f>
        <v>Entered</v>
      </c>
      <c r="E677" s="1">
        <f>IF(ISBLANK(Instructions!I684),"",Instructions!I684)</f>
        <v>45646</v>
      </c>
      <c r="F677" t="str">
        <f>IF(ISBLANK(Instructions!J684),"",Instructions!J684)</f>
        <v>Erica Williams</v>
      </c>
      <c r="G677" s="1" t="str">
        <f>IF(ISBLANK(Instructions!K684),"",Instructions!K684)</f>
        <v/>
      </c>
      <c r="H677" t="str">
        <f>IF(ISBLANK(Instructions!L684),"",Instructions!L684)</f>
        <v/>
      </c>
      <c r="I677" t="str">
        <f t="shared" si="24"/>
        <v>NULL</v>
      </c>
      <c r="J677" t="str">
        <f t="shared" ref="J677" si="25">"NULL"</f>
        <v>NULL</v>
      </c>
      <c r="K677" t="str">
        <f>Instructions!M684</f>
        <v>Added via SMSS</v>
      </c>
      <c r="L677" t="str">
        <f t="shared" si="22"/>
        <v>NULL</v>
      </c>
    </row>
    <row r="678" spans="1:12" x14ac:dyDescent="0.25">
      <c r="A678" t="str" cm="1">
        <f t="array" ref="A678">_xlfn.CONCAT(Instructions!C685,Instructions!A685,"_",TEXT(Instructions!B685,"YYYYMMDD"),"_1_",INDEX(Table1[], MATCH(1,(Table1[Estuary]=Instructions!C685)*(Table1[StationNumber]=Instructions!D685)*(Instructions!B685&gt;Table1[StartDate])*(Instructions!B685&lt;Table1[EndDate]),0),1),"_1_",Instructions!E685,"_",Instructions!F685)</f>
        <v>TBSRVY_20190924_1_0291_1_014_027</v>
      </c>
      <c r="B678" t="str" cm="1">
        <f t="array" ref="B678">_xlfn.CONCAT(Instructions!C685,Instructions!A685,"_",TEXT(Instructions!B685,"YYYYMMDD"),"_1_",INDEX(Table1[], MATCH(1,(Table1[Estuary]=Instructions!C685)*(Table1[StationNumber]=Instructions!D685)*(Instructions!B685&gt;Table1[StartDate])*(Instructions!B685&lt;Table1[EndDate]),0),1),"_1_",Instructions!E685)</f>
        <v>TBSRVY_20190924_1_0291_1_014</v>
      </c>
      <c r="C678">
        <f>Instructions!G685</f>
        <v>33</v>
      </c>
      <c r="D678" t="str">
        <f>IF(ISBLANK(Instructions!H685),"",Instructions!H685)</f>
        <v>Entered</v>
      </c>
      <c r="E678" s="1">
        <f>IF(ISBLANK(Instructions!I685),"",Instructions!I685)</f>
        <v>45646</v>
      </c>
      <c r="F678" t="str">
        <f>IF(ISBLANK(Instructions!J685),"",Instructions!J685)</f>
        <v>Erica Williams</v>
      </c>
      <c r="G678" s="1" t="str">
        <f>IF(ISBLANK(Instructions!K685),"",Instructions!K685)</f>
        <v/>
      </c>
      <c r="H678" t="str">
        <f>IF(ISBLANK(Instructions!L685),"",Instructions!L685)</f>
        <v/>
      </c>
      <c r="I678" t="str">
        <f t="shared" ref="I678:J741" si="26">"NULL"</f>
        <v>NULL</v>
      </c>
      <c r="J678" t="str">
        <f t="shared" si="26"/>
        <v>NULL</v>
      </c>
      <c r="K678" t="str">
        <f>Instructions!M685</f>
        <v>Added via SMSS</v>
      </c>
      <c r="L678" t="str">
        <f t="shared" si="22"/>
        <v>NULL</v>
      </c>
    </row>
    <row r="679" spans="1:12" x14ac:dyDescent="0.25">
      <c r="A679" t="str" cm="1">
        <f t="array" ref="A679">_xlfn.CONCAT(Instructions!C686,Instructions!A686,"_",TEXT(Instructions!B686,"YYYYMMDD"),"_1_",INDEX(Table1[], MATCH(1,(Table1[Estuary]=Instructions!C686)*(Table1[StationNumber]=Instructions!D686)*(Instructions!B686&gt;Table1[StartDate])*(Instructions!B686&lt;Table1[EndDate]),0),1),"_1_",Instructions!E686,"_",Instructions!F686)</f>
        <v>TBSRVY_20190924_1_0291_1_014_028</v>
      </c>
      <c r="B679" t="str" cm="1">
        <f t="array" ref="B679">_xlfn.CONCAT(Instructions!C686,Instructions!A686,"_",TEXT(Instructions!B686,"YYYYMMDD"),"_1_",INDEX(Table1[], MATCH(1,(Table1[Estuary]=Instructions!C686)*(Table1[StationNumber]=Instructions!D686)*(Instructions!B686&gt;Table1[StartDate])*(Instructions!B686&lt;Table1[EndDate]),0),1),"_1_",Instructions!E686)</f>
        <v>TBSRVY_20190924_1_0291_1_014</v>
      </c>
      <c r="C679">
        <f>Instructions!G686</f>
        <v>26</v>
      </c>
      <c r="D679" t="str">
        <f>IF(ISBLANK(Instructions!H686),"",Instructions!H686)</f>
        <v>Entered</v>
      </c>
      <c r="E679" s="1">
        <f>IF(ISBLANK(Instructions!I686),"",Instructions!I686)</f>
        <v>45646</v>
      </c>
      <c r="F679" t="str">
        <f>IF(ISBLANK(Instructions!J686),"",Instructions!J686)</f>
        <v>Erica Williams</v>
      </c>
      <c r="G679" s="1" t="str">
        <f>IF(ISBLANK(Instructions!K686),"",Instructions!K686)</f>
        <v/>
      </c>
      <c r="H679" t="str">
        <f>IF(ISBLANK(Instructions!L686),"",Instructions!L686)</f>
        <v/>
      </c>
      <c r="I679" t="str">
        <f t="shared" si="26"/>
        <v>NULL</v>
      </c>
      <c r="J679" t="str">
        <f t="shared" si="26"/>
        <v>NULL</v>
      </c>
      <c r="K679" t="str">
        <f>Instructions!M686</f>
        <v>Added via SMSS</v>
      </c>
      <c r="L679" t="str">
        <f t="shared" si="22"/>
        <v>NULL</v>
      </c>
    </row>
    <row r="680" spans="1:12" x14ac:dyDescent="0.25">
      <c r="A680" t="str" cm="1">
        <f t="array" ref="A680">_xlfn.CONCAT(Instructions!C687,Instructions!A687,"_",TEXT(Instructions!B687,"YYYYMMDD"),"_1_",INDEX(Table1[], MATCH(1,(Table1[Estuary]=Instructions!C687)*(Table1[StationNumber]=Instructions!D687)*(Instructions!B687&gt;Table1[StartDate])*(Instructions!B687&lt;Table1[EndDate]),0),1),"_1_",Instructions!E687,"_",Instructions!F687)</f>
        <v>TBSRVY_20190924_1_0291_1_014_029</v>
      </c>
      <c r="B680" t="str" cm="1">
        <f t="array" ref="B680">_xlfn.CONCAT(Instructions!C687,Instructions!A687,"_",TEXT(Instructions!B687,"YYYYMMDD"),"_1_",INDEX(Table1[], MATCH(1,(Table1[Estuary]=Instructions!C687)*(Table1[StationNumber]=Instructions!D687)*(Instructions!B687&gt;Table1[StartDate])*(Instructions!B687&lt;Table1[EndDate]),0),1),"_1_",Instructions!E687)</f>
        <v>TBSRVY_20190924_1_0291_1_014</v>
      </c>
      <c r="C680">
        <f>Instructions!G687</f>
        <v>21</v>
      </c>
      <c r="D680" t="str">
        <f>IF(ISBLANK(Instructions!H687),"",Instructions!H687)</f>
        <v>Entered</v>
      </c>
      <c r="E680" s="1">
        <f>IF(ISBLANK(Instructions!I687),"",Instructions!I687)</f>
        <v>45646</v>
      </c>
      <c r="F680" t="str">
        <f>IF(ISBLANK(Instructions!J687),"",Instructions!J687)</f>
        <v>Erica Williams</v>
      </c>
      <c r="G680" s="1" t="str">
        <f>IF(ISBLANK(Instructions!K687),"",Instructions!K687)</f>
        <v/>
      </c>
      <c r="H680" t="str">
        <f>IF(ISBLANK(Instructions!L687),"",Instructions!L687)</f>
        <v/>
      </c>
      <c r="I680" t="str">
        <f t="shared" si="26"/>
        <v>NULL</v>
      </c>
      <c r="J680" t="str">
        <f t="shared" si="26"/>
        <v>NULL</v>
      </c>
      <c r="K680" t="str">
        <f>Instructions!M687</f>
        <v>Added via SMSS</v>
      </c>
      <c r="L680" t="str">
        <f t="shared" si="22"/>
        <v>NULL</v>
      </c>
    </row>
    <row r="681" spans="1:12" x14ac:dyDescent="0.25">
      <c r="A681" t="str" cm="1">
        <f t="array" ref="A681">_xlfn.CONCAT(Instructions!C688,Instructions!A688,"_",TEXT(Instructions!B688,"YYYYMMDD"),"_1_",INDEX(Table1[], MATCH(1,(Table1[Estuary]=Instructions!C688)*(Table1[StationNumber]=Instructions!D688)*(Instructions!B688&gt;Table1[StartDate])*(Instructions!B688&lt;Table1[EndDate]),0),1),"_1_",Instructions!E688,"_",Instructions!F688)</f>
        <v>TBSRVY_20190924_1_0291_1_014_030</v>
      </c>
      <c r="B681" t="str" cm="1">
        <f t="array" ref="B681">_xlfn.CONCAT(Instructions!C688,Instructions!A688,"_",TEXT(Instructions!B688,"YYYYMMDD"),"_1_",INDEX(Table1[], MATCH(1,(Table1[Estuary]=Instructions!C688)*(Table1[StationNumber]=Instructions!D688)*(Instructions!B688&gt;Table1[StartDate])*(Instructions!B688&lt;Table1[EndDate]),0),1),"_1_",Instructions!E688)</f>
        <v>TBSRVY_20190924_1_0291_1_014</v>
      </c>
      <c r="C681">
        <f>Instructions!G688</f>
        <v>23</v>
      </c>
      <c r="D681" t="str">
        <f>IF(ISBLANK(Instructions!H688),"",Instructions!H688)</f>
        <v>Entered</v>
      </c>
      <c r="E681" s="1">
        <f>IF(ISBLANK(Instructions!I688),"",Instructions!I688)</f>
        <v>45646</v>
      </c>
      <c r="F681" t="str">
        <f>IF(ISBLANK(Instructions!J688),"",Instructions!J688)</f>
        <v>Erica Williams</v>
      </c>
      <c r="G681" s="1" t="str">
        <f>IF(ISBLANK(Instructions!K688),"",Instructions!K688)</f>
        <v/>
      </c>
      <c r="H681" t="str">
        <f>IF(ISBLANK(Instructions!L688),"",Instructions!L688)</f>
        <v/>
      </c>
      <c r="I681" t="str">
        <f t="shared" si="26"/>
        <v>NULL</v>
      </c>
      <c r="J681" t="str">
        <f t="shared" si="26"/>
        <v>NULL</v>
      </c>
      <c r="K681" t="str">
        <f>Instructions!M688</f>
        <v>Added via SMSS</v>
      </c>
      <c r="L681" t="str">
        <f t="shared" si="22"/>
        <v>NULL</v>
      </c>
    </row>
    <row r="682" spans="1:12" x14ac:dyDescent="0.25">
      <c r="A682" t="str" cm="1">
        <f t="array" ref="A682">_xlfn.CONCAT(Instructions!C689,Instructions!A689,"_",TEXT(Instructions!B689,"YYYYMMDD"),"_1_",INDEX(Table1[], MATCH(1,(Table1[Estuary]=Instructions!C689)*(Table1[StationNumber]=Instructions!D689)*(Instructions!B689&gt;Table1[StartDate])*(Instructions!B689&lt;Table1[EndDate]),0),1),"_1_",Instructions!E689,"_",Instructions!F689)</f>
        <v>TBSRVY_20190924_1_0291_1_014_031</v>
      </c>
      <c r="B682" t="str" cm="1">
        <f t="array" ref="B682">_xlfn.CONCAT(Instructions!C689,Instructions!A689,"_",TEXT(Instructions!B689,"YYYYMMDD"),"_1_",INDEX(Table1[], MATCH(1,(Table1[Estuary]=Instructions!C689)*(Table1[StationNumber]=Instructions!D689)*(Instructions!B689&gt;Table1[StartDate])*(Instructions!B689&lt;Table1[EndDate]),0),1),"_1_",Instructions!E689)</f>
        <v>TBSRVY_20190924_1_0291_1_014</v>
      </c>
      <c r="C682">
        <f>Instructions!G689</f>
        <v>28</v>
      </c>
      <c r="D682" t="str">
        <f>IF(ISBLANK(Instructions!H689),"",Instructions!H689)</f>
        <v>Entered</v>
      </c>
      <c r="E682" s="1">
        <f>IF(ISBLANK(Instructions!I689),"",Instructions!I689)</f>
        <v>45646</v>
      </c>
      <c r="F682" t="str">
        <f>IF(ISBLANK(Instructions!J689),"",Instructions!J689)</f>
        <v>Erica Williams</v>
      </c>
      <c r="G682" s="1" t="str">
        <f>IF(ISBLANK(Instructions!K689),"",Instructions!K689)</f>
        <v/>
      </c>
      <c r="H682" t="str">
        <f>IF(ISBLANK(Instructions!L689),"",Instructions!L689)</f>
        <v/>
      </c>
      <c r="I682" t="str">
        <f t="shared" si="26"/>
        <v>NULL</v>
      </c>
      <c r="J682" t="str">
        <f t="shared" si="26"/>
        <v>NULL</v>
      </c>
      <c r="K682" t="str">
        <f>Instructions!M689</f>
        <v>Added via SMSS</v>
      </c>
      <c r="L682" t="str">
        <f t="shared" si="22"/>
        <v>NULL</v>
      </c>
    </row>
    <row r="683" spans="1:12" x14ac:dyDescent="0.25">
      <c r="A683" t="str" cm="1">
        <f t="array" ref="A683">_xlfn.CONCAT(Instructions!C690,Instructions!A690,"_",TEXT(Instructions!B690,"YYYYMMDD"),"_1_",INDEX(Table1[], MATCH(1,(Table1[Estuary]=Instructions!C690)*(Table1[StationNumber]=Instructions!D690)*(Instructions!B690&gt;Table1[StartDate])*(Instructions!B690&lt;Table1[EndDate]),0),1),"_1_",Instructions!E690,"_",Instructions!F690)</f>
        <v>TBSRVY_20190924_1_0291_1_014_032</v>
      </c>
      <c r="B683" t="str" cm="1">
        <f t="array" ref="B683">_xlfn.CONCAT(Instructions!C690,Instructions!A690,"_",TEXT(Instructions!B690,"YYYYMMDD"),"_1_",INDEX(Table1[], MATCH(1,(Table1[Estuary]=Instructions!C690)*(Table1[StationNumber]=Instructions!D690)*(Instructions!B690&gt;Table1[StartDate])*(Instructions!B690&lt;Table1[EndDate]),0),1),"_1_",Instructions!E690)</f>
        <v>TBSRVY_20190924_1_0291_1_014</v>
      </c>
      <c r="C683">
        <f>Instructions!G690</f>
        <v>40</v>
      </c>
      <c r="D683" t="str">
        <f>IF(ISBLANK(Instructions!H690),"",Instructions!H690)</f>
        <v>Entered</v>
      </c>
      <c r="E683" s="1">
        <f>IF(ISBLANK(Instructions!I690),"",Instructions!I690)</f>
        <v>45646</v>
      </c>
      <c r="F683" t="str">
        <f>IF(ISBLANK(Instructions!J690),"",Instructions!J690)</f>
        <v>Erica Williams</v>
      </c>
      <c r="G683" s="1" t="str">
        <f>IF(ISBLANK(Instructions!K690),"",Instructions!K690)</f>
        <v/>
      </c>
      <c r="H683" t="str">
        <f>IF(ISBLANK(Instructions!L690),"",Instructions!L690)</f>
        <v/>
      </c>
      <c r="I683" t="str">
        <f t="shared" si="26"/>
        <v>NULL</v>
      </c>
      <c r="J683" t="str">
        <f t="shared" si="26"/>
        <v>NULL</v>
      </c>
      <c r="K683" t="str">
        <f>Instructions!M690</f>
        <v>Added via SMSS</v>
      </c>
      <c r="L683" t="str">
        <f t="shared" si="22"/>
        <v>NULL</v>
      </c>
    </row>
    <row r="684" spans="1:12" x14ac:dyDescent="0.25">
      <c r="A684" t="str" cm="1">
        <f t="array" ref="A684">_xlfn.CONCAT(Instructions!C691,Instructions!A691,"_",TEXT(Instructions!B691,"YYYYMMDD"),"_1_",INDEX(Table1[], MATCH(1,(Table1[Estuary]=Instructions!C691)*(Table1[StationNumber]=Instructions!D691)*(Instructions!B691&gt;Table1[StartDate])*(Instructions!B691&lt;Table1[EndDate]),0),1),"_1_",Instructions!E691,"_",Instructions!F691)</f>
        <v>TBSRVY_20190924_1_0291_1_014_033</v>
      </c>
      <c r="B684" t="str" cm="1">
        <f t="array" ref="B684">_xlfn.CONCAT(Instructions!C691,Instructions!A691,"_",TEXT(Instructions!B691,"YYYYMMDD"),"_1_",INDEX(Table1[], MATCH(1,(Table1[Estuary]=Instructions!C691)*(Table1[StationNumber]=Instructions!D691)*(Instructions!B691&gt;Table1[StartDate])*(Instructions!B691&lt;Table1[EndDate]),0),1),"_1_",Instructions!E691)</f>
        <v>TBSRVY_20190924_1_0291_1_014</v>
      </c>
      <c r="C684">
        <f>Instructions!G691</f>
        <v>26</v>
      </c>
      <c r="D684" t="str">
        <f>IF(ISBLANK(Instructions!H691),"",Instructions!H691)</f>
        <v>Entered</v>
      </c>
      <c r="E684" s="1">
        <f>IF(ISBLANK(Instructions!I691),"",Instructions!I691)</f>
        <v>45646</v>
      </c>
      <c r="F684" t="str">
        <f>IF(ISBLANK(Instructions!J691),"",Instructions!J691)</f>
        <v>Erica Williams</v>
      </c>
      <c r="G684" s="1" t="str">
        <f>IF(ISBLANK(Instructions!K691),"",Instructions!K691)</f>
        <v/>
      </c>
      <c r="H684" t="str">
        <f>IF(ISBLANK(Instructions!L691),"",Instructions!L691)</f>
        <v/>
      </c>
      <c r="I684" t="str">
        <f t="shared" si="26"/>
        <v>NULL</v>
      </c>
      <c r="J684" t="str">
        <f t="shared" si="26"/>
        <v>NULL</v>
      </c>
      <c r="K684" t="str">
        <f>Instructions!M691</f>
        <v>Added via SMSS</v>
      </c>
      <c r="L684" t="str">
        <f t="shared" si="22"/>
        <v>NULL</v>
      </c>
    </row>
    <row r="685" spans="1:12" x14ac:dyDescent="0.25">
      <c r="A685" t="str" cm="1">
        <f t="array" ref="A685">_xlfn.CONCAT(Instructions!C692,Instructions!A692,"_",TEXT(Instructions!B692,"YYYYMMDD"),"_1_",INDEX(Table1[], MATCH(1,(Table1[Estuary]=Instructions!C692)*(Table1[StationNumber]=Instructions!D692)*(Instructions!B692&gt;Table1[StartDate])*(Instructions!B692&lt;Table1[EndDate]),0),1),"_1_",Instructions!E692,"_",Instructions!F692)</f>
        <v>TBSRVY_20190924_1_0291_1_014_034</v>
      </c>
      <c r="B685" t="str" cm="1">
        <f t="array" ref="B685">_xlfn.CONCAT(Instructions!C692,Instructions!A692,"_",TEXT(Instructions!B692,"YYYYMMDD"),"_1_",INDEX(Table1[], MATCH(1,(Table1[Estuary]=Instructions!C692)*(Table1[StationNumber]=Instructions!D692)*(Instructions!B692&gt;Table1[StartDate])*(Instructions!B692&lt;Table1[EndDate]),0),1),"_1_",Instructions!E692)</f>
        <v>TBSRVY_20190924_1_0291_1_014</v>
      </c>
      <c r="C685">
        <f>Instructions!G692</f>
        <v>33</v>
      </c>
      <c r="D685" t="str">
        <f>IF(ISBLANK(Instructions!H692),"",Instructions!H692)</f>
        <v>Entered</v>
      </c>
      <c r="E685" s="1">
        <f>IF(ISBLANK(Instructions!I692),"",Instructions!I692)</f>
        <v>45646</v>
      </c>
      <c r="F685" t="str">
        <f>IF(ISBLANK(Instructions!J692),"",Instructions!J692)</f>
        <v>Erica Williams</v>
      </c>
      <c r="G685" s="1" t="str">
        <f>IF(ISBLANK(Instructions!K692),"",Instructions!K692)</f>
        <v/>
      </c>
      <c r="H685" t="str">
        <f>IF(ISBLANK(Instructions!L692),"",Instructions!L692)</f>
        <v/>
      </c>
      <c r="I685" t="str">
        <f t="shared" si="26"/>
        <v>NULL</v>
      </c>
      <c r="J685" t="str">
        <f t="shared" si="26"/>
        <v>NULL</v>
      </c>
      <c r="K685" t="str">
        <f>Instructions!M692</f>
        <v>Added via SMSS</v>
      </c>
      <c r="L685" t="str">
        <f t="shared" si="22"/>
        <v>NULL</v>
      </c>
    </row>
    <row r="686" spans="1:12" x14ac:dyDescent="0.25">
      <c r="A686" t="str" cm="1">
        <f t="array" ref="A686">_xlfn.CONCAT(Instructions!C693,Instructions!A693,"_",TEXT(Instructions!B693,"YYYYMMDD"),"_1_",INDEX(Table1[], MATCH(1,(Table1[Estuary]=Instructions!C693)*(Table1[StationNumber]=Instructions!D693)*(Instructions!B693&gt;Table1[StartDate])*(Instructions!B693&lt;Table1[EndDate]),0),1),"_1_",Instructions!E693,"_",Instructions!F693)</f>
        <v>TBSRVY_20190924_1_0291_1_014_035</v>
      </c>
      <c r="B686" t="str" cm="1">
        <f t="array" ref="B686">_xlfn.CONCAT(Instructions!C693,Instructions!A693,"_",TEXT(Instructions!B693,"YYYYMMDD"),"_1_",INDEX(Table1[], MATCH(1,(Table1[Estuary]=Instructions!C693)*(Table1[StationNumber]=Instructions!D693)*(Instructions!B693&gt;Table1[StartDate])*(Instructions!B693&lt;Table1[EndDate]),0),1),"_1_",Instructions!E693)</f>
        <v>TBSRVY_20190924_1_0291_1_014</v>
      </c>
      <c r="C686">
        <f>Instructions!G693</f>
        <v>25</v>
      </c>
      <c r="D686" t="str">
        <f>IF(ISBLANK(Instructions!H693),"",Instructions!H693)</f>
        <v>Entered</v>
      </c>
      <c r="E686" s="1">
        <f>IF(ISBLANK(Instructions!I693),"",Instructions!I693)</f>
        <v>45646</v>
      </c>
      <c r="F686" t="str">
        <f>IF(ISBLANK(Instructions!J693),"",Instructions!J693)</f>
        <v>Erica Williams</v>
      </c>
      <c r="G686" s="1" t="str">
        <f>IF(ISBLANK(Instructions!K693),"",Instructions!K693)</f>
        <v/>
      </c>
      <c r="H686" t="str">
        <f>IF(ISBLANK(Instructions!L693),"",Instructions!L693)</f>
        <v/>
      </c>
      <c r="I686" t="str">
        <f t="shared" si="26"/>
        <v>NULL</v>
      </c>
      <c r="J686" t="str">
        <f t="shared" si="26"/>
        <v>NULL</v>
      </c>
      <c r="K686" t="str">
        <f>Instructions!M693</f>
        <v>Added via SMSS</v>
      </c>
      <c r="L686" t="str">
        <f t="shared" si="22"/>
        <v>NULL</v>
      </c>
    </row>
    <row r="687" spans="1:12" x14ac:dyDescent="0.25">
      <c r="A687" t="str" cm="1">
        <f t="array" ref="A687">_xlfn.CONCAT(Instructions!C694,Instructions!A694,"_",TEXT(Instructions!B694,"YYYYMMDD"),"_1_",INDEX(Table1[], MATCH(1,(Table1[Estuary]=Instructions!C694)*(Table1[StationNumber]=Instructions!D694)*(Instructions!B694&gt;Table1[StartDate])*(Instructions!B694&lt;Table1[EndDate]),0),1),"_1_",Instructions!E694,"_",Instructions!F694)</f>
        <v>TBSRVY_20190924_1_0291_1_014_036</v>
      </c>
      <c r="B687" t="str" cm="1">
        <f t="array" ref="B687">_xlfn.CONCAT(Instructions!C694,Instructions!A694,"_",TEXT(Instructions!B694,"YYYYMMDD"),"_1_",INDEX(Table1[], MATCH(1,(Table1[Estuary]=Instructions!C694)*(Table1[StationNumber]=Instructions!D694)*(Instructions!B694&gt;Table1[StartDate])*(Instructions!B694&lt;Table1[EndDate]),0),1),"_1_",Instructions!E694)</f>
        <v>TBSRVY_20190924_1_0291_1_014</v>
      </c>
      <c r="C687">
        <f>Instructions!G694</f>
        <v>30</v>
      </c>
      <c r="D687" t="str">
        <f>IF(ISBLANK(Instructions!H694),"",Instructions!H694)</f>
        <v>Entered</v>
      </c>
      <c r="E687" s="1">
        <f>IF(ISBLANK(Instructions!I694),"",Instructions!I694)</f>
        <v>45646</v>
      </c>
      <c r="F687" t="str">
        <f>IF(ISBLANK(Instructions!J694),"",Instructions!J694)</f>
        <v>Erica Williams</v>
      </c>
      <c r="G687" s="1" t="str">
        <f>IF(ISBLANK(Instructions!K694),"",Instructions!K694)</f>
        <v/>
      </c>
      <c r="H687" t="str">
        <f>IF(ISBLANK(Instructions!L694),"",Instructions!L694)</f>
        <v/>
      </c>
      <c r="I687" t="str">
        <f t="shared" si="26"/>
        <v>NULL</v>
      </c>
      <c r="J687" t="str">
        <f t="shared" si="26"/>
        <v>NULL</v>
      </c>
      <c r="K687" t="str">
        <f>Instructions!M694</f>
        <v>Added via SMSS</v>
      </c>
      <c r="L687" t="str">
        <f t="shared" si="22"/>
        <v>NULL</v>
      </c>
    </row>
    <row r="688" spans="1:12" x14ac:dyDescent="0.25">
      <c r="A688" t="str" cm="1">
        <f t="array" ref="A688">_xlfn.CONCAT(Instructions!C695,Instructions!A695,"_",TEXT(Instructions!B695,"YYYYMMDD"),"_1_",INDEX(Table1[], MATCH(1,(Table1[Estuary]=Instructions!C695)*(Table1[StationNumber]=Instructions!D695)*(Instructions!B695&gt;Table1[StartDate])*(Instructions!B695&lt;Table1[EndDate]),0),1),"_1_",Instructions!E695,"_",Instructions!F695)</f>
        <v>TBSRVY_20190924_1_0291_1_014_037</v>
      </c>
      <c r="B688" t="str" cm="1">
        <f t="array" ref="B688">_xlfn.CONCAT(Instructions!C695,Instructions!A695,"_",TEXT(Instructions!B695,"YYYYMMDD"),"_1_",INDEX(Table1[], MATCH(1,(Table1[Estuary]=Instructions!C695)*(Table1[StationNumber]=Instructions!D695)*(Instructions!B695&gt;Table1[StartDate])*(Instructions!B695&lt;Table1[EndDate]),0),1),"_1_",Instructions!E695)</f>
        <v>TBSRVY_20190924_1_0291_1_014</v>
      </c>
      <c r="C688">
        <f>Instructions!G695</f>
        <v>25</v>
      </c>
      <c r="D688" t="str">
        <f>IF(ISBLANK(Instructions!H695),"",Instructions!H695)</f>
        <v>Entered</v>
      </c>
      <c r="E688" s="1">
        <f>IF(ISBLANK(Instructions!I695),"",Instructions!I695)</f>
        <v>45646</v>
      </c>
      <c r="F688" t="str">
        <f>IF(ISBLANK(Instructions!J695),"",Instructions!J695)</f>
        <v>Erica Williams</v>
      </c>
      <c r="G688" s="1" t="str">
        <f>IF(ISBLANK(Instructions!K695),"",Instructions!K695)</f>
        <v/>
      </c>
      <c r="H688" t="str">
        <f>IF(ISBLANK(Instructions!L695),"",Instructions!L695)</f>
        <v/>
      </c>
      <c r="I688" t="str">
        <f t="shared" si="26"/>
        <v>NULL</v>
      </c>
      <c r="J688" t="str">
        <f t="shared" si="26"/>
        <v>NULL</v>
      </c>
      <c r="K688" t="str">
        <f>Instructions!M695</f>
        <v>Added via SMSS</v>
      </c>
      <c r="L688" t="str">
        <f t="shared" si="22"/>
        <v>NULL</v>
      </c>
    </row>
    <row r="689" spans="1:12" x14ac:dyDescent="0.25">
      <c r="A689" t="str" cm="1">
        <f t="array" ref="A689">_xlfn.CONCAT(Instructions!C696,Instructions!A696,"_",TEXT(Instructions!B696,"YYYYMMDD"),"_1_",INDEX(Table1[], MATCH(1,(Table1[Estuary]=Instructions!C696)*(Table1[StationNumber]=Instructions!D696)*(Instructions!B696&gt;Table1[StartDate])*(Instructions!B696&lt;Table1[EndDate]),0),1),"_1_",Instructions!E696,"_",Instructions!F696)</f>
        <v>TBSRVY_20190924_1_0291_1_014_038</v>
      </c>
      <c r="B689" t="str" cm="1">
        <f t="array" ref="B689">_xlfn.CONCAT(Instructions!C696,Instructions!A696,"_",TEXT(Instructions!B696,"YYYYMMDD"),"_1_",INDEX(Table1[], MATCH(1,(Table1[Estuary]=Instructions!C696)*(Table1[StationNumber]=Instructions!D696)*(Instructions!B696&gt;Table1[StartDate])*(Instructions!B696&lt;Table1[EndDate]),0),1),"_1_",Instructions!E696)</f>
        <v>TBSRVY_20190924_1_0291_1_014</v>
      </c>
      <c r="C689">
        <f>Instructions!G696</f>
        <v>31</v>
      </c>
      <c r="D689" t="str">
        <f>IF(ISBLANK(Instructions!H696),"",Instructions!H696)</f>
        <v>Entered</v>
      </c>
      <c r="E689" s="1">
        <f>IF(ISBLANK(Instructions!I696),"",Instructions!I696)</f>
        <v>45646</v>
      </c>
      <c r="F689" t="str">
        <f>IF(ISBLANK(Instructions!J696),"",Instructions!J696)</f>
        <v>Erica Williams</v>
      </c>
      <c r="G689" s="1" t="str">
        <f>IF(ISBLANK(Instructions!K696),"",Instructions!K696)</f>
        <v/>
      </c>
      <c r="H689" t="str">
        <f>IF(ISBLANK(Instructions!L696),"",Instructions!L696)</f>
        <v/>
      </c>
      <c r="I689" t="str">
        <f t="shared" si="26"/>
        <v>NULL</v>
      </c>
      <c r="J689" t="str">
        <f t="shared" si="26"/>
        <v>NULL</v>
      </c>
      <c r="K689" t="str">
        <f>Instructions!M696</f>
        <v>Added via SMSS</v>
      </c>
      <c r="L689" t="str">
        <f t="shared" si="22"/>
        <v>NULL</v>
      </c>
    </row>
    <row r="690" spans="1:12" x14ac:dyDescent="0.25">
      <c r="A690" t="str" cm="1">
        <f t="array" ref="A690">_xlfn.CONCAT(Instructions!C697,Instructions!A697,"_",TEXT(Instructions!B697,"YYYYMMDD"),"_1_",INDEX(Table1[], MATCH(1,(Table1[Estuary]=Instructions!C697)*(Table1[StationNumber]=Instructions!D697)*(Instructions!B697&gt;Table1[StartDate])*(Instructions!B697&lt;Table1[EndDate]),0),1),"_1_",Instructions!E697,"_",Instructions!F697)</f>
        <v>TBSRVY_20190924_1_0291_1_014_039</v>
      </c>
      <c r="B690" t="str" cm="1">
        <f t="array" ref="B690">_xlfn.CONCAT(Instructions!C697,Instructions!A697,"_",TEXT(Instructions!B697,"YYYYMMDD"),"_1_",INDEX(Table1[], MATCH(1,(Table1[Estuary]=Instructions!C697)*(Table1[StationNumber]=Instructions!D697)*(Instructions!B697&gt;Table1[StartDate])*(Instructions!B697&lt;Table1[EndDate]),0),1),"_1_",Instructions!E697)</f>
        <v>TBSRVY_20190924_1_0291_1_014</v>
      </c>
      <c r="C690">
        <f>Instructions!G697</f>
        <v>15</v>
      </c>
      <c r="D690" t="str">
        <f>IF(ISBLANK(Instructions!H697),"",Instructions!H697)</f>
        <v>Entered</v>
      </c>
      <c r="E690" s="1">
        <f>IF(ISBLANK(Instructions!I697),"",Instructions!I697)</f>
        <v>45646</v>
      </c>
      <c r="F690" t="str">
        <f>IF(ISBLANK(Instructions!J697),"",Instructions!J697)</f>
        <v>Erica Williams</v>
      </c>
      <c r="G690" s="1" t="str">
        <f>IF(ISBLANK(Instructions!K697),"",Instructions!K697)</f>
        <v/>
      </c>
      <c r="H690" t="str">
        <f>IF(ISBLANK(Instructions!L697),"",Instructions!L697)</f>
        <v/>
      </c>
      <c r="I690" t="str">
        <f t="shared" si="26"/>
        <v>NULL</v>
      </c>
      <c r="J690" t="str">
        <f t="shared" si="26"/>
        <v>NULL</v>
      </c>
      <c r="K690" t="str">
        <f>Instructions!M697</f>
        <v>Added via SMSS</v>
      </c>
      <c r="L690" t="str">
        <f t="shared" si="22"/>
        <v>NULL</v>
      </c>
    </row>
    <row r="691" spans="1:12" x14ac:dyDescent="0.25">
      <c r="A691" t="str" cm="1">
        <f t="array" ref="A691">_xlfn.CONCAT(Instructions!C698,Instructions!A698,"_",TEXT(Instructions!B698,"YYYYMMDD"),"_1_",INDEX(Table1[], MATCH(1,(Table1[Estuary]=Instructions!C698)*(Table1[StationNumber]=Instructions!D698)*(Instructions!B698&gt;Table1[StartDate])*(Instructions!B698&lt;Table1[EndDate]),0),1),"_1_",Instructions!E698,"_",Instructions!F698)</f>
        <v>TBSRVY_20190924_1_0291_1_014_040</v>
      </c>
      <c r="B691" t="str" cm="1">
        <f t="array" ref="B691">_xlfn.CONCAT(Instructions!C698,Instructions!A698,"_",TEXT(Instructions!B698,"YYYYMMDD"),"_1_",INDEX(Table1[], MATCH(1,(Table1[Estuary]=Instructions!C698)*(Table1[StationNumber]=Instructions!D698)*(Instructions!B698&gt;Table1[StartDate])*(Instructions!B698&lt;Table1[EndDate]),0),1),"_1_",Instructions!E698)</f>
        <v>TBSRVY_20190924_1_0291_1_014</v>
      </c>
      <c r="C691">
        <f>Instructions!G698</f>
        <v>35</v>
      </c>
      <c r="D691" t="str">
        <f>IF(ISBLANK(Instructions!H698),"",Instructions!H698)</f>
        <v>Entered</v>
      </c>
      <c r="E691" s="1">
        <f>IF(ISBLANK(Instructions!I698),"",Instructions!I698)</f>
        <v>45646</v>
      </c>
      <c r="F691" t="str">
        <f>IF(ISBLANK(Instructions!J698),"",Instructions!J698)</f>
        <v>Erica Williams</v>
      </c>
      <c r="G691" s="1" t="str">
        <f>IF(ISBLANK(Instructions!K698),"",Instructions!K698)</f>
        <v/>
      </c>
      <c r="H691" t="str">
        <f>IF(ISBLANK(Instructions!L698),"",Instructions!L698)</f>
        <v/>
      </c>
      <c r="I691" t="str">
        <f t="shared" si="26"/>
        <v>NULL</v>
      </c>
      <c r="J691" t="str">
        <f t="shared" si="26"/>
        <v>NULL</v>
      </c>
      <c r="K691" t="str">
        <f>Instructions!M698</f>
        <v>Added via SMSS</v>
      </c>
      <c r="L691" t="str">
        <f t="shared" si="22"/>
        <v>NULL</v>
      </c>
    </row>
    <row r="692" spans="1:12" x14ac:dyDescent="0.25">
      <c r="A692" t="str" cm="1">
        <f t="array" ref="A692">_xlfn.CONCAT(Instructions!C699,Instructions!A699,"_",TEXT(Instructions!B699,"YYYYMMDD"),"_1_",INDEX(Table1[], MATCH(1,(Table1[Estuary]=Instructions!C699)*(Table1[StationNumber]=Instructions!D699)*(Instructions!B699&gt;Table1[StartDate])*(Instructions!B699&lt;Table1[EndDate]),0),1),"_1_",Instructions!E699,"_",Instructions!F699)</f>
        <v>TBSRVY_20190924_1_0291_1_014_041</v>
      </c>
      <c r="B692" t="str" cm="1">
        <f t="array" ref="B692">_xlfn.CONCAT(Instructions!C699,Instructions!A699,"_",TEXT(Instructions!B699,"YYYYMMDD"),"_1_",INDEX(Table1[], MATCH(1,(Table1[Estuary]=Instructions!C699)*(Table1[StationNumber]=Instructions!D699)*(Instructions!B699&gt;Table1[StartDate])*(Instructions!B699&lt;Table1[EndDate]),0),1),"_1_",Instructions!E699)</f>
        <v>TBSRVY_20190924_1_0291_1_014</v>
      </c>
      <c r="C692">
        <f>Instructions!G699</f>
        <v>24</v>
      </c>
      <c r="D692" t="str">
        <f>IF(ISBLANK(Instructions!H699),"",Instructions!H699)</f>
        <v>Entered</v>
      </c>
      <c r="E692" s="1">
        <f>IF(ISBLANK(Instructions!I699),"",Instructions!I699)</f>
        <v>45646</v>
      </c>
      <c r="F692" t="str">
        <f>IF(ISBLANK(Instructions!J699),"",Instructions!J699)</f>
        <v>Erica Williams</v>
      </c>
      <c r="G692" s="1" t="str">
        <f>IF(ISBLANK(Instructions!K699),"",Instructions!K699)</f>
        <v/>
      </c>
      <c r="H692" t="str">
        <f>IF(ISBLANK(Instructions!L699),"",Instructions!L699)</f>
        <v/>
      </c>
      <c r="I692" t="str">
        <f t="shared" si="26"/>
        <v>NULL</v>
      </c>
      <c r="J692" t="str">
        <f t="shared" si="26"/>
        <v>NULL</v>
      </c>
      <c r="K692" t="str">
        <f>Instructions!M699</f>
        <v>Added via SMSS</v>
      </c>
      <c r="L692" t="str">
        <f t="shared" si="22"/>
        <v>NULL</v>
      </c>
    </row>
    <row r="693" spans="1:12" x14ac:dyDescent="0.25">
      <c r="A693" t="str" cm="1">
        <f t="array" ref="A693">_xlfn.CONCAT(Instructions!C700,Instructions!A700,"_",TEXT(Instructions!B700,"YYYYMMDD"),"_1_",INDEX(Table1[], MATCH(1,(Table1[Estuary]=Instructions!C700)*(Table1[StationNumber]=Instructions!D700)*(Instructions!B700&gt;Table1[StartDate])*(Instructions!B700&lt;Table1[EndDate]),0),1),"_1_",Instructions!E700,"_",Instructions!F700)</f>
        <v>TBSRVY_20190924_1_0291_1_014_042</v>
      </c>
      <c r="B693" t="str" cm="1">
        <f t="array" ref="B693">_xlfn.CONCAT(Instructions!C700,Instructions!A700,"_",TEXT(Instructions!B700,"YYYYMMDD"),"_1_",INDEX(Table1[], MATCH(1,(Table1[Estuary]=Instructions!C700)*(Table1[StationNumber]=Instructions!D700)*(Instructions!B700&gt;Table1[StartDate])*(Instructions!B700&lt;Table1[EndDate]),0),1),"_1_",Instructions!E700)</f>
        <v>TBSRVY_20190924_1_0291_1_014</v>
      </c>
      <c r="C693">
        <f>Instructions!G700</f>
        <v>23</v>
      </c>
      <c r="D693" t="str">
        <f>IF(ISBLANK(Instructions!H700),"",Instructions!H700)</f>
        <v>Entered</v>
      </c>
      <c r="E693" s="1">
        <f>IF(ISBLANK(Instructions!I700),"",Instructions!I700)</f>
        <v>45646</v>
      </c>
      <c r="F693" t="str">
        <f>IF(ISBLANK(Instructions!J700),"",Instructions!J700)</f>
        <v>Erica Williams</v>
      </c>
      <c r="G693" s="1" t="str">
        <f>IF(ISBLANK(Instructions!K700),"",Instructions!K700)</f>
        <v/>
      </c>
      <c r="H693" t="str">
        <f>IF(ISBLANK(Instructions!L700),"",Instructions!L700)</f>
        <v/>
      </c>
      <c r="I693" t="str">
        <f t="shared" si="26"/>
        <v>NULL</v>
      </c>
      <c r="J693" t="str">
        <f t="shared" si="26"/>
        <v>NULL</v>
      </c>
      <c r="K693" t="str">
        <f>Instructions!M700</f>
        <v>Added via SMSS</v>
      </c>
      <c r="L693" t="str">
        <f t="shared" si="22"/>
        <v>NULL</v>
      </c>
    </row>
    <row r="694" spans="1:12" x14ac:dyDescent="0.25">
      <c r="A694" t="str" cm="1">
        <f t="array" ref="A694">_xlfn.CONCAT(Instructions!C701,Instructions!A701,"_",TEXT(Instructions!B701,"YYYYMMDD"),"_1_",INDEX(Table1[], MATCH(1,(Table1[Estuary]=Instructions!C701)*(Table1[StationNumber]=Instructions!D701)*(Instructions!B701&gt;Table1[StartDate])*(Instructions!B701&lt;Table1[EndDate]),0),1),"_1_",Instructions!E701,"_",Instructions!F701)</f>
        <v>TBSRVY_20190924_1_0291_1_014_043</v>
      </c>
      <c r="B694" t="str" cm="1">
        <f t="array" ref="B694">_xlfn.CONCAT(Instructions!C701,Instructions!A701,"_",TEXT(Instructions!B701,"YYYYMMDD"),"_1_",INDEX(Table1[], MATCH(1,(Table1[Estuary]=Instructions!C701)*(Table1[StationNumber]=Instructions!D701)*(Instructions!B701&gt;Table1[StartDate])*(Instructions!B701&lt;Table1[EndDate]),0),1),"_1_",Instructions!E701)</f>
        <v>TBSRVY_20190924_1_0291_1_014</v>
      </c>
      <c r="C694">
        <f>Instructions!G701</f>
        <v>39</v>
      </c>
      <c r="D694" t="str">
        <f>IF(ISBLANK(Instructions!H701),"",Instructions!H701)</f>
        <v>Entered</v>
      </c>
      <c r="E694" s="1">
        <f>IF(ISBLANK(Instructions!I701),"",Instructions!I701)</f>
        <v>45646</v>
      </c>
      <c r="F694" t="str">
        <f>IF(ISBLANK(Instructions!J701),"",Instructions!J701)</f>
        <v>Erica Williams</v>
      </c>
      <c r="G694" s="1" t="str">
        <f>IF(ISBLANK(Instructions!K701),"",Instructions!K701)</f>
        <v/>
      </c>
      <c r="H694" t="str">
        <f>IF(ISBLANK(Instructions!L701),"",Instructions!L701)</f>
        <v/>
      </c>
      <c r="I694" t="str">
        <f t="shared" si="26"/>
        <v>NULL</v>
      </c>
      <c r="J694" t="str">
        <f t="shared" si="26"/>
        <v>NULL</v>
      </c>
      <c r="K694" t="str">
        <f>Instructions!M701</f>
        <v>Added via SMSS</v>
      </c>
      <c r="L694" t="str">
        <f t="shared" si="22"/>
        <v>NULL</v>
      </c>
    </row>
    <row r="695" spans="1:12" x14ac:dyDescent="0.25">
      <c r="A695" t="str" cm="1">
        <f t="array" ref="A695">_xlfn.CONCAT(Instructions!C702,Instructions!A702,"_",TEXT(Instructions!B702,"YYYYMMDD"),"_1_",INDEX(Table1[], MATCH(1,(Table1[Estuary]=Instructions!C702)*(Table1[StationNumber]=Instructions!D702)*(Instructions!B702&gt;Table1[StartDate])*(Instructions!B702&lt;Table1[EndDate]),0),1),"_1_",Instructions!E702,"_",Instructions!F702)</f>
        <v>TBSRVY_20190924_1_0291_1_014_044</v>
      </c>
      <c r="B695" t="str" cm="1">
        <f t="array" ref="B695">_xlfn.CONCAT(Instructions!C702,Instructions!A702,"_",TEXT(Instructions!B702,"YYYYMMDD"),"_1_",INDEX(Table1[], MATCH(1,(Table1[Estuary]=Instructions!C702)*(Table1[StationNumber]=Instructions!D702)*(Instructions!B702&gt;Table1[StartDate])*(Instructions!B702&lt;Table1[EndDate]),0),1),"_1_",Instructions!E702)</f>
        <v>TBSRVY_20190924_1_0291_1_014</v>
      </c>
      <c r="C695">
        <f>Instructions!G702</f>
        <v>36</v>
      </c>
      <c r="D695" t="str">
        <f>IF(ISBLANK(Instructions!H702),"",Instructions!H702)</f>
        <v>Entered</v>
      </c>
      <c r="E695" s="1">
        <f>IF(ISBLANK(Instructions!I702),"",Instructions!I702)</f>
        <v>45646</v>
      </c>
      <c r="F695" t="str">
        <f>IF(ISBLANK(Instructions!J702),"",Instructions!J702)</f>
        <v>Erica Williams</v>
      </c>
      <c r="G695" s="1" t="str">
        <f>IF(ISBLANK(Instructions!K702),"",Instructions!K702)</f>
        <v/>
      </c>
      <c r="H695" t="str">
        <f>IF(ISBLANK(Instructions!L702),"",Instructions!L702)</f>
        <v/>
      </c>
      <c r="I695" t="str">
        <f t="shared" si="26"/>
        <v>NULL</v>
      </c>
      <c r="J695" t="str">
        <f t="shared" si="26"/>
        <v>NULL</v>
      </c>
      <c r="K695" t="str">
        <f>Instructions!M702</f>
        <v>Added via SMSS</v>
      </c>
      <c r="L695" t="str">
        <f t="shared" si="22"/>
        <v>NULL</v>
      </c>
    </row>
    <row r="696" spans="1:12" x14ac:dyDescent="0.25">
      <c r="A696" t="str" cm="1">
        <f t="array" ref="A696">_xlfn.CONCAT(Instructions!C703,Instructions!A703,"_",TEXT(Instructions!B703,"YYYYMMDD"),"_1_",INDEX(Table1[], MATCH(1,(Table1[Estuary]=Instructions!C703)*(Table1[StationNumber]=Instructions!D703)*(Instructions!B703&gt;Table1[StartDate])*(Instructions!B703&lt;Table1[EndDate]),0),1),"_1_",Instructions!E703,"_",Instructions!F703)</f>
        <v>TBSRVY_20190924_1_0291_1_014_045</v>
      </c>
      <c r="B696" t="str" cm="1">
        <f t="array" ref="B696">_xlfn.CONCAT(Instructions!C703,Instructions!A703,"_",TEXT(Instructions!B703,"YYYYMMDD"),"_1_",INDEX(Table1[], MATCH(1,(Table1[Estuary]=Instructions!C703)*(Table1[StationNumber]=Instructions!D703)*(Instructions!B703&gt;Table1[StartDate])*(Instructions!B703&lt;Table1[EndDate]),0),1),"_1_",Instructions!E703)</f>
        <v>TBSRVY_20190924_1_0291_1_014</v>
      </c>
      <c r="C696">
        <f>Instructions!G703</f>
        <v>24</v>
      </c>
      <c r="D696" t="str">
        <f>IF(ISBLANK(Instructions!H703),"",Instructions!H703)</f>
        <v>Entered</v>
      </c>
      <c r="E696" s="1">
        <f>IF(ISBLANK(Instructions!I703),"",Instructions!I703)</f>
        <v>45646</v>
      </c>
      <c r="F696" t="str">
        <f>IF(ISBLANK(Instructions!J703),"",Instructions!J703)</f>
        <v>Erica Williams</v>
      </c>
      <c r="G696" s="1" t="str">
        <f>IF(ISBLANK(Instructions!K703),"",Instructions!K703)</f>
        <v/>
      </c>
      <c r="H696" t="str">
        <f>IF(ISBLANK(Instructions!L703),"",Instructions!L703)</f>
        <v/>
      </c>
      <c r="I696" t="str">
        <f t="shared" si="26"/>
        <v>NULL</v>
      </c>
      <c r="J696" t="str">
        <f t="shared" si="26"/>
        <v>NULL</v>
      </c>
      <c r="K696" t="str">
        <f>Instructions!M703</f>
        <v>Added via SMSS</v>
      </c>
      <c r="L696" t="str">
        <f t="shared" si="22"/>
        <v>NULL</v>
      </c>
    </row>
    <row r="697" spans="1:12" x14ac:dyDescent="0.25">
      <c r="A697" t="str" cm="1">
        <f t="array" ref="A697">_xlfn.CONCAT(Instructions!C704,Instructions!A704,"_",TEXT(Instructions!B704,"YYYYMMDD"),"_1_",INDEX(Table1[], MATCH(1,(Table1[Estuary]=Instructions!C704)*(Table1[StationNumber]=Instructions!D704)*(Instructions!B704&gt;Table1[StartDate])*(Instructions!B704&lt;Table1[EndDate]),0),1),"_1_",Instructions!E704,"_",Instructions!F704)</f>
        <v>TBSRVY_20190924_1_0291_1_014_046</v>
      </c>
      <c r="B697" t="str" cm="1">
        <f t="array" ref="B697">_xlfn.CONCAT(Instructions!C704,Instructions!A704,"_",TEXT(Instructions!B704,"YYYYMMDD"),"_1_",INDEX(Table1[], MATCH(1,(Table1[Estuary]=Instructions!C704)*(Table1[StationNumber]=Instructions!D704)*(Instructions!B704&gt;Table1[StartDate])*(Instructions!B704&lt;Table1[EndDate]),0),1),"_1_",Instructions!E704)</f>
        <v>TBSRVY_20190924_1_0291_1_014</v>
      </c>
      <c r="C697">
        <f>Instructions!G704</f>
        <v>28</v>
      </c>
      <c r="D697" t="str">
        <f>IF(ISBLANK(Instructions!H704),"",Instructions!H704)</f>
        <v>Entered</v>
      </c>
      <c r="E697" s="1">
        <f>IF(ISBLANK(Instructions!I704),"",Instructions!I704)</f>
        <v>45646</v>
      </c>
      <c r="F697" t="str">
        <f>IF(ISBLANK(Instructions!J704),"",Instructions!J704)</f>
        <v>Erica Williams</v>
      </c>
      <c r="G697" s="1" t="str">
        <f>IF(ISBLANK(Instructions!K704),"",Instructions!K704)</f>
        <v/>
      </c>
      <c r="H697" t="str">
        <f>IF(ISBLANK(Instructions!L704),"",Instructions!L704)</f>
        <v/>
      </c>
      <c r="I697" t="str">
        <f t="shared" si="26"/>
        <v>NULL</v>
      </c>
      <c r="J697" t="str">
        <f t="shared" si="26"/>
        <v>NULL</v>
      </c>
      <c r="K697" t="str">
        <f>Instructions!M704</f>
        <v>Added via SMSS</v>
      </c>
      <c r="L697" t="str">
        <f t="shared" si="22"/>
        <v>NULL</v>
      </c>
    </row>
    <row r="698" spans="1:12" x14ac:dyDescent="0.25">
      <c r="A698" t="str" cm="1">
        <f t="array" ref="A698">_xlfn.CONCAT(Instructions!C705,Instructions!A705,"_",TEXT(Instructions!B705,"YYYYMMDD"),"_1_",INDEX(Table1[], MATCH(1,(Table1[Estuary]=Instructions!C705)*(Table1[StationNumber]=Instructions!D705)*(Instructions!B705&gt;Table1[StartDate])*(Instructions!B705&lt;Table1[EndDate]),0),1),"_1_",Instructions!E705,"_",Instructions!F705)</f>
        <v>TBSRVY_20190924_1_0291_1_014_047</v>
      </c>
      <c r="B698" t="str" cm="1">
        <f t="array" ref="B698">_xlfn.CONCAT(Instructions!C705,Instructions!A705,"_",TEXT(Instructions!B705,"YYYYMMDD"),"_1_",INDEX(Table1[], MATCH(1,(Table1[Estuary]=Instructions!C705)*(Table1[StationNumber]=Instructions!D705)*(Instructions!B705&gt;Table1[StartDate])*(Instructions!B705&lt;Table1[EndDate]),0),1),"_1_",Instructions!E705)</f>
        <v>TBSRVY_20190924_1_0291_1_014</v>
      </c>
      <c r="C698">
        <f>Instructions!G705</f>
        <v>22</v>
      </c>
      <c r="D698" t="str">
        <f>IF(ISBLANK(Instructions!H705),"",Instructions!H705)</f>
        <v>Entered</v>
      </c>
      <c r="E698" s="1">
        <f>IF(ISBLANK(Instructions!I705),"",Instructions!I705)</f>
        <v>45646</v>
      </c>
      <c r="F698" t="str">
        <f>IF(ISBLANK(Instructions!J705),"",Instructions!J705)</f>
        <v>Erica Williams</v>
      </c>
      <c r="G698" s="1" t="str">
        <f>IF(ISBLANK(Instructions!K705),"",Instructions!K705)</f>
        <v/>
      </c>
      <c r="H698" t="str">
        <f>IF(ISBLANK(Instructions!L705),"",Instructions!L705)</f>
        <v/>
      </c>
      <c r="I698" t="str">
        <f t="shared" si="26"/>
        <v>NULL</v>
      </c>
      <c r="J698" t="str">
        <f t="shared" si="26"/>
        <v>NULL</v>
      </c>
      <c r="K698" t="str">
        <f>Instructions!M705</f>
        <v>Added via SMSS</v>
      </c>
      <c r="L698" t="str">
        <f t="shared" si="22"/>
        <v>NULL</v>
      </c>
    </row>
    <row r="699" spans="1:12" x14ac:dyDescent="0.25">
      <c r="A699" t="str" cm="1">
        <f t="array" ref="A699">_xlfn.CONCAT(Instructions!C706,Instructions!A706,"_",TEXT(Instructions!B706,"YYYYMMDD"),"_1_",INDEX(Table1[], MATCH(1,(Table1[Estuary]=Instructions!C706)*(Table1[StationNumber]=Instructions!D706)*(Instructions!B706&gt;Table1[StartDate])*(Instructions!B706&lt;Table1[EndDate]),0),1),"_1_",Instructions!E706,"_",Instructions!F706)</f>
        <v>TBSRVY_20190924_1_0291_1_014_048</v>
      </c>
      <c r="B699" t="str" cm="1">
        <f t="array" ref="B699">_xlfn.CONCAT(Instructions!C706,Instructions!A706,"_",TEXT(Instructions!B706,"YYYYMMDD"),"_1_",INDEX(Table1[], MATCH(1,(Table1[Estuary]=Instructions!C706)*(Table1[StationNumber]=Instructions!D706)*(Instructions!B706&gt;Table1[StartDate])*(Instructions!B706&lt;Table1[EndDate]),0),1),"_1_",Instructions!E706)</f>
        <v>TBSRVY_20190924_1_0291_1_014</v>
      </c>
      <c r="C699">
        <f>Instructions!G706</f>
        <v>30</v>
      </c>
      <c r="D699" t="str">
        <f>IF(ISBLANK(Instructions!H706),"",Instructions!H706)</f>
        <v>Entered</v>
      </c>
      <c r="E699" s="1">
        <f>IF(ISBLANK(Instructions!I706),"",Instructions!I706)</f>
        <v>45646</v>
      </c>
      <c r="F699" t="str">
        <f>IF(ISBLANK(Instructions!J706),"",Instructions!J706)</f>
        <v>Erica Williams</v>
      </c>
      <c r="G699" s="1" t="str">
        <f>IF(ISBLANK(Instructions!K706),"",Instructions!K706)</f>
        <v/>
      </c>
      <c r="H699" t="str">
        <f>IF(ISBLANK(Instructions!L706),"",Instructions!L706)</f>
        <v/>
      </c>
      <c r="I699" t="str">
        <f t="shared" si="26"/>
        <v>NULL</v>
      </c>
      <c r="J699" t="str">
        <f t="shared" si="26"/>
        <v>NULL</v>
      </c>
      <c r="K699" t="str">
        <f>Instructions!M706</f>
        <v>Added via SMSS</v>
      </c>
      <c r="L699" t="str">
        <f t="shared" si="22"/>
        <v>NULL</v>
      </c>
    </row>
    <row r="700" spans="1:12" x14ac:dyDescent="0.25">
      <c r="A700" t="str" cm="1">
        <f t="array" ref="A700">_xlfn.CONCAT(Instructions!C707,Instructions!A707,"_",TEXT(Instructions!B707,"YYYYMMDD"),"_1_",INDEX(Table1[], MATCH(1,(Table1[Estuary]=Instructions!C707)*(Table1[StationNumber]=Instructions!D707)*(Instructions!B707&gt;Table1[StartDate])*(Instructions!B707&lt;Table1[EndDate]),0),1),"_1_",Instructions!E707,"_",Instructions!F707)</f>
        <v>TBSRVY_20190924_1_0291_1_014_049</v>
      </c>
      <c r="B700" t="str" cm="1">
        <f t="array" ref="B700">_xlfn.CONCAT(Instructions!C707,Instructions!A707,"_",TEXT(Instructions!B707,"YYYYMMDD"),"_1_",INDEX(Table1[], MATCH(1,(Table1[Estuary]=Instructions!C707)*(Table1[StationNumber]=Instructions!D707)*(Instructions!B707&gt;Table1[StartDate])*(Instructions!B707&lt;Table1[EndDate]),0),1),"_1_",Instructions!E707)</f>
        <v>TBSRVY_20190924_1_0291_1_014</v>
      </c>
      <c r="C700">
        <f>Instructions!G707</f>
        <v>16</v>
      </c>
      <c r="D700" t="str">
        <f>IF(ISBLANK(Instructions!H707),"",Instructions!H707)</f>
        <v>Entered</v>
      </c>
      <c r="E700" s="1">
        <f>IF(ISBLANK(Instructions!I707),"",Instructions!I707)</f>
        <v>45646</v>
      </c>
      <c r="F700" t="str">
        <f>IF(ISBLANK(Instructions!J707),"",Instructions!J707)</f>
        <v>Erica Williams</v>
      </c>
      <c r="G700" s="1" t="str">
        <f>IF(ISBLANK(Instructions!K707),"",Instructions!K707)</f>
        <v/>
      </c>
      <c r="H700" t="str">
        <f>IF(ISBLANK(Instructions!L707),"",Instructions!L707)</f>
        <v/>
      </c>
      <c r="I700" t="str">
        <f t="shared" si="26"/>
        <v>NULL</v>
      </c>
      <c r="J700" t="str">
        <f t="shared" si="26"/>
        <v>NULL</v>
      </c>
      <c r="K700" t="str">
        <f>Instructions!M707</f>
        <v>Added via SMSS</v>
      </c>
      <c r="L700" t="str">
        <f t="shared" si="22"/>
        <v>NULL</v>
      </c>
    </row>
    <row r="701" spans="1:12" x14ac:dyDescent="0.25">
      <c r="A701" t="str" cm="1">
        <f t="array" ref="A701">_xlfn.CONCAT(Instructions!C708,Instructions!A708,"_",TEXT(Instructions!B708,"YYYYMMDD"),"_1_",INDEX(Table1[], MATCH(1,(Table1[Estuary]=Instructions!C708)*(Table1[StationNumber]=Instructions!D708)*(Instructions!B708&gt;Table1[StartDate])*(Instructions!B708&lt;Table1[EndDate]),0),1),"_1_",Instructions!E708,"_",Instructions!F708)</f>
        <v>TBSRVY_20190924_1_0291_1_014_050</v>
      </c>
      <c r="B701" t="str" cm="1">
        <f t="array" ref="B701">_xlfn.CONCAT(Instructions!C708,Instructions!A708,"_",TEXT(Instructions!B708,"YYYYMMDD"),"_1_",INDEX(Table1[], MATCH(1,(Table1[Estuary]=Instructions!C708)*(Table1[StationNumber]=Instructions!D708)*(Instructions!B708&gt;Table1[StartDate])*(Instructions!B708&lt;Table1[EndDate]),0),1),"_1_",Instructions!E708)</f>
        <v>TBSRVY_20190924_1_0291_1_014</v>
      </c>
      <c r="C701">
        <f>Instructions!G708</f>
        <v>35</v>
      </c>
      <c r="D701" t="str">
        <f>IF(ISBLANK(Instructions!H708),"",Instructions!H708)</f>
        <v>Entered</v>
      </c>
      <c r="E701" s="1">
        <f>IF(ISBLANK(Instructions!I708),"",Instructions!I708)</f>
        <v>45646</v>
      </c>
      <c r="F701" t="str">
        <f>IF(ISBLANK(Instructions!J708),"",Instructions!J708)</f>
        <v>Erica Williams</v>
      </c>
      <c r="G701" s="1" t="str">
        <f>IF(ISBLANK(Instructions!K708),"",Instructions!K708)</f>
        <v/>
      </c>
      <c r="H701" t="str">
        <f>IF(ISBLANK(Instructions!L708),"",Instructions!L708)</f>
        <v/>
      </c>
      <c r="I701" t="str">
        <f t="shared" si="26"/>
        <v>NULL</v>
      </c>
      <c r="J701" t="str">
        <f t="shared" si="26"/>
        <v>NULL</v>
      </c>
      <c r="K701" t="str">
        <f>Instructions!M708</f>
        <v>Added via SMSS</v>
      </c>
      <c r="L701" t="str">
        <f t="shared" si="22"/>
        <v>NULL</v>
      </c>
    </row>
    <row r="702" spans="1:12" x14ac:dyDescent="0.25">
      <c r="A702" t="str" cm="1">
        <f t="array" ref="A702">_xlfn.CONCAT(Instructions!C709,Instructions!A709,"_",TEXT(Instructions!B709,"YYYYMMDD"),"_1_",INDEX(Table1[], MATCH(1,(Table1[Estuary]=Instructions!C709)*(Table1[StationNumber]=Instructions!D709)*(Instructions!B709&gt;Table1[StartDate])*(Instructions!B709&lt;Table1[EndDate]),0),1),"_1_",Instructions!E709,"_",Instructions!F709)</f>
        <v>TBSRVY_20190924_1_0291_1_015_001</v>
      </c>
      <c r="B702" t="str" cm="1">
        <f t="array" ref="B702">_xlfn.CONCAT(Instructions!C709,Instructions!A709,"_",TEXT(Instructions!B709,"YYYYMMDD"),"_1_",INDEX(Table1[], MATCH(1,(Table1[Estuary]=Instructions!C709)*(Table1[StationNumber]=Instructions!D709)*(Instructions!B709&gt;Table1[StartDate])*(Instructions!B709&lt;Table1[EndDate]),0),1),"_1_",Instructions!E709)</f>
        <v>TBSRVY_20190924_1_0291_1_015</v>
      </c>
      <c r="C702">
        <f>Instructions!G709</f>
        <v>6</v>
      </c>
      <c r="D702" t="str">
        <f>IF(ISBLANK(Instructions!H709),"",Instructions!H709)</f>
        <v>Entered</v>
      </c>
      <c r="E702" s="1">
        <f>IF(ISBLANK(Instructions!I709),"",Instructions!I709)</f>
        <v>45646</v>
      </c>
      <c r="F702" t="str">
        <f>IF(ISBLANK(Instructions!J709),"",Instructions!J709)</f>
        <v>Erica Williams</v>
      </c>
      <c r="G702" s="1" t="str">
        <f>IF(ISBLANK(Instructions!K709),"",Instructions!K709)</f>
        <v/>
      </c>
      <c r="H702" t="str">
        <f>IF(ISBLANK(Instructions!L709),"",Instructions!L709)</f>
        <v/>
      </c>
      <c r="I702" t="str">
        <f t="shared" si="26"/>
        <v>NULL</v>
      </c>
      <c r="J702" t="str">
        <f t="shared" si="26"/>
        <v>NULL</v>
      </c>
      <c r="K702" t="str">
        <f>Instructions!M709</f>
        <v>Added via SMSS</v>
      </c>
      <c r="L702" t="str">
        <f t="shared" si="22"/>
        <v>NULL</v>
      </c>
    </row>
    <row r="703" spans="1:12" x14ac:dyDescent="0.25">
      <c r="A703" t="str" cm="1">
        <f t="array" ref="A703">_xlfn.CONCAT(Instructions!C710,Instructions!A710,"_",TEXT(Instructions!B710,"YYYYMMDD"),"_1_",INDEX(Table1[], MATCH(1,(Table1[Estuary]=Instructions!C710)*(Table1[StationNumber]=Instructions!D710)*(Instructions!B710&gt;Table1[StartDate])*(Instructions!B710&lt;Table1[EndDate]),0),1),"_1_",Instructions!E710,"_",Instructions!F710)</f>
        <v>TBSRVY_20190924_1_0291_1_015_002</v>
      </c>
      <c r="B703" t="str" cm="1">
        <f t="array" ref="B703">_xlfn.CONCAT(Instructions!C710,Instructions!A710,"_",TEXT(Instructions!B710,"YYYYMMDD"),"_1_",INDEX(Table1[], MATCH(1,(Table1[Estuary]=Instructions!C710)*(Table1[StationNumber]=Instructions!D710)*(Instructions!B710&gt;Table1[StartDate])*(Instructions!B710&lt;Table1[EndDate]),0),1),"_1_",Instructions!E710)</f>
        <v>TBSRVY_20190924_1_0291_1_015</v>
      </c>
      <c r="C703">
        <f>Instructions!G710</f>
        <v>54</v>
      </c>
      <c r="D703" t="str">
        <f>IF(ISBLANK(Instructions!H710),"",Instructions!H710)</f>
        <v>Entered</v>
      </c>
      <c r="E703" s="1">
        <f>IF(ISBLANK(Instructions!I710),"",Instructions!I710)</f>
        <v>45646</v>
      </c>
      <c r="F703" t="str">
        <f>IF(ISBLANK(Instructions!J710),"",Instructions!J710)</f>
        <v>Erica Williams</v>
      </c>
      <c r="G703" s="1" t="str">
        <f>IF(ISBLANK(Instructions!K710),"",Instructions!K710)</f>
        <v/>
      </c>
      <c r="H703" t="str">
        <f>IF(ISBLANK(Instructions!L710),"",Instructions!L710)</f>
        <v/>
      </c>
      <c r="I703" t="str">
        <f t="shared" si="26"/>
        <v>NULL</v>
      </c>
      <c r="J703" t="str">
        <f t="shared" si="26"/>
        <v>NULL</v>
      </c>
      <c r="K703" t="str">
        <f>Instructions!M710</f>
        <v>Added via SMSS</v>
      </c>
      <c r="L703" t="str">
        <f t="shared" si="22"/>
        <v>NULL</v>
      </c>
    </row>
    <row r="704" spans="1:12" x14ac:dyDescent="0.25">
      <c r="A704" t="str" cm="1">
        <f t="array" ref="A704">_xlfn.CONCAT(Instructions!C711,Instructions!A711,"_",TEXT(Instructions!B711,"YYYYMMDD"),"_1_",INDEX(Table1[], MATCH(1,(Table1[Estuary]=Instructions!C711)*(Table1[StationNumber]=Instructions!D711)*(Instructions!B711&gt;Table1[StartDate])*(Instructions!B711&lt;Table1[EndDate]),0),1),"_1_",Instructions!E711,"_",Instructions!F711)</f>
        <v>TBSRVY_20190924_1_0291_1_015_003</v>
      </c>
      <c r="B704" t="str" cm="1">
        <f t="array" ref="B704">_xlfn.CONCAT(Instructions!C711,Instructions!A711,"_",TEXT(Instructions!B711,"YYYYMMDD"),"_1_",INDEX(Table1[], MATCH(1,(Table1[Estuary]=Instructions!C711)*(Table1[StationNumber]=Instructions!D711)*(Instructions!B711&gt;Table1[StartDate])*(Instructions!B711&lt;Table1[EndDate]),0),1),"_1_",Instructions!E711)</f>
        <v>TBSRVY_20190924_1_0291_1_015</v>
      </c>
      <c r="C704">
        <f>Instructions!G711</f>
        <v>8</v>
      </c>
      <c r="D704" t="str">
        <f>IF(ISBLANK(Instructions!H711),"",Instructions!H711)</f>
        <v>Entered</v>
      </c>
      <c r="E704" s="1">
        <f>IF(ISBLANK(Instructions!I711),"",Instructions!I711)</f>
        <v>45646</v>
      </c>
      <c r="F704" t="str">
        <f>IF(ISBLANK(Instructions!J711),"",Instructions!J711)</f>
        <v>Erica Williams</v>
      </c>
      <c r="G704" s="1" t="str">
        <f>IF(ISBLANK(Instructions!K711),"",Instructions!K711)</f>
        <v/>
      </c>
      <c r="H704" t="str">
        <f>IF(ISBLANK(Instructions!L711),"",Instructions!L711)</f>
        <v/>
      </c>
      <c r="I704" t="str">
        <f t="shared" si="26"/>
        <v>NULL</v>
      </c>
      <c r="J704" t="str">
        <f t="shared" si="26"/>
        <v>NULL</v>
      </c>
      <c r="K704" t="str">
        <f>Instructions!M711</f>
        <v>Added via SMSS</v>
      </c>
      <c r="L704" t="str">
        <f t="shared" si="22"/>
        <v>NULL</v>
      </c>
    </row>
    <row r="705" spans="1:12" x14ac:dyDescent="0.25">
      <c r="A705" t="str" cm="1">
        <f t="array" ref="A705">_xlfn.CONCAT(Instructions!C712,Instructions!A712,"_",TEXT(Instructions!B712,"YYYYMMDD"),"_1_",INDEX(Table1[], MATCH(1,(Table1[Estuary]=Instructions!C712)*(Table1[StationNumber]=Instructions!D712)*(Instructions!B712&gt;Table1[StartDate])*(Instructions!B712&lt;Table1[EndDate]),0),1),"_1_",Instructions!E712,"_",Instructions!F712)</f>
        <v>TBSRVY_20190924_1_0291_1_015_004</v>
      </c>
      <c r="B705" t="str" cm="1">
        <f t="array" ref="B705">_xlfn.CONCAT(Instructions!C712,Instructions!A712,"_",TEXT(Instructions!B712,"YYYYMMDD"),"_1_",INDEX(Table1[], MATCH(1,(Table1[Estuary]=Instructions!C712)*(Table1[StationNumber]=Instructions!D712)*(Instructions!B712&gt;Table1[StartDate])*(Instructions!B712&lt;Table1[EndDate]),0),1),"_1_",Instructions!E712)</f>
        <v>TBSRVY_20190924_1_0291_1_015</v>
      </c>
      <c r="C705">
        <f>Instructions!G712</f>
        <v>20</v>
      </c>
      <c r="D705" t="str">
        <f>IF(ISBLANK(Instructions!H712),"",Instructions!H712)</f>
        <v>Entered</v>
      </c>
      <c r="E705" s="1">
        <f>IF(ISBLANK(Instructions!I712),"",Instructions!I712)</f>
        <v>45646</v>
      </c>
      <c r="F705" t="str">
        <f>IF(ISBLANK(Instructions!J712),"",Instructions!J712)</f>
        <v>Erica Williams</v>
      </c>
      <c r="G705" s="1" t="str">
        <f>IF(ISBLANK(Instructions!K712),"",Instructions!K712)</f>
        <v/>
      </c>
      <c r="H705" t="str">
        <f>IF(ISBLANK(Instructions!L712),"",Instructions!L712)</f>
        <v/>
      </c>
      <c r="I705" t="str">
        <f t="shared" si="26"/>
        <v>NULL</v>
      </c>
      <c r="J705" t="str">
        <f t="shared" si="26"/>
        <v>NULL</v>
      </c>
      <c r="K705" t="str">
        <f>Instructions!M712</f>
        <v>Added via SMSS</v>
      </c>
      <c r="L705" t="str">
        <f t="shared" si="22"/>
        <v>NULL</v>
      </c>
    </row>
    <row r="706" spans="1:12" x14ac:dyDescent="0.25">
      <c r="A706" t="str" cm="1">
        <f t="array" ref="A706">_xlfn.CONCAT(Instructions!C713,Instructions!A713,"_",TEXT(Instructions!B713,"YYYYMMDD"),"_1_",INDEX(Table1[], MATCH(1,(Table1[Estuary]=Instructions!C713)*(Table1[StationNumber]=Instructions!D713)*(Instructions!B713&gt;Table1[StartDate])*(Instructions!B713&lt;Table1[EndDate]),0),1),"_1_",Instructions!E713,"_",Instructions!F713)</f>
        <v>TBSRVY_20190924_1_0291_1_015_005</v>
      </c>
      <c r="B706" t="str" cm="1">
        <f t="array" ref="B706">_xlfn.CONCAT(Instructions!C713,Instructions!A713,"_",TEXT(Instructions!B713,"YYYYMMDD"),"_1_",INDEX(Table1[], MATCH(1,(Table1[Estuary]=Instructions!C713)*(Table1[StationNumber]=Instructions!D713)*(Instructions!B713&gt;Table1[StartDate])*(Instructions!B713&lt;Table1[EndDate]),0),1),"_1_",Instructions!E713)</f>
        <v>TBSRVY_20190924_1_0291_1_015</v>
      </c>
      <c r="C706">
        <f>Instructions!G713</f>
        <v>24</v>
      </c>
      <c r="D706" t="str">
        <f>IF(ISBLANK(Instructions!H713),"",Instructions!H713)</f>
        <v>Entered</v>
      </c>
      <c r="E706" s="1">
        <f>IF(ISBLANK(Instructions!I713),"",Instructions!I713)</f>
        <v>45646</v>
      </c>
      <c r="F706" t="str">
        <f>IF(ISBLANK(Instructions!J713),"",Instructions!J713)</f>
        <v>Erica Williams</v>
      </c>
      <c r="G706" s="1" t="str">
        <f>IF(ISBLANK(Instructions!K713),"",Instructions!K713)</f>
        <v/>
      </c>
      <c r="H706" t="str">
        <f>IF(ISBLANK(Instructions!L713),"",Instructions!L713)</f>
        <v/>
      </c>
      <c r="I706" t="str">
        <f t="shared" si="26"/>
        <v>NULL</v>
      </c>
      <c r="J706" t="str">
        <f t="shared" si="26"/>
        <v>NULL</v>
      </c>
      <c r="K706" t="str">
        <f>Instructions!M713</f>
        <v>Added via SMSS</v>
      </c>
      <c r="L706" t="str">
        <f t="shared" si="22"/>
        <v>NULL</v>
      </c>
    </row>
    <row r="707" spans="1:12" x14ac:dyDescent="0.25">
      <c r="A707" t="str" cm="1">
        <f t="array" ref="A707">_xlfn.CONCAT(Instructions!C714,Instructions!A714,"_",TEXT(Instructions!B714,"YYYYMMDD"),"_1_",INDEX(Table1[], MATCH(1,(Table1[Estuary]=Instructions!C714)*(Table1[StationNumber]=Instructions!D714)*(Instructions!B714&gt;Table1[StartDate])*(Instructions!B714&lt;Table1[EndDate]),0),1),"_1_",Instructions!E714,"_",Instructions!F714)</f>
        <v>TBSRVY_20190924_1_0291_1_015_006</v>
      </c>
      <c r="B707" t="str" cm="1">
        <f t="array" ref="B707">_xlfn.CONCAT(Instructions!C714,Instructions!A714,"_",TEXT(Instructions!B714,"YYYYMMDD"),"_1_",INDEX(Table1[], MATCH(1,(Table1[Estuary]=Instructions!C714)*(Table1[StationNumber]=Instructions!D714)*(Instructions!B714&gt;Table1[StartDate])*(Instructions!B714&lt;Table1[EndDate]),0),1),"_1_",Instructions!E714)</f>
        <v>TBSRVY_20190924_1_0291_1_015</v>
      </c>
      <c r="C707">
        <f>Instructions!G714</f>
        <v>22</v>
      </c>
      <c r="D707" t="str">
        <f>IF(ISBLANK(Instructions!H714),"",Instructions!H714)</f>
        <v>Entered</v>
      </c>
      <c r="E707" s="1">
        <f>IF(ISBLANK(Instructions!I714),"",Instructions!I714)</f>
        <v>45646</v>
      </c>
      <c r="F707" t="str">
        <f>IF(ISBLANK(Instructions!J714),"",Instructions!J714)</f>
        <v>Erica Williams</v>
      </c>
      <c r="G707" s="1" t="str">
        <f>IF(ISBLANK(Instructions!K714),"",Instructions!K714)</f>
        <v/>
      </c>
      <c r="H707" t="str">
        <f>IF(ISBLANK(Instructions!L714),"",Instructions!L714)</f>
        <v/>
      </c>
      <c r="I707" t="str">
        <f t="shared" si="26"/>
        <v>NULL</v>
      </c>
      <c r="J707" t="str">
        <f t="shared" si="26"/>
        <v>NULL</v>
      </c>
      <c r="K707" t="str">
        <f>Instructions!M714</f>
        <v>Added via SMSS</v>
      </c>
      <c r="L707" t="str">
        <f t="shared" si="22"/>
        <v>NULL</v>
      </c>
    </row>
    <row r="708" spans="1:12" x14ac:dyDescent="0.25">
      <c r="A708" t="str" cm="1">
        <f t="array" ref="A708">_xlfn.CONCAT(Instructions!C715,Instructions!A715,"_",TEXT(Instructions!B715,"YYYYMMDD"),"_1_",INDEX(Table1[], MATCH(1,(Table1[Estuary]=Instructions!C715)*(Table1[StationNumber]=Instructions!D715)*(Instructions!B715&gt;Table1[StartDate])*(Instructions!B715&lt;Table1[EndDate]),0),1),"_1_",Instructions!E715,"_",Instructions!F715)</f>
        <v>TBSRVY_20190924_1_0291_1_015_007</v>
      </c>
      <c r="B708" t="str" cm="1">
        <f t="array" ref="B708">_xlfn.CONCAT(Instructions!C715,Instructions!A715,"_",TEXT(Instructions!B715,"YYYYMMDD"),"_1_",INDEX(Table1[], MATCH(1,(Table1[Estuary]=Instructions!C715)*(Table1[StationNumber]=Instructions!D715)*(Instructions!B715&gt;Table1[StartDate])*(Instructions!B715&lt;Table1[EndDate]),0),1),"_1_",Instructions!E715)</f>
        <v>TBSRVY_20190924_1_0291_1_015</v>
      </c>
      <c r="C708">
        <f>Instructions!G715</f>
        <v>75</v>
      </c>
      <c r="D708" t="str">
        <f>IF(ISBLANK(Instructions!H715),"",Instructions!H715)</f>
        <v>Entered</v>
      </c>
      <c r="E708" s="1">
        <f>IF(ISBLANK(Instructions!I715),"",Instructions!I715)</f>
        <v>45646</v>
      </c>
      <c r="F708" t="str">
        <f>IF(ISBLANK(Instructions!J715),"",Instructions!J715)</f>
        <v>Erica Williams</v>
      </c>
      <c r="G708" s="1" t="str">
        <f>IF(ISBLANK(Instructions!K715),"",Instructions!K715)</f>
        <v/>
      </c>
      <c r="H708" t="str">
        <f>IF(ISBLANK(Instructions!L715),"",Instructions!L715)</f>
        <v/>
      </c>
      <c r="I708" t="str">
        <f t="shared" si="26"/>
        <v>NULL</v>
      </c>
      <c r="J708" t="str">
        <f t="shared" si="26"/>
        <v>NULL</v>
      </c>
      <c r="K708" t="str">
        <f>Instructions!M715</f>
        <v>Added via SMSS</v>
      </c>
      <c r="L708" t="str">
        <f t="shared" si="22"/>
        <v>NULL</v>
      </c>
    </row>
    <row r="709" spans="1:12" x14ac:dyDescent="0.25">
      <c r="A709" t="str" cm="1">
        <f t="array" ref="A709">_xlfn.CONCAT(Instructions!C716,Instructions!A716,"_",TEXT(Instructions!B716,"YYYYMMDD"),"_1_",INDEX(Table1[], MATCH(1,(Table1[Estuary]=Instructions!C716)*(Table1[StationNumber]=Instructions!D716)*(Instructions!B716&gt;Table1[StartDate])*(Instructions!B716&lt;Table1[EndDate]),0),1),"_1_",Instructions!E716,"_",Instructions!F716)</f>
        <v>TBSRVY_20190924_1_0291_1_015_008</v>
      </c>
      <c r="B709" t="str" cm="1">
        <f t="array" ref="B709">_xlfn.CONCAT(Instructions!C716,Instructions!A716,"_",TEXT(Instructions!B716,"YYYYMMDD"),"_1_",INDEX(Table1[], MATCH(1,(Table1[Estuary]=Instructions!C716)*(Table1[StationNumber]=Instructions!D716)*(Instructions!B716&gt;Table1[StartDate])*(Instructions!B716&lt;Table1[EndDate]),0),1),"_1_",Instructions!E716)</f>
        <v>TBSRVY_20190924_1_0291_1_015</v>
      </c>
      <c r="C709">
        <f>Instructions!G716</f>
        <v>26</v>
      </c>
      <c r="D709" t="str">
        <f>IF(ISBLANK(Instructions!H716),"",Instructions!H716)</f>
        <v>Entered</v>
      </c>
      <c r="E709" s="1">
        <f>IF(ISBLANK(Instructions!I716),"",Instructions!I716)</f>
        <v>45646</v>
      </c>
      <c r="F709" t="str">
        <f>IF(ISBLANK(Instructions!J716),"",Instructions!J716)</f>
        <v>Erica Williams</v>
      </c>
      <c r="G709" s="1" t="str">
        <f>IF(ISBLANK(Instructions!K716),"",Instructions!K716)</f>
        <v/>
      </c>
      <c r="H709" t="str">
        <f>IF(ISBLANK(Instructions!L716),"",Instructions!L716)</f>
        <v/>
      </c>
      <c r="I709" t="str">
        <f t="shared" si="26"/>
        <v>NULL</v>
      </c>
      <c r="J709" t="str">
        <f t="shared" si="26"/>
        <v>NULL</v>
      </c>
      <c r="K709" t="str">
        <f>Instructions!M716</f>
        <v>Added via SMSS</v>
      </c>
      <c r="L709" t="str">
        <f t="shared" si="22"/>
        <v>NULL</v>
      </c>
    </row>
    <row r="710" spans="1:12" x14ac:dyDescent="0.25">
      <c r="A710" t="str" cm="1">
        <f t="array" ref="A710">_xlfn.CONCAT(Instructions!C717,Instructions!A717,"_",TEXT(Instructions!B717,"YYYYMMDD"),"_1_",INDEX(Table1[], MATCH(1,(Table1[Estuary]=Instructions!C717)*(Table1[StationNumber]=Instructions!D717)*(Instructions!B717&gt;Table1[StartDate])*(Instructions!B717&lt;Table1[EndDate]),0),1),"_1_",Instructions!E717,"_",Instructions!F717)</f>
        <v>TBSRVY_20190924_1_0291_1_015_009</v>
      </c>
      <c r="B710" t="str" cm="1">
        <f t="array" ref="B710">_xlfn.CONCAT(Instructions!C717,Instructions!A717,"_",TEXT(Instructions!B717,"YYYYMMDD"),"_1_",INDEX(Table1[], MATCH(1,(Table1[Estuary]=Instructions!C717)*(Table1[StationNumber]=Instructions!D717)*(Instructions!B717&gt;Table1[StartDate])*(Instructions!B717&lt;Table1[EndDate]),0),1),"_1_",Instructions!E717)</f>
        <v>TBSRVY_20190924_1_0291_1_015</v>
      </c>
      <c r="C710">
        <f>Instructions!G717</f>
        <v>81</v>
      </c>
      <c r="D710" t="str">
        <f>IF(ISBLANK(Instructions!H717),"",Instructions!H717)</f>
        <v>Entered</v>
      </c>
      <c r="E710" s="1">
        <f>IF(ISBLANK(Instructions!I717),"",Instructions!I717)</f>
        <v>45646</v>
      </c>
      <c r="F710" t="str">
        <f>IF(ISBLANK(Instructions!J717),"",Instructions!J717)</f>
        <v>Erica Williams</v>
      </c>
      <c r="G710" s="1" t="str">
        <f>IF(ISBLANK(Instructions!K717),"",Instructions!K717)</f>
        <v/>
      </c>
      <c r="H710" t="str">
        <f>IF(ISBLANK(Instructions!L717),"",Instructions!L717)</f>
        <v/>
      </c>
      <c r="I710" t="str">
        <f t="shared" si="26"/>
        <v>NULL</v>
      </c>
      <c r="J710" t="str">
        <f t="shared" si="26"/>
        <v>NULL</v>
      </c>
      <c r="K710" t="str">
        <f>Instructions!M717</f>
        <v>Added via SMSS</v>
      </c>
      <c r="L710" t="str">
        <f t="shared" si="22"/>
        <v>NULL</v>
      </c>
    </row>
    <row r="711" spans="1:12" x14ac:dyDescent="0.25">
      <c r="A711" t="str" cm="1">
        <f t="array" ref="A711">_xlfn.CONCAT(Instructions!C718,Instructions!A718,"_",TEXT(Instructions!B718,"YYYYMMDD"),"_1_",INDEX(Table1[], MATCH(1,(Table1[Estuary]=Instructions!C718)*(Table1[StationNumber]=Instructions!D718)*(Instructions!B718&gt;Table1[StartDate])*(Instructions!B718&lt;Table1[EndDate]),0),1),"_1_",Instructions!E718,"_",Instructions!F718)</f>
        <v>TBSRVY_20190924_1_0291_1_015_010</v>
      </c>
      <c r="B711" t="str" cm="1">
        <f t="array" ref="B711">_xlfn.CONCAT(Instructions!C718,Instructions!A718,"_",TEXT(Instructions!B718,"YYYYMMDD"),"_1_",INDEX(Table1[], MATCH(1,(Table1[Estuary]=Instructions!C718)*(Table1[StationNumber]=Instructions!D718)*(Instructions!B718&gt;Table1[StartDate])*(Instructions!B718&lt;Table1[EndDate]),0),1),"_1_",Instructions!E718)</f>
        <v>TBSRVY_20190924_1_0291_1_015</v>
      </c>
      <c r="C711">
        <f>Instructions!G718</f>
        <v>22</v>
      </c>
      <c r="D711" t="str">
        <f>IF(ISBLANK(Instructions!H718),"",Instructions!H718)</f>
        <v>Entered</v>
      </c>
      <c r="E711" s="1">
        <f>IF(ISBLANK(Instructions!I718),"",Instructions!I718)</f>
        <v>45646</v>
      </c>
      <c r="F711" t="str">
        <f>IF(ISBLANK(Instructions!J718),"",Instructions!J718)</f>
        <v>Erica Williams</v>
      </c>
      <c r="G711" s="1" t="str">
        <f>IF(ISBLANK(Instructions!K718),"",Instructions!K718)</f>
        <v/>
      </c>
      <c r="H711" t="str">
        <f>IF(ISBLANK(Instructions!L718),"",Instructions!L718)</f>
        <v/>
      </c>
      <c r="I711" t="str">
        <f t="shared" si="26"/>
        <v>NULL</v>
      </c>
      <c r="J711" t="str">
        <f t="shared" si="26"/>
        <v>NULL</v>
      </c>
      <c r="K711" t="str">
        <f>Instructions!M718</f>
        <v>Added via SMSS</v>
      </c>
      <c r="L711" t="str">
        <f t="shared" si="22"/>
        <v>NULL</v>
      </c>
    </row>
    <row r="712" spans="1:12" x14ac:dyDescent="0.25">
      <c r="A712" t="str" cm="1">
        <f t="array" ref="A712">_xlfn.CONCAT(Instructions!C719,Instructions!A719,"_",TEXT(Instructions!B719,"YYYYMMDD"),"_1_",INDEX(Table1[], MATCH(1,(Table1[Estuary]=Instructions!C719)*(Table1[StationNumber]=Instructions!D719)*(Instructions!B719&gt;Table1[StartDate])*(Instructions!B719&lt;Table1[EndDate]),0),1),"_1_",Instructions!E719,"_",Instructions!F719)</f>
        <v>TBSRVY_20190924_1_0291_1_015_011</v>
      </c>
      <c r="B712" t="str" cm="1">
        <f t="array" ref="B712">_xlfn.CONCAT(Instructions!C719,Instructions!A719,"_",TEXT(Instructions!B719,"YYYYMMDD"),"_1_",INDEX(Table1[], MATCH(1,(Table1[Estuary]=Instructions!C719)*(Table1[StationNumber]=Instructions!D719)*(Instructions!B719&gt;Table1[StartDate])*(Instructions!B719&lt;Table1[EndDate]),0),1),"_1_",Instructions!E719)</f>
        <v>TBSRVY_20190924_1_0291_1_015</v>
      </c>
      <c r="C712">
        <f>Instructions!G719</f>
        <v>20</v>
      </c>
      <c r="D712" t="str">
        <f>IF(ISBLANK(Instructions!H719),"",Instructions!H719)</f>
        <v>Entered</v>
      </c>
      <c r="E712" s="1">
        <f>IF(ISBLANK(Instructions!I719),"",Instructions!I719)</f>
        <v>45646</v>
      </c>
      <c r="F712" t="str">
        <f>IF(ISBLANK(Instructions!J719),"",Instructions!J719)</f>
        <v>Erica Williams</v>
      </c>
      <c r="G712" s="1" t="str">
        <f>IF(ISBLANK(Instructions!K719),"",Instructions!K719)</f>
        <v/>
      </c>
      <c r="H712" t="str">
        <f>IF(ISBLANK(Instructions!L719),"",Instructions!L719)</f>
        <v/>
      </c>
      <c r="I712" t="str">
        <f t="shared" si="26"/>
        <v>NULL</v>
      </c>
      <c r="J712" t="str">
        <f t="shared" si="26"/>
        <v>NULL</v>
      </c>
      <c r="K712" t="str">
        <f>Instructions!M719</f>
        <v>Added via SMSS</v>
      </c>
      <c r="L712" t="str">
        <f t="shared" si="22"/>
        <v>NULL</v>
      </c>
    </row>
    <row r="713" spans="1:12" x14ac:dyDescent="0.25">
      <c r="A713" t="str" cm="1">
        <f t="array" ref="A713">_xlfn.CONCAT(Instructions!C720,Instructions!A720,"_",TEXT(Instructions!B720,"YYYYMMDD"),"_1_",INDEX(Table1[], MATCH(1,(Table1[Estuary]=Instructions!C720)*(Table1[StationNumber]=Instructions!D720)*(Instructions!B720&gt;Table1[StartDate])*(Instructions!B720&lt;Table1[EndDate]),0),1),"_1_",Instructions!E720,"_",Instructions!F720)</f>
        <v>TBSRVY_20190924_1_0291_1_015_012</v>
      </c>
      <c r="B713" t="str" cm="1">
        <f t="array" ref="B713">_xlfn.CONCAT(Instructions!C720,Instructions!A720,"_",TEXT(Instructions!B720,"YYYYMMDD"),"_1_",INDEX(Table1[], MATCH(1,(Table1[Estuary]=Instructions!C720)*(Table1[StationNumber]=Instructions!D720)*(Instructions!B720&gt;Table1[StartDate])*(Instructions!B720&lt;Table1[EndDate]),0),1),"_1_",Instructions!E720)</f>
        <v>TBSRVY_20190924_1_0291_1_015</v>
      </c>
      <c r="C713">
        <f>Instructions!G720</f>
        <v>12</v>
      </c>
      <c r="D713" t="str">
        <f>IF(ISBLANK(Instructions!H720),"",Instructions!H720)</f>
        <v>Entered</v>
      </c>
      <c r="E713" s="1">
        <f>IF(ISBLANK(Instructions!I720),"",Instructions!I720)</f>
        <v>45646</v>
      </c>
      <c r="F713" t="str">
        <f>IF(ISBLANK(Instructions!J720),"",Instructions!J720)</f>
        <v>Erica Williams</v>
      </c>
      <c r="G713" s="1" t="str">
        <f>IF(ISBLANK(Instructions!K720),"",Instructions!K720)</f>
        <v/>
      </c>
      <c r="H713" t="str">
        <f>IF(ISBLANK(Instructions!L720),"",Instructions!L720)</f>
        <v/>
      </c>
      <c r="I713" t="str">
        <f t="shared" si="26"/>
        <v>NULL</v>
      </c>
      <c r="J713" t="str">
        <f t="shared" si="26"/>
        <v>NULL</v>
      </c>
      <c r="K713" t="str">
        <f>Instructions!M720</f>
        <v>Added via SMSS</v>
      </c>
      <c r="L713" t="str">
        <f t="shared" si="22"/>
        <v>NULL</v>
      </c>
    </row>
    <row r="714" spans="1:12" x14ac:dyDescent="0.25">
      <c r="A714" t="str" cm="1">
        <f t="array" ref="A714">_xlfn.CONCAT(Instructions!C721,Instructions!A721,"_",TEXT(Instructions!B721,"YYYYMMDD"),"_1_",INDEX(Table1[], MATCH(1,(Table1[Estuary]=Instructions!C721)*(Table1[StationNumber]=Instructions!D721)*(Instructions!B721&gt;Table1[StartDate])*(Instructions!B721&lt;Table1[EndDate]),0),1),"_1_",Instructions!E721,"_",Instructions!F721)</f>
        <v>TBSRVY_20190924_1_0291_1_015_013</v>
      </c>
      <c r="B714" t="str" cm="1">
        <f t="array" ref="B714">_xlfn.CONCAT(Instructions!C721,Instructions!A721,"_",TEXT(Instructions!B721,"YYYYMMDD"),"_1_",INDEX(Table1[], MATCH(1,(Table1[Estuary]=Instructions!C721)*(Table1[StationNumber]=Instructions!D721)*(Instructions!B721&gt;Table1[StartDate])*(Instructions!B721&lt;Table1[EndDate]),0),1),"_1_",Instructions!E721)</f>
        <v>TBSRVY_20190924_1_0291_1_015</v>
      </c>
      <c r="C714">
        <f>Instructions!G721</f>
        <v>16</v>
      </c>
      <c r="D714" t="str">
        <f>IF(ISBLANK(Instructions!H721),"",Instructions!H721)</f>
        <v>Entered</v>
      </c>
      <c r="E714" s="1">
        <f>IF(ISBLANK(Instructions!I721),"",Instructions!I721)</f>
        <v>45646</v>
      </c>
      <c r="F714" t="str">
        <f>IF(ISBLANK(Instructions!J721),"",Instructions!J721)</f>
        <v>Erica Williams</v>
      </c>
      <c r="G714" s="1" t="str">
        <f>IF(ISBLANK(Instructions!K721),"",Instructions!K721)</f>
        <v/>
      </c>
      <c r="H714" t="str">
        <f>IF(ISBLANK(Instructions!L721),"",Instructions!L721)</f>
        <v/>
      </c>
      <c r="I714" t="str">
        <f t="shared" si="26"/>
        <v>NULL</v>
      </c>
      <c r="J714" t="str">
        <f t="shared" si="26"/>
        <v>NULL</v>
      </c>
      <c r="K714" t="str">
        <f>Instructions!M721</f>
        <v>Added via SMSS</v>
      </c>
      <c r="L714" t="str">
        <f t="shared" si="22"/>
        <v>NULL</v>
      </c>
    </row>
    <row r="715" spans="1:12" x14ac:dyDescent="0.25">
      <c r="A715" t="str" cm="1">
        <f t="array" ref="A715">_xlfn.CONCAT(Instructions!C722,Instructions!A722,"_",TEXT(Instructions!B722,"YYYYMMDD"),"_1_",INDEX(Table1[], MATCH(1,(Table1[Estuary]=Instructions!C722)*(Table1[StationNumber]=Instructions!D722)*(Instructions!B722&gt;Table1[StartDate])*(Instructions!B722&lt;Table1[EndDate]),0),1),"_1_",Instructions!E722,"_",Instructions!F722)</f>
        <v>TBSRVY_20190924_1_0291_1_015_014</v>
      </c>
      <c r="B715" t="str" cm="1">
        <f t="array" ref="B715">_xlfn.CONCAT(Instructions!C722,Instructions!A722,"_",TEXT(Instructions!B722,"YYYYMMDD"),"_1_",INDEX(Table1[], MATCH(1,(Table1[Estuary]=Instructions!C722)*(Table1[StationNumber]=Instructions!D722)*(Instructions!B722&gt;Table1[StartDate])*(Instructions!B722&lt;Table1[EndDate]),0),1),"_1_",Instructions!E722)</f>
        <v>TBSRVY_20190924_1_0291_1_015</v>
      </c>
      <c r="C715">
        <f>Instructions!G722</f>
        <v>50</v>
      </c>
      <c r="D715" t="str">
        <f>IF(ISBLANK(Instructions!H722),"",Instructions!H722)</f>
        <v>Entered</v>
      </c>
      <c r="E715" s="1">
        <f>IF(ISBLANK(Instructions!I722),"",Instructions!I722)</f>
        <v>45646</v>
      </c>
      <c r="F715" t="str">
        <f>IF(ISBLANK(Instructions!J722),"",Instructions!J722)</f>
        <v>Erica Williams</v>
      </c>
      <c r="G715" s="1" t="str">
        <f>IF(ISBLANK(Instructions!K722),"",Instructions!K722)</f>
        <v/>
      </c>
      <c r="H715" t="str">
        <f>IF(ISBLANK(Instructions!L722),"",Instructions!L722)</f>
        <v/>
      </c>
      <c r="I715" t="str">
        <f t="shared" si="26"/>
        <v>NULL</v>
      </c>
      <c r="J715" t="str">
        <f t="shared" si="26"/>
        <v>NULL</v>
      </c>
      <c r="K715" t="str">
        <f>Instructions!M722</f>
        <v>Added via SMSS</v>
      </c>
      <c r="L715" t="str">
        <f t="shared" si="22"/>
        <v>NULL</v>
      </c>
    </row>
    <row r="716" spans="1:12" x14ac:dyDescent="0.25">
      <c r="A716" t="str" cm="1">
        <f t="array" ref="A716">_xlfn.CONCAT(Instructions!C723,Instructions!A723,"_",TEXT(Instructions!B723,"YYYYMMDD"),"_1_",INDEX(Table1[], MATCH(1,(Table1[Estuary]=Instructions!C723)*(Table1[StationNumber]=Instructions!D723)*(Instructions!B723&gt;Table1[StartDate])*(Instructions!B723&lt;Table1[EndDate]),0),1),"_1_",Instructions!E723,"_",Instructions!F723)</f>
        <v>TBSRVY_20190924_1_0291_1_015_015</v>
      </c>
      <c r="B716" t="str" cm="1">
        <f t="array" ref="B716">_xlfn.CONCAT(Instructions!C723,Instructions!A723,"_",TEXT(Instructions!B723,"YYYYMMDD"),"_1_",INDEX(Table1[], MATCH(1,(Table1[Estuary]=Instructions!C723)*(Table1[StationNumber]=Instructions!D723)*(Instructions!B723&gt;Table1[StartDate])*(Instructions!B723&lt;Table1[EndDate]),0),1),"_1_",Instructions!E723)</f>
        <v>TBSRVY_20190924_1_0291_1_015</v>
      </c>
      <c r="C716">
        <f>Instructions!G723</f>
        <v>27</v>
      </c>
      <c r="D716" t="str">
        <f>IF(ISBLANK(Instructions!H723),"",Instructions!H723)</f>
        <v>Entered</v>
      </c>
      <c r="E716" s="1">
        <f>IF(ISBLANK(Instructions!I723),"",Instructions!I723)</f>
        <v>45646</v>
      </c>
      <c r="F716" t="str">
        <f>IF(ISBLANK(Instructions!J723),"",Instructions!J723)</f>
        <v>Erica Williams</v>
      </c>
      <c r="G716" s="1" t="str">
        <f>IF(ISBLANK(Instructions!K723),"",Instructions!K723)</f>
        <v/>
      </c>
      <c r="H716" t="str">
        <f>IF(ISBLANK(Instructions!L723),"",Instructions!L723)</f>
        <v/>
      </c>
      <c r="I716" t="str">
        <f t="shared" si="26"/>
        <v>NULL</v>
      </c>
      <c r="J716" t="str">
        <f t="shared" si="26"/>
        <v>NULL</v>
      </c>
      <c r="K716" t="str">
        <f>Instructions!M723</f>
        <v>Added via SMSS</v>
      </c>
      <c r="L716" t="str">
        <f t="shared" si="22"/>
        <v>NULL</v>
      </c>
    </row>
    <row r="717" spans="1:12" x14ac:dyDescent="0.25">
      <c r="A717" t="str" cm="1">
        <f t="array" ref="A717">_xlfn.CONCAT(Instructions!C724,Instructions!A724,"_",TEXT(Instructions!B724,"YYYYMMDD"),"_1_",INDEX(Table1[], MATCH(1,(Table1[Estuary]=Instructions!C724)*(Table1[StationNumber]=Instructions!D724)*(Instructions!B724&gt;Table1[StartDate])*(Instructions!B724&lt;Table1[EndDate]),0),1),"_1_",Instructions!E724,"_",Instructions!F724)</f>
        <v>TBSRVY_20190924_1_0291_1_015_016</v>
      </c>
      <c r="B717" t="str" cm="1">
        <f t="array" ref="B717">_xlfn.CONCAT(Instructions!C724,Instructions!A724,"_",TEXT(Instructions!B724,"YYYYMMDD"),"_1_",INDEX(Table1[], MATCH(1,(Table1[Estuary]=Instructions!C724)*(Table1[StationNumber]=Instructions!D724)*(Instructions!B724&gt;Table1[StartDate])*(Instructions!B724&lt;Table1[EndDate]),0),1),"_1_",Instructions!E724)</f>
        <v>TBSRVY_20190924_1_0291_1_015</v>
      </c>
      <c r="C717">
        <f>Instructions!G724</f>
        <v>22</v>
      </c>
      <c r="D717" t="str">
        <f>IF(ISBLANK(Instructions!H724),"",Instructions!H724)</f>
        <v>Entered</v>
      </c>
      <c r="E717" s="1">
        <f>IF(ISBLANK(Instructions!I724),"",Instructions!I724)</f>
        <v>45646</v>
      </c>
      <c r="F717" t="str">
        <f>IF(ISBLANK(Instructions!J724),"",Instructions!J724)</f>
        <v>Erica Williams</v>
      </c>
      <c r="G717" s="1" t="str">
        <f>IF(ISBLANK(Instructions!K724),"",Instructions!K724)</f>
        <v/>
      </c>
      <c r="H717" t="str">
        <f>IF(ISBLANK(Instructions!L724),"",Instructions!L724)</f>
        <v/>
      </c>
      <c r="I717" t="str">
        <f t="shared" si="26"/>
        <v>NULL</v>
      </c>
      <c r="J717" t="str">
        <f t="shared" si="26"/>
        <v>NULL</v>
      </c>
      <c r="K717" t="str">
        <f>Instructions!M724</f>
        <v>Added via SMSS</v>
      </c>
      <c r="L717" t="str">
        <f t="shared" si="22"/>
        <v>NULL</v>
      </c>
    </row>
    <row r="718" spans="1:12" x14ac:dyDescent="0.25">
      <c r="A718" t="str" cm="1">
        <f t="array" ref="A718">_xlfn.CONCAT(Instructions!C725,Instructions!A725,"_",TEXT(Instructions!B725,"YYYYMMDD"),"_1_",INDEX(Table1[], MATCH(1,(Table1[Estuary]=Instructions!C725)*(Table1[StationNumber]=Instructions!D725)*(Instructions!B725&gt;Table1[StartDate])*(Instructions!B725&lt;Table1[EndDate]),0),1),"_1_",Instructions!E725,"_",Instructions!F725)</f>
        <v>TBSRVY_20190924_1_0291_1_015_017</v>
      </c>
      <c r="B718" t="str" cm="1">
        <f t="array" ref="B718">_xlfn.CONCAT(Instructions!C725,Instructions!A725,"_",TEXT(Instructions!B725,"YYYYMMDD"),"_1_",INDEX(Table1[], MATCH(1,(Table1[Estuary]=Instructions!C725)*(Table1[StationNumber]=Instructions!D725)*(Instructions!B725&gt;Table1[StartDate])*(Instructions!B725&lt;Table1[EndDate]),0),1),"_1_",Instructions!E725)</f>
        <v>TBSRVY_20190924_1_0291_1_015</v>
      </c>
      <c r="C718">
        <f>Instructions!G725</f>
        <v>9</v>
      </c>
      <c r="D718" t="str">
        <f>IF(ISBLANK(Instructions!H725),"",Instructions!H725)</f>
        <v>Entered</v>
      </c>
      <c r="E718" s="1">
        <f>IF(ISBLANK(Instructions!I725),"",Instructions!I725)</f>
        <v>45646</v>
      </c>
      <c r="F718" t="str">
        <f>IF(ISBLANK(Instructions!J725),"",Instructions!J725)</f>
        <v>Erica Williams</v>
      </c>
      <c r="G718" s="1" t="str">
        <f>IF(ISBLANK(Instructions!K725),"",Instructions!K725)</f>
        <v/>
      </c>
      <c r="H718" t="str">
        <f>IF(ISBLANK(Instructions!L725),"",Instructions!L725)</f>
        <v/>
      </c>
      <c r="I718" t="str">
        <f t="shared" si="26"/>
        <v>NULL</v>
      </c>
      <c r="J718" t="str">
        <f t="shared" si="26"/>
        <v>NULL</v>
      </c>
      <c r="K718" t="str">
        <f>Instructions!M725</f>
        <v>Added via SMSS</v>
      </c>
      <c r="L718" t="str">
        <f t="shared" si="22"/>
        <v>NULL</v>
      </c>
    </row>
    <row r="719" spans="1:12" x14ac:dyDescent="0.25">
      <c r="A719" t="str" cm="1">
        <f t="array" ref="A719">_xlfn.CONCAT(Instructions!C726,Instructions!A726,"_",TEXT(Instructions!B726,"YYYYMMDD"),"_1_",INDEX(Table1[], MATCH(1,(Table1[Estuary]=Instructions!C726)*(Table1[StationNumber]=Instructions!D726)*(Instructions!B726&gt;Table1[StartDate])*(Instructions!B726&lt;Table1[EndDate]),0),1),"_1_",Instructions!E726,"_",Instructions!F726)</f>
        <v>TBSRVY_20190924_1_0291_1_015_018</v>
      </c>
      <c r="B719" t="str" cm="1">
        <f t="array" ref="B719">_xlfn.CONCAT(Instructions!C726,Instructions!A726,"_",TEXT(Instructions!B726,"YYYYMMDD"),"_1_",INDEX(Table1[], MATCH(1,(Table1[Estuary]=Instructions!C726)*(Table1[StationNumber]=Instructions!D726)*(Instructions!B726&gt;Table1[StartDate])*(Instructions!B726&lt;Table1[EndDate]),0),1),"_1_",Instructions!E726)</f>
        <v>TBSRVY_20190924_1_0291_1_015</v>
      </c>
      <c r="C719">
        <f>Instructions!G726</f>
        <v>16</v>
      </c>
      <c r="D719" t="str">
        <f>IF(ISBLANK(Instructions!H726),"",Instructions!H726)</f>
        <v>Entered</v>
      </c>
      <c r="E719" s="1">
        <f>IF(ISBLANK(Instructions!I726),"",Instructions!I726)</f>
        <v>45646</v>
      </c>
      <c r="F719" t="str">
        <f>IF(ISBLANK(Instructions!J726),"",Instructions!J726)</f>
        <v>Erica Williams</v>
      </c>
      <c r="G719" s="1" t="str">
        <f>IF(ISBLANK(Instructions!K726),"",Instructions!K726)</f>
        <v/>
      </c>
      <c r="H719" t="str">
        <f>IF(ISBLANK(Instructions!L726),"",Instructions!L726)</f>
        <v/>
      </c>
      <c r="I719" t="str">
        <f t="shared" si="26"/>
        <v>NULL</v>
      </c>
      <c r="J719" t="str">
        <f t="shared" si="26"/>
        <v>NULL</v>
      </c>
      <c r="K719" t="str">
        <f>Instructions!M726</f>
        <v>Added via SMSS</v>
      </c>
      <c r="L719" t="str">
        <f t="shared" si="22"/>
        <v>NULL</v>
      </c>
    </row>
    <row r="720" spans="1:12" x14ac:dyDescent="0.25">
      <c r="A720" t="str" cm="1">
        <f t="array" ref="A720">_xlfn.CONCAT(Instructions!C727,Instructions!A727,"_",TEXT(Instructions!B727,"YYYYMMDD"),"_1_",INDEX(Table1[], MATCH(1,(Table1[Estuary]=Instructions!C727)*(Table1[StationNumber]=Instructions!D727)*(Instructions!B727&gt;Table1[StartDate])*(Instructions!B727&lt;Table1[EndDate]),0),1),"_1_",Instructions!E727,"_",Instructions!F727)</f>
        <v>TBSRVY_20190924_1_0291_1_015_019</v>
      </c>
      <c r="B720" t="str" cm="1">
        <f t="array" ref="B720">_xlfn.CONCAT(Instructions!C727,Instructions!A727,"_",TEXT(Instructions!B727,"YYYYMMDD"),"_1_",INDEX(Table1[], MATCH(1,(Table1[Estuary]=Instructions!C727)*(Table1[StationNumber]=Instructions!D727)*(Instructions!B727&gt;Table1[StartDate])*(Instructions!B727&lt;Table1[EndDate]),0),1),"_1_",Instructions!E727)</f>
        <v>TBSRVY_20190924_1_0291_1_015</v>
      </c>
      <c r="C720">
        <f>Instructions!G727</f>
        <v>28</v>
      </c>
      <c r="D720" t="str">
        <f>IF(ISBLANK(Instructions!H727),"",Instructions!H727)</f>
        <v>Entered</v>
      </c>
      <c r="E720" s="1">
        <f>IF(ISBLANK(Instructions!I727),"",Instructions!I727)</f>
        <v>45646</v>
      </c>
      <c r="F720" t="str">
        <f>IF(ISBLANK(Instructions!J727),"",Instructions!J727)</f>
        <v>Erica Williams</v>
      </c>
      <c r="G720" s="1" t="str">
        <f>IF(ISBLANK(Instructions!K727),"",Instructions!K727)</f>
        <v/>
      </c>
      <c r="H720" t="str">
        <f>IF(ISBLANK(Instructions!L727),"",Instructions!L727)</f>
        <v/>
      </c>
      <c r="I720" t="str">
        <f t="shared" si="26"/>
        <v>NULL</v>
      </c>
      <c r="J720" t="str">
        <f t="shared" si="26"/>
        <v>NULL</v>
      </c>
      <c r="K720" t="str">
        <f>Instructions!M727</f>
        <v>Added via SMSS</v>
      </c>
      <c r="L720" t="str">
        <f t="shared" si="22"/>
        <v>NULL</v>
      </c>
    </row>
    <row r="721" spans="1:12" x14ac:dyDescent="0.25">
      <c r="A721" t="str" cm="1">
        <f t="array" ref="A721">_xlfn.CONCAT(Instructions!C728,Instructions!A728,"_",TEXT(Instructions!B728,"YYYYMMDD"),"_1_",INDEX(Table1[], MATCH(1,(Table1[Estuary]=Instructions!C728)*(Table1[StationNumber]=Instructions!D728)*(Instructions!B728&gt;Table1[StartDate])*(Instructions!B728&lt;Table1[EndDate]),0),1),"_1_",Instructions!E728,"_",Instructions!F728)</f>
        <v>TBSRVY_20190924_1_0291_1_015_020</v>
      </c>
      <c r="B721" t="str" cm="1">
        <f t="array" ref="B721">_xlfn.CONCAT(Instructions!C728,Instructions!A728,"_",TEXT(Instructions!B728,"YYYYMMDD"),"_1_",INDEX(Table1[], MATCH(1,(Table1[Estuary]=Instructions!C728)*(Table1[StationNumber]=Instructions!D728)*(Instructions!B728&gt;Table1[StartDate])*(Instructions!B728&lt;Table1[EndDate]),0),1),"_1_",Instructions!E728)</f>
        <v>TBSRVY_20190924_1_0291_1_015</v>
      </c>
      <c r="C721">
        <f>Instructions!G728</f>
        <v>14</v>
      </c>
      <c r="D721" t="str">
        <f>IF(ISBLANK(Instructions!H728),"",Instructions!H728)</f>
        <v>Entered</v>
      </c>
      <c r="E721" s="1">
        <f>IF(ISBLANK(Instructions!I728),"",Instructions!I728)</f>
        <v>45646</v>
      </c>
      <c r="F721" t="str">
        <f>IF(ISBLANK(Instructions!J728),"",Instructions!J728)</f>
        <v>Erica Williams</v>
      </c>
      <c r="G721" s="1" t="str">
        <f>IF(ISBLANK(Instructions!K728),"",Instructions!K728)</f>
        <v/>
      </c>
      <c r="H721" t="str">
        <f>IF(ISBLANK(Instructions!L728),"",Instructions!L728)</f>
        <v/>
      </c>
      <c r="I721" t="str">
        <f t="shared" si="26"/>
        <v>NULL</v>
      </c>
      <c r="J721" t="str">
        <f t="shared" si="26"/>
        <v>NULL</v>
      </c>
      <c r="K721" t="str">
        <f>Instructions!M728</f>
        <v>Added via SMSS</v>
      </c>
      <c r="L721" t="str">
        <f t="shared" si="22"/>
        <v>NULL</v>
      </c>
    </row>
    <row r="722" spans="1:12" x14ac:dyDescent="0.25">
      <c r="A722" t="str" cm="1">
        <f t="array" ref="A722">_xlfn.CONCAT(Instructions!C729,Instructions!A729,"_",TEXT(Instructions!B729,"YYYYMMDD"),"_1_",INDEX(Table1[], MATCH(1,(Table1[Estuary]=Instructions!C729)*(Table1[StationNumber]=Instructions!D729)*(Instructions!B729&gt;Table1[StartDate])*(Instructions!B729&lt;Table1[EndDate]),0),1),"_1_",Instructions!E729,"_",Instructions!F729)</f>
        <v>TBSRVY_20190924_1_0291_1_015_021</v>
      </c>
      <c r="B722" t="str" cm="1">
        <f t="array" ref="B722">_xlfn.CONCAT(Instructions!C729,Instructions!A729,"_",TEXT(Instructions!B729,"YYYYMMDD"),"_1_",INDEX(Table1[], MATCH(1,(Table1[Estuary]=Instructions!C729)*(Table1[StationNumber]=Instructions!D729)*(Instructions!B729&gt;Table1[StartDate])*(Instructions!B729&lt;Table1[EndDate]),0),1),"_1_",Instructions!E729)</f>
        <v>TBSRVY_20190924_1_0291_1_015</v>
      </c>
      <c r="C722">
        <f>Instructions!G729</f>
        <v>30</v>
      </c>
      <c r="D722" t="str">
        <f>IF(ISBLANK(Instructions!H729),"",Instructions!H729)</f>
        <v>Entered</v>
      </c>
      <c r="E722" s="1">
        <f>IF(ISBLANK(Instructions!I729),"",Instructions!I729)</f>
        <v>45646</v>
      </c>
      <c r="F722" t="str">
        <f>IF(ISBLANK(Instructions!J729),"",Instructions!J729)</f>
        <v>Erica Williams</v>
      </c>
      <c r="G722" s="1" t="str">
        <f>IF(ISBLANK(Instructions!K729),"",Instructions!K729)</f>
        <v/>
      </c>
      <c r="H722" t="str">
        <f>IF(ISBLANK(Instructions!L729),"",Instructions!L729)</f>
        <v/>
      </c>
      <c r="I722" t="str">
        <f t="shared" si="26"/>
        <v>NULL</v>
      </c>
      <c r="J722" t="str">
        <f t="shared" si="26"/>
        <v>NULL</v>
      </c>
      <c r="K722" t="str">
        <f>Instructions!M729</f>
        <v>Added via SMSS</v>
      </c>
      <c r="L722" t="str">
        <f t="shared" si="22"/>
        <v>NULL</v>
      </c>
    </row>
    <row r="723" spans="1:12" x14ac:dyDescent="0.25">
      <c r="A723" t="str" cm="1">
        <f t="array" ref="A723">_xlfn.CONCAT(Instructions!C730,Instructions!A730,"_",TEXT(Instructions!B730,"YYYYMMDD"),"_1_",INDEX(Table1[], MATCH(1,(Table1[Estuary]=Instructions!C730)*(Table1[StationNumber]=Instructions!D730)*(Instructions!B730&gt;Table1[StartDate])*(Instructions!B730&lt;Table1[EndDate]),0),1),"_1_",Instructions!E730,"_",Instructions!F730)</f>
        <v>TBSRVY_20190924_1_0291_1_015_022</v>
      </c>
      <c r="B723" t="str" cm="1">
        <f t="array" ref="B723">_xlfn.CONCAT(Instructions!C730,Instructions!A730,"_",TEXT(Instructions!B730,"YYYYMMDD"),"_1_",INDEX(Table1[], MATCH(1,(Table1[Estuary]=Instructions!C730)*(Table1[StationNumber]=Instructions!D730)*(Instructions!B730&gt;Table1[StartDate])*(Instructions!B730&lt;Table1[EndDate]),0),1),"_1_",Instructions!E730)</f>
        <v>TBSRVY_20190924_1_0291_1_015</v>
      </c>
      <c r="C723">
        <f>Instructions!G730</f>
        <v>35</v>
      </c>
      <c r="D723" t="str">
        <f>IF(ISBLANK(Instructions!H730),"",Instructions!H730)</f>
        <v>Entered</v>
      </c>
      <c r="E723" s="1">
        <f>IF(ISBLANK(Instructions!I730),"",Instructions!I730)</f>
        <v>45646</v>
      </c>
      <c r="F723" t="str">
        <f>IF(ISBLANK(Instructions!J730),"",Instructions!J730)</f>
        <v>Erica Williams</v>
      </c>
      <c r="G723" s="1" t="str">
        <f>IF(ISBLANK(Instructions!K730),"",Instructions!K730)</f>
        <v/>
      </c>
      <c r="H723" t="str">
        <f>IF(ISBLANK(Instructions!L730),"",Instructions!L730)</f>
        <v/>
      </c>
      <c r="I723" t="str">
        <f t="shared" si="26"/>
        <v>NULL</v>
      </c>
      <c r="J723" t="str">
        <f t="shared" si="26"/>
        <v>NULL</v>
      </c>
      <c r="K723" t="str">
        <f>Instructions!M730</f>
        <v>Added via SMSS</v>
      </c>
      <c r="L723" t="str">
        <f t="shared" si="22"/>
        <v>NULL</v>
      </c>
    </row>
    <row r="724" spans="1:12" x14ac:dyDescent="0.25">
      <c r="A724" t="str" cm="1">
        <f t="array" ref="A724">_xlfn.CONCAT(Instructions!C731,Instructions!A731,"_",TEXT(Instructions!B731,"YYYYMMDD"),"_1_",INDEX(Table1[], MATCH(1,(Table1[Estuary]=Instructions!C731)*(Table1[StationNumber]=Instructions!D731)*(Instructions!B731&gt;Table1[StartDate])*(Instructions!B731&lt;Table1[EndDate]),0),1),"_1_",Instructions!E731,"_",Instructions!F731)</f>
        <v>TBSRVY_20190924_1_0291_1_015_023</v>
      </c>
      <c r="B724" t="str" cm="1">
        <f t="array" ref="B724">_xlfn.CONCAT(Instructions!C731,Instructions!A731,"_",TEXT(Instructions!B731,"YYYYMMDD"),"_1_",INDEX(Table1[], MATCH(1,(Table1[Estuary]=Instructions!C731)*(Table1[StationNumber]=Instructions!D731)*(Instructions!B731&gt;Table1[StartDate])*(Instructions!B731&lt;Table1[EndDate]),0),1),"_1_",Instructions!E731)</f>
        <v>TBSRVY_20190924_1_0291_1_015</v>
      </c>
      <c r="C724">
        <f>Instructions!G731</f>
        <v>12</v>
      </c>
      <c r="D724" t="str">
        <f>IF(ISBLANK(Instructions!H731),"",Instructions!H731)</f>
        <v>Entered</v>
      </c>
      <c r="E724" s="1">
        <f>IF(ISBLANK(Instructions!I731),"",Instructions!I731)</f>
        <v>45646</v>
      </c>
      <c r="F724" t="str">
        <f>IF(ISBLANK(Instructions!J731),"",Instructions!J731)</f>
        <v>Erica Williams</v>
      </c>
      <c r="G724" s="1" t="str">
        <f>IF(ISBLANK(Instructions!K731),"",Instructions!K731)</f>
        <v/>
      </c>
      <c r="H724" t="str">
        <f>IF(ISBLANK(Instructions!L731),"",Instructions!L731)</f>
        <v/>
      </c>
      <c r="I724" t="str">
        <f t="shared" si="26"/>
        <v>NULL</v>
      </c>
      <c r="J724" t="str">
        <f t="shared" si="26"/>
        <v>NULL</v>
      </c>
      <c r="K724" t="str">
        <f>Instructions!M731</f>
        <v>Added via SMSS</v>
      </c>
      <c r="L724" t="str">
        <f t="shared" si="22"/>
        <v>NULL</v>
      </c>
    </row>
    <row r="725" spans="1:12" x14ac:dyDescent="0.25">
      <c r="A725" t="str" cm="1">
        <f t="array" ref="A725">_xlfn.CONCAT(Instructions!C732,Instructions!A732,"_",TEXT(Instructions!B732,"YYYYMMDD"),"_1_",INDEX(Table1[], MATCH(1,(Table1[Estuary]=Instructions!C732)*(Table1[StationNumber]=Instructions!D732)*(Instructions!B732&gt;Table1[StartDate])*(Instructions!B732&lt;Table1[EndDate]),0),1),"_1_",Instructions!E732,"_",Instructions!F732)</f>
        <v>TBSRVY_20190924_1_0291_1_015_024</v>
      </c>
      <c r="B725" t="str" cm="1">
        <f t="array" ref="B725">_xlfn.CONCAT(Instructions!C732,Instructions!A732,"_",TEXT(Instructions!B732,"YYYYMMDD"),"_1_",INDEX(Table1[], MATCH(1,(Table1[Estuary]=Instructions!C732)*(Table1[StationNumber]=Instructions!D732)*(Instructions!B732&gt;Table1[StartDate])*(Instructions!B732&lt;Table1[EndDate]),0),1),"_1_",Instructions!E732)</f>
        <v>TBSRVY_20190924_1_0291_1_015</v>
      </c>
      <c r="C725">
        <f>Instructions!G732</f>
        <v>50</v>
      </c>
      <c r="D725" t="str">
        <f>IF(ISBLANK(Instructions!H732),"",Instructions!H732)</f>
        <v>Entered</v>
      </c>
      <c r="E725" s="1">
        <f>IF(ISBLANK(Instructions!I732),"",Instructions!I732)</f>
        <v>45646</v>
      </c>
      <c r="F725" t="str">
        <f>IF(ISBLANK(Instructions!J732),"",Instructions!J732)</f>
        <v>Erica Williams</v>
      </c>
      <c r="G725" s="1" t="str">
        <f>IF(ISBLANK(Instructions!K732),"",Instructions!K732)</f>
        <v/>
      </c>
      <c r="H725" t="str">
        <f>IF(ISBLANK(Instructions!L732),"",Instructions!L732)</f>
        <v/>
      </c>
      <c r="I725" t="str">
        <f t="shared" si="26"/>
        <v>NULL</v>
      </c>
      <c r="J725" t="str">
        <f t="shared" si="26"/>
        <v>NULL</v>
      </c>
      <c r="K725" t="str">
        <f>Instructions!M732</f>
        <v>Added via SMSS</v>
      </c>
      <c r="L725" t="str">
        <f t="shared" si="22"/>
        <v>NULL</v>
      </c>
    </row>
    <row r="726" spans="1:12" x14ac:dyDescent="0.25">
      <c r="A726" t="str" cm="1">
        <f t="array" ref="A726">_xlfn.CONCAT(Instructions!C733,Instructions!A733,"_",TEXT(Instructions!B733,"YYYYMMDD"),"_1_",INDEX(Table1[], MATCH(1,(Table1[Estuary]=Instructions!C733)*(Table1[StationNumber]=Instructions!D733)*(Instructions!B733&gt;Table1[StartDate])*(Instructions!B733&lt;Table1[EndDate]),0),1),"_1_",Instructions!E733,"_",Instructions!F733)</f>
        <v>TBSRVY_20190924_1_0291_1_015_025</v>
      </c>
      <c r="B726" t="str" cm="1">
        <f t="array" ref="B726">_xlfn.CONCAT(Instructions!C733,Instructions!A733,"_",TEXT(Instructions!B733,"YYYYMMDD"),"_1_",INDEX(Table1[], MATCH(1,(Table1[Estuary]=Instructions!C733)*(Table1[StationNumber]=Instructions!D733)*(Instructions!B733&gt;Table1[StartDate])*(Instructions!B733&lt;Table1[EndDate]),0),1),"_1_",Instructions!E733)</f>
        <v>TBSRVY_20190924_1_0291_1_015</v>
      </c>
      <c r="C726">
        <f>Instructions!G733</f>
        <v>30</v>
      </c>
      <c r="D726" t="str">
        <f>IF(ISBLANK(Instructions!H733),"",Instructions!H733)</f>
        <v>Entered</v>
      </c>
      <c r="E726" s="1">
        <f>IF(ISBLANK(Instructions!I733),"",Instructions!I733)</f>
        <v>45646</v>
      </c>
      <c r="F726" t="str">
        <f>IF(ISBLANK(Instructions!J733),"",Instructions!J733)</f>
        <v>Erica Williams</v>
      </c>
      <c r="G726" s="1" t="str">
        <f>IF(ISBLANK(Instructions!K733),"",Instructions!K733)</f>
        <v/>
      </c>
      <c r="H726" t="str">
        <f>IF(ISBLANK(Instructions!L733),"",Instructions!L733)</f>
        <v/>
      </c>
      <c r="I726" t="str">
        <f t="shared" si="26"/>
        <v>NULL</v>
      </c>
      <c r="J726" t="str">
        <f t="shared" si="26"/>
        <v>NULL</v>
      </c>
      <c r="K726" t="str">
        <f>Instructions!M733</f>
        <v>Added via SMSS</v>
      </c>
      <c r="L726" t="str">
        <f t="shared" si="22"/>
        <v>NULL</v>
      </c>
    </row>
    <row r="727" spans="1:12" x14ac:dyDescent="0.25">
      <c r="A727" t="str" cm="1">
        <f t="array" ref="A727">_xlfn.CONCAT(Instructions!C734,Instructions!A734,"_",TEXT(Instructions!B734,"YYYYMMDD"),"_1_",INDEX(Table1[], MATCH(1,(Table1[Estuary]=Instructions!C734)*(Table1[StationNumber]=Instructions!D734)*(Instructions!B734&gt;Table1[StartDate])*(Instructions!B734&lt;Table1[EndDate]),0),1),"_1_",Instructions!E734,"_",Instructions!F734)</f>
        <v>TBSRVY_20190924_1_0291_1_015_026</v>
      </c>
      <c r="B727" t="str" cm="1">
        <f t="array" ref="B727">_xlfn.CONCAT(Instructions!C734,Instructions!A734,"_",TEXT(Instructions!B734,"YYYYMMDD"),"_1_",INDEX(Table1[], MATCH(1,(Table1[Estuary]=Instructions!C734)*(Table1[StationNumber]=Instructions!D734)*(Instructions!B734&gt;Table1[StartDate])*(Instructions!B734&lt;Table1[EndDate]),0),1),"_1_",Instructions!E734)</f>
        <v>TBSRVY_20190924_1_0291_1_015</v>
      </c>
      <c r="C727">
        <f>Instructions!G734</f>
        <v>9</v>
      </c>
      <c r="D727" t="str">
        <f>IF(ISBLANK(Instructions!H734),"",Instructions!H734)</f>
        <v>Entered</v>
      </c>
      <c r="E727" s="1">
        <f>IF(ISBLANK(Instructions!I734),"",Instructions!I734)</f>
        <v>45646</v>
      </c>
      <c r="F727" t="str">
        <f>IF(ISBLANK(Instructions!J734),"",Instructions!J734)</f>
        <v>Erica Williams</v>
      </c>
      <c r="G727" s="1" t="str">
        <f>IF(ISBLANK(Instructions!K734),"",Instructions!K734)</f>
        <v/>
      </c>
      <c r="H727" t="str">
        <f>IF(ISBLANK(Instructions!L734),"",Instructions!L734)</f>
        <v/>
      </c>
      <c r="I727" t="str">
        <f t="shared" si="26"/>
        <v>NULL</v>
      </c>
      <c r="J727" t="str">
        <f t="shared" si="26"/>
        <v>NULL</v>
      </c>
      <c r="K727" t="str">
        <f>Instructions!M734</f>
        <v>Added via SMSS</v>
      </c>
      <c r="L727" t="str">
        <f t="shared" si="22"/>
        <v>NULL</v>
      </c>
    </row>
    <row r="728" spans="1:12" x14ac:dyDescent="0.25">
      <c r="A728" t="str" cm="1">
        <f t="array" ref="A728">_xlfn.CONCAT(Instructions!C735,Instructions!A735,"_",TEXT(Instructions!B735,"YYYYMMDD"),"_1_",INDEX(Table1[], MATCH(1,(Table1[Estuary]=Instructions!C735)*(Table1[StationNumber]=Instructions!D735)*(Instructions!B735&gt;Table1[StartDate])*(Instructions!B735&lt;Table1[EndDate]),0),1),"_1_",Instructions!E735,"_",Instructions!F735)</f>
        <v>TBSRVY_20190924_1_0291_1_015_027</v>
      </c>
      <c r="B728" t="str" cm="1">
        <f t="array" ref="B728">_xlfn.CONCAT(Instructions!C735,Instructions!A735,"_",TEXT(Instructions!B735,"YYYYMMDD"),"_1_",INDEX(Table1[], MATCH(1,(Table1[Estuary]=Instructions!C735)*(Table1[StationNumber]=Instructions!D735)*(Instructions!B735&gt;Table1[StartDate])*(Instructions!B735&lt;Table1[EndDate]),0),1),"_1_",Instructions!E735)</f>
        <v>TBSRVY_20190924_1_0291_1_015</v>
      </c>
      <c r="C728">
        <f>Instructions!G735</f>
        <v>33</v>
      </c>
      <c r="D728" t="str">
        <f>IF(ISBLANK(Instructions!H735),"",Instructions!H735)</f>
        <v>Entered</v>
      </c>
      <c r="E728" s="1">
        <f>IF(ISBLANK(Instructions!I735),"",Instructions!I735)</f>
        <v>45646</v>
      </c>
      <c r="F728" t="str">
        <f>IF(ISBLANK(Instructions!J735),"",Instructions!J735)</f>
        <v>Erica Williams</v>
      </c>
      <c r="G728" s="1" t="str">
        <f>IF(ISBLANK(Instructions!K735),"",Instructions!K735)</f>
        <v/>
      </c>
      <c r="H728" t="str">
        <f>IF(ISBLANK(Instructions!L735),"",Instructions!L735)</f>
        <v/>
      </c>
      <c r="I728" t="str">
        <f t="shared" si="26"/>
        <v>NULL</v>
      </c>
      <c r="J728" t="str">
        <f t="shared" si="26"/>
        <v>NULL</v>
      </c>
      <c r="K728" t="str">
        <f>Instructions!M735</f>
        <v>Added via SMSS</v>
      </c>
      <c r="L728" t="str">
        <f t="shared" si="22"/>
        <v>NULL</v>
      </c>
    </row>
    <row r="729" spans="1:12" x14ac:dyDescent="0.25">
      <c r="A729" t="str" cm="1">
        <f t="array" ref="A729">_xlfn.CONCAT(Instructions!C736,Instructions!A736,"_",TEXT(Instructions!B736,"YYYYMMDD"),"_1_",INDEX(Table1[], MATCH(1,(Table1[Estuary]=Instructions!C736)*(Table1[StationNumber]=Instructions!D736)*(Instructions!B736&gt;Table1[StartDate])*(Instructions!B736&lt;Table1[EndDate]),0),1),"_1_",Instructions!E736,"_",Instructions!F736)</f>
        <v>TBSRVY_20190924_1_0291_1_015_028</v>
      </c>
      <c r="B729" t="str" cm="1">
        <f t="array" ref="B729">_xlfn.CONCAT(Instructions!C736,Instructions!A736,"_",TEXT(Instructions!B736,"YYYYMMDD"),"_1_",INDEX(Table1[], MATCH(1,(Table1[Estuary]=Instructions!C736)*(Table1[StationNumber]=Instructions!D736)*(Instructions!B736&gt;Table1[StartDate])*(Instructions!B736&lt;Table1[EndDate]),0),1),"_1_",Instructions!E736)</f>
        <v>TBSRVY_20190924_1_0291_1_015</v>
      </c>
      <c r="C729">
        <f>Instructions!G736</f>
        <v>9</v>
      </c>
      <c r="D729" t="str">
        <f>IF(ISBLANK(Instructions!H736),"",Instructions!H736)</f>
        <v>Entered</v>
      </c>
      <c r="E729" s="1">
        <f>IF(ISBLANK(Instructions!I736),"",Instructions!I736)</f>
        <v>45646</v>
      </c>
      <c r="F729" t="str">
        <f>IF(ISBLANK(Instructions!J736),"",Instructions!J736)</f>
        <v>Erica Williams</v>
      </c>
      <c r="G729" s="1" t="str">
        <f>IF(ISBLANK(Instructions!K736),"",Instructions!K736)</f>
        <v/>
      </c>
      <c r="H729" t="str">
        <f>IF(ISBLANK(Instructions!L736),"",Instructions!L736)</f>
        <v/>
      </c>
      <c r="I729" t="str">
        <f t="shared" si="26"/>
        <v>NULL</v>
      </c>
      <c r="J729" t="str">
        <f t="shared" si="26"/>
        <v>NULL</v>
      </c>
      <c r="K729" t="str">
        <f>Instructions!M736</f>
        <v>Added via SMSS</v>
      </c>
      <c r="L729" t="str">
        <f t="shared" si="22"/>
        <v>NULL</v>
      </c>
    </row>
    <row r="730" spans="1:12" x14ac:dyDescent="0.25">
      <c r="A730" t="str" cm="1">
        <f t="array" ref="A730">_xlfn.CONCAT(Instructions!C737,Instructions!A737,"_",TEXT(Instructions!B737,"YYYYMMDD"),"_1_",INDEX(Table1[], MATCH(1,(Table1[Estuary]=Instructions!C737)*(Table1[StationNumber]=Instructions!D737)*(Instructions!B737&gt;Table1[StartDate])*(Instructions!B737&lt;Table1[EndDate]),0),1),"_1_",Instructions!E737,"_",Instructions!F737)</f>
        <v>TBSRVY_20190924_1_0291_1_015_029</v>
      </c>
      <c r="B730" t="str" cm="1">
        <f t="array" ref="B730">_xlfn.CONCAT(Instructions!C737,Instructions!A737,"_",TEXT(Instructions!B737,"YYYYMMDD"),"_1_",INDEX(Table1[], MATCH(1,(Table1[Estuary]=Instructions!C737)*(Table1[StationNumber]=Instructions!D737)*(Instructions!B737&gt;Table1[StartDate])*(Instructions!B737&lt;Table1[EndDate]),0),1),"_1_",Instructions!E737)</f>
        <v>TBSRVY_20190924_1_0291_1_015</v>
      </c>
      <c r="C730">
        <f>Instructions!G737</f>
        <v>30</v>
      </c>
      <c r="D730" t="str">
        <f>IF(ISBLANK(Instructions!H737),"",Instructions!H737)</f>
        <v>Entered</v>
      </c>
      <c r="E730" s="1">
        <f>IF(ISBLANK(Instructions!I737),"",Instructions!I737)</f>
        <v>45646</v>
      </c>
      <c r="F730" t="str">
        <f>IF(ISBLANK(Instructions!J737),"",Instructions!J737)</f>
        <v>Erica Williams</v>
      </c>
      <c r="G730" s="1" t="str">
        <f>IF(ISBLANK(Instructions!K737),"",Instructions!K737)</f>
        <v/>
      </c>
      <c r="H730" t="str">
        <f>IF(ISBLANK(Instructions!L737),"",Instructions!L737)</f>
        <v/>
      </c>
      <c r="I730" t="str">
        <f t="shared" si="26"/>
        <v>NULL</v>
      </c>
      <c r="J730" t="str">
        <f t="shared" si="26"/>
        <v>NULL</v>
      </c>
      <c r="K730" t="str">
        <f>Instructions!M737</f>
        <v>Added via SMSS</v>
      </c>
      <c r="L730" t="str">
        <f t="shared" si="22"/>
        <v>NULL</v>
      </c>
    </row>
    <row r="731" spans="1:12" x14ac:dyDescent="0.25">
      <c r="A731" t="str" cm="1">
        <f t="array" ref="A731">_xlfn.CONCAT(Instructions!C738,Instructions!A738,"_",TEXT(Instructions!B738,"YYYYMMDD"),"_1_",INDEX(Table1[], MATCH(1,(Table1[Estuary]=Instructions!C738)*(Table1[StationNumber]=Instructions!D738)*(Instructions!B738&gt;Table1[StartDate])*(Instructions!B738&lt;Table1[EndDate]),0),1),"_1_",Instructions!E738,"_",Instructions!F738)</f>
        <v>TBSRVY_20190924_1_0291_1_015_030</v>
      </c>
      <c r="B731" t="str" cm="1">
        <f t="array" ref="B731">_xlfn.CONCAT(Instructions!C738,Instructions!A738,"_",TEXT(Instructions!B738,"YYYYMMDD"),"_1_",INDEX(Table1[], MATCH(1,(Table1[Estuary]=Instructions!C738)*(Table1[StationNumber]=Instructions!D738)*(Instructions!B738&gt;Table1[StartDate])*(Instructions!B738&lt;Table1[EndDate]),0),1),"_1_",Instructions!E738)</f>
        <v>TBSRVY_20190924_1_0291_1_015</v>
      </c>
      <c r="C731">
        <f>Instructions!G738</f>
        <v>26</v>
      </c>
      <c r="D731" t="str">
        <f>IF(ISBLANK(Instructions!H738),"",Instructions!H738)</f>
        <v>Entered</v>
      </c>
      <c r="E731" s="1">
        <f>IF(ISBLANK(Instructions!I738),"",Instructions!I738)</f>
        <v>45646</v>
      </c>
      <c r="F731" t="str">
        <f>IF(ISBLANK(Instructions!J738),"",Instructions!J738)</f>
        <v>Erica Williams</v>
      </c>
      <c r="G731" s="1" t="str">
        <f>IF(ISBLANK(Instructions!K738),"",Instructions!K738)</f>
        <v/>
      </c>
      <c r="H731" t="str">
        <f>IF(ISBLANK(Instructions!L738),"",Instructions!L738)</f>
        <v/>
      </c>
      <c r="I731" t="str">
        <f t="shared" si="26"/>
        <v>NULL</v>
      </c>
      <c r="J731" t="str">
        <f t="shared" si="26"/>
        <v>NULL</v>
      </c>
      <c r="K731" t="str">
        <f>Instructions!M738</f>
        <v>Added via SMSS</v>
      </c>
      <c r="L731" t="str">
        <f t="shared" si="22"/>
        <v>NULL</v>
      </c>
    </row>
    <row r="732" spans="1:12" x14ac:dyDescent="0.25">
      <c r="A732" t="str" cm="1">
        <f t="array" ref="A732">_xlfn.CONCAT(Instructions!C739,Instructions!A739,"_",TEXT(Instructions!B739,"YYYYMMDD"),"_1_",INDEX(Table1[], MATCH(1,(Table1[Estuary]=Instructions!C739)*(Table1[StationNumber]=Instructions!D739)*(Instructions!B739&gt;Table1[StartDate])*(Instructions!B739&lt;Table1[EndDate]),0),1),"_1_",Instructions!E739,"_",Instructions!F739)</f>
        <v>TBSRVY_20190924_1_0291_1_015_031</v>
      </c>
      <c r="B732" t="str" cm="1">
        <f t="array" ref="B732">_xlfn.CONCAT(Instructions!C739,Instructions!A739,"_",TEXT(Instructions!B739,"YYYYMMDD"),"_1_",INDEX(Table1[], MATCH(1,(Table1[Estuary]=Instructions!C739)*(Table1[StationNumber]=Instructions!D739)*(Instructions!B739&gt;Table1[StartDate])*(Instructions!B739&lt;Table1[EndDate]),0),1),"_1_",Instructions!E739)</f>
        <v>TBSRVY_20190924_1_0291_1_015</v>
      </c>
      <c r="C732">
        <f>Instructions!G739</f>
        <v>14</v>
      </c>
      <c r="D732" t="str">
        <f>IF(ISBLANK(Instructions!H739),"",Instructions!H739)</f>
        <v>Entered</v>
      </c>
      <c r="E732" s="1">
        <f>IF(ISBLANK(Instructions!I739),"",Instructions!I739)</f>
        <v>45646</v>
      </c>
      <c r="F732" t="str">
        <f>IF(ISBLANK(Instructions!J739),"",Instructions!J739)</f>
        <v>Erica Williams</v>
      </c>
      <c r="G732" s="1" t="str">
        <f>IF(ISBLANK(Instructions!K739),"",Instructions!K739)</f>
        <v/>
      </c>
      <c r="H732" t="str">
        <f>IF(ISBLANK(Instructions!L739),"",Instructions!L739)</f>
        <v/>
      </c>
      <c r="I732" t="str">
        <f t="shared" si="26"/>
        <v>NULL</v>
      </c>
      <c r="J732" t="str">
        <f t="shared" si="26"/>
        <v>NULL</v>
      </c>
      <c r="K732" t="str">
        <f>Instructions!M739</f>
        <v>Added via SMSS</v>
      </c>
      <c r="L732" t="str">
        <f t="shared" si="22"/>
        <v>NULL</v>
      </c>
    </row>
    <row r="733" spans="1:12" x14ac:dyDescent="0.25">
      <c r="A733" t="str" cm="1">
        <f t="array" ref="A733">_xlfn.CONCAT(Instructions!C740,Instructions!A740,"_",TEXT(Instructions!B740,"YYYYMMDD"),"_1_",INDEX(Table1[], MATCH(1,(Table1[Estuary]=Instructions!C740)*(Table1[StationNumber]=Instructions!D740)*(Instructions!B740&gt;Table1[StartDate])*(Instructions!B740&lt;Table1[EndDate]),0),1),"_1_",Instructions!E740,"_",Instructions!F740)</f>
        <v>TBSRVY_20190924_1_0291_1_015_032</v>
      </c>
      <c r="B733" t="str" cm="1">
        <f t="array" ref="B733">_xlfn.CONCAT(Instructions!C740,Instructions!A740,"_",TEXT(Instructions!B740,"YYYYMMDD"),"_1_",INDEX(Table1[], MATCH(1,(Table1[Estuary]=Instructions!C740)*(Table1[StationNumber]=Instructions!D740)*(Instructions!B740&gt;Table1[StartDate])*(Instructions!B740&lt;Table1[EndDate]),0),1),"_1_",Instructions!E740)</f>
        <v>TBSRVY_20190924_1_0291_1_015</v>
      </c>
      <c r="C733">
        <f>Instructions!G740</f>
        <v>13</v>
      </c>
      <c r="D733" t="str">
        <f>IF(ISBLANK(Instructions!H740),"",Instructions!H740)</f>
        <v>Entered</v>
      </c>
      <c r="E733" s="1">
        <f>IF(ISBLANK(Instructions!I740),"",Instructions!I740)</f>
        <v>45646</v>
      </c>
      <c r="F733" t="str">
        <f>IF(ISBLANK(Instructions!J740),"",Instructions!J740)</f>
        <v>Erica Williams</v>
      </c>
      <c r="G733" s="1" t="str">
        <f>IF(ISBLANK(Instructions!K740),"",Instructions!K740)</f>
        <v/>
      </c>
      <c r="H733" t="str">
        <f>IF(ISBLANK(Instructions!L740),"",Instructions!L740)</f>
        <v/>
      </c>
      <c r="I733" t="str">
        <f t="shared" si="26"/>
        <v>NULL</v>
      </c>
      <c r="J733" t="str">
        <f t="shared" si="26"/>
        <v>NULL</v>
      </c>
      <c r="K733" t="str">
        <f>Instructions!M740</f>
        <v>Added via SMSS</v>
      </c>
      <c r="L733" t="str">
        <f t="shared" si="22"/>
        <v>NULL</v>
      </c>
    </row>
    <row r="734" spans="1:12" x14ac:dyDescent="0.25">
      <c r="A734" t="str" cm="1">
        <f t="array" ref="A734">_xlfn.CONCAT(Instructions!C741,Instructions!A741,"_",TEXT(Instructions!B741,"YYYYMMDD"),"_1_",INDEX(Table1[], MATCH(1,(Table1[Estuary]=Instructions!C741)*(Table1[StationNumber]=Instructions!D741)*(Instructions!B741&gt;Table1[StartDate])*(Instructions!B741&lt;Table1[EndDate]),0),1),"_1_",Instructions!E741,"_",Instructions!F741)</f>
        <v>TBSRVY_20190924_1_0291_1_015_033</v>
      </c>
      <c r="B734" t="str" cm="1">
        <f t="array" ref="B734">_xlfn.CONCAT(Instructions!C741,Instructions!A741,"_",TEXT(Instructions!B741,"YYYYMMDD"),"_1_",INDEX(Table1[], MATCH(1,(Table1[Estuary]=Instructions!C741)*(Table1[StationNumber]=Instructions!D741)*(Instructions!B741&gt;Table1[StartDate])*(Instructions!B741&lt;Table1[EndDate]),0),1),"_1_",Instructions!E741)</f>
        <v>TBSRVY_20190924_1_0291_1_015</v>
      </c>
      <c r="C734">
        <f>Instructions!G741</f>
        <v>26</v>
      </c>
      <c r="D734" t="str">
        <f>IF(ISBLANK(Instructions!H741),"",Instructions!H741)</f>
        <v>Entered</v>
      </c>
      <c r="E734" s="1">
        <f>IF(ISBLANK(Instructions!I741),"",Instructions!I741)</f>
        <v>45646</v>
      </c>
      <c r="F734" t="str">
        <f>IF(ISBLANK(Instructions!J741),"",Instructions!J741)</f>
        <v>Erica Williams</v>
      </c>
      <c r="G734" s="1" t="str">
        <f>IF(ISBLANK(Instructions!K741),"",Instructions!K741)</f>
        <v/>
      </c>
      <c r="H734" t="str">
        <f>IF(ISBLANK(Instructions!L741),"",Instructions!L741)</f>
        <v/>
      </c>
      <c r="I734" t="str">
        <f t="shared" si="26"/>
        <v>NULL</v>
      </c>
      <c r="J734" t="str">
        <f t="shared" si="26"/>
        <v>NULL</v>
      </c>
      <c r="K734" t="str">
        <f>Instructions!M741</f>
        <v>Added via SMSS</v>
      </c>
      <c r="L734" t="str">
        <f t="shared" si="22"/>
        <v>NULL</v>
      </c>
    </row>
    <row r="735" spans="1:12" x14ac:dyDescent="0.25">
      <c r="A735" t="str" cm="1">
        <f t="array" ref="A735">_xlfn.CONCAT(Instructions!C742,Instructions!A742,"_",TEXT(Instructions!B742,"YYYYMMDD"),"_1_",INDEX(Table1[], MATCH(1,(Table1[Estuary]=Instructions!C742)*(Table1[StationNumber]=Instructions!D742)*(Instructions!B742&gt;Table1[StartDate])*(Instructions!B742&lt;Table1[EndDate]),0),1),"_1_",Instructions!E742,"_",Instructions!F742)</f>
        <v>TBSRVY_20190924_1_0291_1_015_034</v>
      </c>
      <c r="B735" t="str" cm="1">
        <f t="array" ref="B735">_xlfn.CONCAT(Instructions!C742,Instructions!A742,"_",TEXT(Instructions!B742,"YYYYMMDD"),"_1_",INDEX(Table1[], MATCH(1,(Table1[Estuary]=Instructions!C742)*(Table1[StationNumber]=Instructions!D742)*(Instructions!B742&gt;Table1[StartDate])*(Instructions!B742&lt;Table1[EndDate]),0),1),"_1_",Instructions!E742)</f>
        <v>TBSRVY_20190924_1_0291_1_015</v>
      </c>
      <c r="C735">
        <f>Instructions!G742</f>
        <v>24</v>
      </c>
      <c r="D735" t="str">
        <f>IF(ISBLANK(Instructions!H742),"",Instructions!H742)</f>
        <v>Entered</v>
      </c>
      <c r="E735" s="1">
        <f>IF(ISBLANK(Instructions!I742),"",Instructions!I742)</f>
        <v>45646</v>
      </c>
      <c r="F735" t="str">
        <f>IF(ISBLANK(Instructions!J742),"",Instructions!J742)</f>
        <v>Erica Williams</v>
      </c>
      <c r="G735" s="1" t="str">
        <f>IF(ISBLANK(Instructions!K742),"",Instructions!K742)</f>
        <v/>
      </c>
      <c r="H735" t="str">
        <f>IF(ISBLANK(Instructions!L742),"",Instructions!L742)</f>
        <v/>
      </c>
      <c r="I735" t="str">
        <f t="shared" si="26"/>
        <v>NULL</v>
      </c>
      <c r="J735" t="str">
        <f t="shared" si="26"/>
        <v>NULL</v>
      </c>
      <c r="K735" t="str">
        <f>Instructions!M742</f>
        <v>Added via SMSS</v>
      </c>
      <c r="L735" t="str">
        <f t="shared" si="22"/>
        <v>NULL</v>
      </c>
    </row>
    <row r="736" spans="1:12" x14ac:dyDescent="0.25">
      <c r="A736" t="str" cm="1">
        <f t="array" ref="A736">_xlfn.CONCAT(Instructions!C743,Instructions!A743,"_",TEXT(Instructions!B743,"YYYYMMDD"),"_1_",INDEX(Table1[], MATCH(1,(Table1[Estuary]=Instructions!C743)*(Table1[StationNumber]=Instructions!D743)*(Instructions!B743&gt;Table1[StartDate])*(Instructions!B743&lt;Table1[EndDate]),0),1),"_1_",Instructions!E743,"_",Instructions!F743)</f>
        <v>TBSRVY_20190924_1_0291_1_015_035</v>
      </c>
      <c r="B736" t="str" cm="1">
        <f t="array" ref="B736">_xlfn.CONCAT(Instructions!C743,Instructions!A743,"_",TEXT(Instructions!B743,"YYYYMMDD"),"_1_",INDEX(Table1[], MATCH(1,(Table1[Estuary]=Instructions!C743)*(Table1[StationNumber]=Instructions!D743)*(Instructions!B743&gt;Table1[StartDate])*(Instructions!B743&lt;Table1[EndDate]),0),1),"_1_",Instructions!E743)</f>
        <v>TBSRVY_20190924_1_0291_1_015</v>
      </c>
      <c r="C736">
        <f>Instructions!G743</f>
        <v>26</v>
      </c>
      <c r="D736" t="str">
        <f>IF(ISBLANK(Instructions!H743),"",Instructions!H743)</f>
        <v>Entered</v>
      </c>
      <c r="E736" s="1">
        <f>IF(ISBLANK(Instructions!I743),"",Instructions!I743)</f>
        <v>45646</v>
      </c>
      <c r="F736" t="str">
        <f>IF(ISBLANK(Instructions!J743),"",Instructions!J743)</f>
        <v>Erica Williams</v>
      </c>
      <c r="G736" s="1" t="str">
        <f>IF(ISBLANK(Instructions!K743),"",Instructions!K743)</f>
        <v/>
      </c>
      <c r="H736" t="str">
        <f>IF(ISBLANK(Instructions!L743),"",Instructions!L743)</f>
        <v/>
      </c>
      <c r="I736" t="str">
        <f t="shared" si="26"/>
        <v>NULL</v>
      </c>
      <c r="J736" t="str">
        <f t="shared" si="26"/>
        <v>NULL</v>
      </c>
      <c r="K736" t="str">
        <f>Instructions!M743</f>
        <v>Added via SMSS</v>
      </c>
      <c r="L736" t="str">
        <f t="shared" si="22"/>
        <v>NULL</v>
      </c>
    </row>
    <row r="737" spans="1:12" x14ac:dyDescent="0.25">
      <c r="A737" t="str" cm="1">
        <f t="array" ref="A737">_xlfn.CONCAT(Instructions!C744,Instructions!A744,"_",TEXT(Instructions!B744,"YYYYMMDD"),"_1_",INDEX(Table1[], MATCH(1,(Table1[Estuary]=Instructions!C744)*(Table1[StationNumber]=Instructions!D744)*(Instructions!B744&gt;Table1[StartDate])*(Instructions!B744&lt;Table1[EndDate]),0),1),"_1_",Instructions!E744,"_",Instructions!F744)</f>
        <v>TBSRVY_20190924_1_0291_1_015_036</v>
      </c>
      <c r="B737" t="str" cm="1">
        <f t="array" ref="B737">_xlfn.CONCAT(Instructions!C744,Instructions!A744,"_",TEXT(Instructions!B744,"YYYYMMDD"),"_1_",INDEX(Table1[], MATCH(1,(Table1[Estuary]=Instructions!C744)*(Table1[StationNumber]=Instructions!D744)*(Instructions!B744&gt;Table1[StartDate])*(Instructions!B744&lt;Table1[EndDate]),0),1),"_1_",Instructions!E744)</f>
        <v>TBSRVY_20190924_1_0291_1_015</v>
      </c>
      <c r="C737">
        <f>Instructions!G744</f>
        <v>33</v>
      </c>
      <c r="D737" t="str">
        <f>IF(ISBLANK(Instructions!H744),"",Instructions!H744)</f>
        <v>Entered</v>
      </c>
      <c r="E737" s="1">
        <f>IF(ISBLANK(Instructions!I744),"",Instructions!I744)</f>
        <v>45646</v>
      </c>
      <c r="F737" t="str">
        <f>IF(ISBLANK(Instructions!J744),"",Instructions!J744)</f>
        <v>Erica Williams</v>
      </c>
      <c r="G737" s="1" t="str">
        <f>IF(ISBLANK(Instructions!K744),"",Instructions!K744)</f>
        <v/>
      </c>
      <c r="H737" t="str">
        <f>IF(ISBLANK(Instructions!L744),"",Instructions!L744)</f>
        <v/>
      </c>
      <c r="I737" t="str">
        <f t="shared" si="26"/>
        <v>NULL</v>
      </c>
      <c r="J737" t="str">
        <f t="shared" si="26"/>
        <v>NULL</v>
      </c>
      <c r="K737" t="str">
        <f>Instructions!M744</f>
        <v>Added via SMSS</v>
      </c>
      <c r="L737" t="str">
        <f t="shared" si="22"/>
        <v>NULL</v>
      </c>
    </row>
    <row r="738" spans="1:12" x14ac:dyDescent="0.25">
      <c r="A738" t="str" cm="1">
        <f t="array" ref="A738">_xlfn.CONCAT(Instructions!C745,Instructions!A745,"_",TEXT(Instructions!B745,"YYYYMMDD"),"_1_",INDEX(Table1[], MATCH(1,(Table1[Estuary]=Instructions!C745)*(Table1[StationNumber]=Instructions!D745)*(Instructions!B745&gt;Table1[StartDate])*(Instructions!B745&lt;Table1[EndDate]),0),1),"_1_",Instructions!E745,"_",Instructions!F745)</f>
        <v>TBSRVY_20190924_1_0291_1_015_037</v>
      </c>
      <c r="B738" t="str" cm="1">
        <f t="array" ref="B738">_xlfn.CONCAT(Instructions!C745,Instructions!A745,"_",TEXT(Instructions!B745,"YYYYMMDD"),"_1_",INDEX(Table1[], MATCH(1,(Table1[Estuary]=Instructions!C745)*(Table1[StationNumber]=Instructions!D745)*(Instructions!B745&gt;Table1[StartDate])*(Instructions!B745&lt;Table1[EndDate]),0),1),"_1_",Instructions!E745)</f>
        <v>TBSRVY_20190924_1_0291_1_015</v>
      </c>
      <c r="C738">
        <f>Instructions!G745</f>
        <v>12</v>
      </c>
      <c r="D738" t="str">
        <f>IF(ISBLANK(Instructions!H745),"",Instructions!H745)</f>
        <v>Entered</v>
      </c>
      <c r="E738" s="1">
        <f>IF(ISBLANK(Instructions!I745),"",Instructions!I745)</f>
        <v>45646</v>
      </c>
      <c r="F738" t="str">
        <f>IF(ISBLANK(Instructions!J745),"",Instructions!J745)</f>
        <v>Erica Williams</v>
      </c>
      <c r="G738" s="1" t="str">
        <f>IF(ISBLANK(Instructions!K745),"",Instructions!K745)</f>
        <v/>
      </c>
      <c r="H738" t="str">
        <f>IF(ISBLANK(Instructions!L745),"",Instructions!L745)</f>
        <v/>
      </c>
      <c r="I738" t="str">
        <f t="shared" si="26"/>
        <v>NULL</v>
      </c>
      <c r="J738" t="str">
        <f t="shared" si="26"/>
        <v>NULL</v>
      </c>
      <c r="K738" t="str">
        <f>Instructions!M745</f>
        <v>Added via SMSS</v>
      </c>
      <c r="L738" t="str">
        <f t="shared" si="22"/>
        <v>NULL</v>
      </c>
    </row>
    <row r="739" spans="1:12" x14ac:dyDescent="0.25">
      <c r="A739" t="str" cm="1">
        <f t="array" ref="A739">_xlfn.CONCAT(Instructions!C746,Instructions!A746,"_",TEXT(Instructions!B746,"YYYYMMDD"),"_1_",INDEX(Table1[], MATCH(1,(Table1[Estuary]=Instructions!C746)*(Table1[StationNumber]=Instructions!D746)*(Instructions!B746&gt;Table1[StartDate])*(Instructions!B746&lt;Table1[EndDate]),0),1),"_1_",Instructions!E746,"_",Instructions!F746)</f>
        <v>TBSRVY_20190924_1_0291_1_015_038</v>
      </c>
      <c r="B739" t="str" cm="1">
        <f t="array" ref="B739">_xlfn.CONCAT(Instructions!C746,Instructions!A746,"_",TEXT(Instructions!B746,"YYYYMMDD"),"_1_",INDEX(Table1[], MATCH(1,(Table1[Estuary]=Instructions!C746)*(Table1[StationNumber]=Instructions!D746)*(Instructions!B746&gt;Table1[StartDate])*(Instructions!B746&lt;Table1[EndDate]),0),1),"_1_",Instructions!E746)</f>
        <v>TBSRVY_20190924_1_0291_1_015</v>
      </c>
      <c r="C739">
        <f>Instructions!G746</f>
        <v>17</v>
      </c>
      <c r="D739" t="str">
        <f>IF(ISBLANK(Instructions!H746),"",Instructions!H746)</f>
        <v>Entered</v>
      </c>
      <c r="E739" s="1">
        <f>IF(ISBLANK(Instructions!I746),"",Instructions!I746)</f>
        <v>45646</v>
      </c>
      <c r="F739" t="str">
        <f>IF(ISBLANK(Instructions!J746),"",Instructions!J746)</f>
        <v>Erica Williams</v>
      </c>
      <c r="G739" s="1" t="str">
        <f>IF(ISBLANK(Instructions!K746),"",Instructions!K746)</f>
        <v/>
      </c>
      <c r="H739" t="str">
        <f>IF(ISBLANK(Instructions!L746),"",Instructions!L746)</f>
        <v/>
      </c>
      <c r="I739" t="str">
        <f t="shared" si="26"/>
        <v>NULL</v>
      </c>
      <c r="J739" t="str">
        <f t="shared" si="26"/>
        <v>NULL</v>
      </c>
      <c r="K739" t="str">
        <f>Instructions!M746</f>
        <v>Added via SMSS</v>
      </c>
      <c r="L739" t="str">
        <f t="shared" si="22"/>
        <v>NULL</v>
      </c>
    </row>
    <row r="740" spans="1:12" x14ac:dyDescent="0.25">
      <c r="A740" t="str" cm="1">
        <f t="array" ref="A740">_xlfn.CONCAT(Instructions!C747,Instructions!A747,"_",TEXT(Instructions!B747,"YYYYMMDD"),"_1_",INDEX(Table1[], MATCH(1,(Table1[Estuary]=Instructions!C747)*(Table1[StationNumber]=Instructions!D747)*(Instructions!B747&gt;Table1[StartDate])*(Instructions!B747&lt;Table1[EndDate]),0),1),"_1_",Instructions!E747,"_",Instructions!F747)</f>
        <v>TBSRVY_20190924_1_0291_1_015_039</v>
      </c>
      <c r="B740" t="str" cm="1">
        <f t="array" ref="B740">_xlfn.CONCAT(Instructions!C747,Instructions!A747,"_",TEXT(Instructions!B747,"YYYYMMDD"),"_1_",INDEX(Table1[], MATCH(1,(Table1[Estuary]=Instructions!C747)*(Table1[StationNumber]=Instructions!D747)*(Instructions!B747&gt;Table1[StartDate])*(Instructions!B747&lt;Table1[EndDate]),0),1),"_1_",Instructions!E747)</f>
        <v>TBSRVY_20190924_1_0291_1_015</v>
      </c>
      <c r="C740">
        <f>Instructions!G747</f>
        <v>31</v>
      </c>
      <c r="D740" t="str">
        <f>IF(ISBLANK(Instructions!H747),"",Instructions!H747)</f>
        <v>Entered</v>
      </c>
      <c r="E740" s="1">
        <f>IF(ISBLANK(Instructions!I747),"",Instructions!I747)</f>
        <v>45646</v>
      </c>
      <c r="F740" t="str">
        <f>IF(ISBLANK(Instructions!J747),"",Instructions!J747)</f>
        <v>Erica Williams</v>
      </c>
      <c r="G740" s="1" t="str">
        <f>IF(ISBLANK(Instructions!K747),"",Instructions!K747)</f>
        <v/>
      </c>
      <c r="H740" t="str">
        <f>IF(ISBLANK(Instructions!L747),"",Instructions!L747)</f>
        <v/>
      </c>
      <c r="I740" t="str">
        <f t="shared" si="26"/>
        <v>NULL</v>
      </c>
      <c r="J740" t="str">
        <f t="shared" si="26"/>
        <v>NULL</v>
      </c>
      <c r="K740" t="str">
        <f>Instructions!M747</f>
        <v>Added via SMSS</v>
      </c>
      <c r="L740" t="str">
        <f t="shared" si="22"/>
        <v>NULL</v>
      </c>
    </row>
    <row r="741" spans="1:12" x14ac:dyDescent="0.25">
      <c r="A741" t="str" cm="1">
        <f t="array" ref="A741">_xlfn.CONCAT(Instructions!C748,Instructions!A748,"_",TEXT(Instructions!B748,"YYYYMMDD"),"_1_",INDEX(Table1[], MATCH(1,(Table1[Estuary]=Instructions!C748)*(Table1[StationNumber]=Instructions!D748)*(Instructions!B748&gt;Table1[StartDate])*(Instructions!B748&lt;Table1[EndDate]),0),1),"_1_",Instructions!E748,"_",Instructions!F748)</f>
        <v>TBSRVY_20190924_1_0291_1_015_040</v>
      </c>
      <c r="B741" t="str" cm="1">
        <f t="array" ref="B741">_xlfn.CONCAT(Instructions!C748,Instructions!A748,"_",TEXT(Instructions!B748,"YYYYMMDD"),"_1_",INDEX(Table1[], MATCH(1,(Table1[Estuary]=Instructions!C748)*(Table1[StationNumber]=Instructions!D748)*(Instructions!B748&gt;Table1[StartDate])*(Instructions!B748&lt;Table1[EndDate]),0),1),"_1_",Instructions!E748)</f>
        <v>TBSRVY_20190924_1_0291_1_015</v>
      </c>
      <c r="C741">
        <f>Instructions!G748</f>
        <v>70</v>
      </c>
      <c r="D741" t="str">
        <f>IF(ISBLANK(Instructions!H748),"",Instructions!H748)</f>
        <v>Entered</v>
      </c>
      <c r="E741" s="1">
        <f>IF(ISBLANK(Instructions!I748),"",Instructions!I748)</f>
        <v>45646</v>
      </c>
      <c r="F741" t="str">
        <f>IF(ISBLANK(Instructions!J748),"",Instructions!J748)</f>
        <v>Erica Williams</v>
      </c>
      <c r="G741" s="1" t="str">
        <f>IF(ISBLANK(Instructions!K748),"",Instructions!K748)</f>
        <v/>
      </c>
      <c r="H741" t="str">
        <f>IF(ISBLANK(Instructions!L748),"",Instructions!L748)</f>
        <v/>
      </c>
      <c r="I741" t="str">
        <f t="shared" si="26"/>
        <v>NULL</v>
      </c>
      <c r="J741" t="str">
        <f t="shared" ref="J741" si="27">"NULL"</f>
        <v>NULL</v>
      </c>
      <c r="K741" t="str">
        <f>Instructions!M748</f>
        <v>Added via SMSS</v>
      </c>
      <c r="L741" t="str">
        <f t="shared" si="22"/>
        <v>NULL</v>
      </c>
    </row>
    <row r="742" spans="1:12" x14ac:dyDescent="0.25">
      <c r="A742" t="str" cm="1">
        <f t="array" ref="A742">_xlfn.CONCAT(Instructions!C749,Instructions!A749,"_",TEXT(Instructions!B749,"YYYYMMDD"),"_1_",INDEX(Table1[], MATCH(1,(Table1[Estuary]=Instructions!C749)*(Table1[StationNumber]=Instructions!D749)*(Instructions!B749&gt;Table1[StartDate])*(Instructions!B749&lt;Table1[EndDate]),0),1),"_1_",Instructions!E749,"_",Instructions!F749)</f>
        <v>TBSRVY_20190924_1_0291_1_015_041</v>
      </c>
      <c r="B742" t="str" cm="1">
        <f t="array" ref="B742">_xlfn.CONCAT(Instructions!C749,Instructions!A749,"_",TEXT(Instructions!B749,"YYYYMMDD"),"_1_",INDEX(Table1[], MATCH(1,(Table1[Estuary]=Instructions!C749)*(Table1[StationNumber]=Instructions!D749)*(Instructions!B749&gt;Table1[StartDate])*(Instructions!B749&lt;Table1[EndDate]),0),1),"_1_",Instructions!E749)</f>
        <v>TBSRVY_20190924_1_0291_1_015</v>
      </c>
      <c r="C742">
        <f>Instructions!G749</f>
        <v>14</v>
      </c>
      <c r="D742" t="str">
        <f>IF(ISBLANK(Instructions!H749),"",Instructions!H749)</f>
        <v>Entered</v>
      </c>
      <c r="E742" s="1">
        <f>IF(ISBLANK(Instructions!I749),"",Instructions!I749)</f>
        <v>45646</v>
      </c>
      <c r="F742" t="str">
        <f>IF(ISBLANK(Instructions!J749),"",Instructions!J749)</f>
        <v>Erica Williams</v>
      </c>
      <c r="G742" s="1" t="str">
        <f>IF(ISBLANK(Instructions!K749),"",Instructions!K749)</f>
        <v/>
      </c>
      <c r="H742" t="str">
        <f>IF(ISBLANK(Instructions!L749),"",Instructions!L749)</f>
        <v/>
      </c>
      <c r="I742" t="str">
        <f t="shared" ref="I742:J751" si="28">"NULL"</f>
        <v>NULL</v>
      </c>
      <c r="J742" t="str">
        <f t="shared" si="28"/>
        <v>NULL</v>
      </c>
      <c r="K742" t="str">
        <f>Instructions!M749</f>
        <v>Added via SMSS</v>
      </c>
      <c r="L742" t="str">
        <f t="shared" si="22"/>
        <v>NULL</v>
      </c>
    </row>
    <row r="743" spans="1:12" x14ac:dyDescent="0.25">
      <c r="A743" t="str" cm="1">
        <f t="array" ref="A743">_xlfn.CONCAT(Instructions!C750,Instructions!A750,"_",TEXT(Instructions!B750,"YYYYMMDD"),"_1_",INDEX(Table1[], MATCH(1,(Table1[Estuary]=Instructions!C750)*(Table1[StationNumber]=Instructions!D750)*(Instructions!B750&gt;Table1[StartDate])*(Instructions!B750&lt;Table1[EndDate]),0),1),"_1_",Instructions!E750,"_",Instructions!F750)</f>
        <v>TBSRVY_20190924_1_0291_1_015_042</v>
      </c>
      <c r="B743" t="str" cm="1">
        <f t="array" ref="B743">_xlfn.CONCAT(Instructions!C750,Instructions!A750,"_",TEXT(Instructions!B750,"YYYYMMDD"),"_1_",INDEX(Table1[], MATCH(1,(Table1[Estuary]=Instructions!C750)*(Table1[StationNumber]=Instructions!D750)*(Instructions!B750&gt;Table1[StartDate])*(Instructions!B750&lt;Table1[EndDate]),0),1),"_1_",Instructions!E750)</f>
        <v>TBSRVY_20190924_1_0291_1_015</v>
      </c>
      <c r="C743">
        <f>Instructions!G750</f>
        <v>29</v>
      </c>
      <c r="D743" t="str">
        <f>IF(ISBLANK(Instructions!H750),"",Instructions!H750)</f>
        <v>Entered</v>
      </c>
      <c r="E743" s="1">
        <f>IF(ISBLANK(Instructions!I750),"",Instructions!I750)</f>
        <v>45646</v>
      </c>
      <c r="F743" t="str">
        <f>IF(ISBLANK(Instructions!J750),"",Instructions!J750)</f>
        <v>Erica Williams</v>
      </c>
      <c r="G743" s="1" t="str">
        <f>IF(ISBLANK(Instructions!K750),"",Instructions!K750)</f>
        <v/>
      </c>
      <c r="H743" t="str">
        <f>IF(ISBLANK(Instructions!L750),"",Instructions!L750)</f>
        <v/>
      </c>
      <c r="I743" t="str">
        <f t="shared" si="28"/>
        <v>NULL</v>
      </c>
      <c r="J743" t="str">
        <f t="shared" si="28"/>
        <v>NULL</v>
      </c>
      <c r="K743" t="str">
        <f>Instructions!M750</f>
        <v>Added via SMSS</v>
      </c>
      <c r="L743" t="str">
        <f t="shared" si="22"/>
        <v>NULL</v>
      </c>
    </row>
    <row r="744" spans="1:12" x14ac:dyDescent="0.25">
      <c r="A744" t="str" cm="1">
        <f t="array" ref="A744">_xlfn.CONCAT(Instructions!C751,Instructions!A751,"_",TEXT(Instructions!B751,"YYYYMMDD"),"_1_",INDEX(Table1[], MATCH(1,(Table1[Estuary]=Instructions!C751)*(Table1[StationNumber]=Instructions!D751)*(Instructions!B751&gt;Table1[StartDate])*(Instructions!B751&lt;Table1[EndDate]),0),1),"_1_",Instructions!E751,"_",Instructions!F751)</f>
        <v>TBSRVY_20190924_1_0291_1_015_043</v>
      </c>
      <c r="B744" t="str" cm="1">
        <f t="array" ref="B744">_xlfn.CONCAT(Instructions!C751,Instructions!A751,"_",TEXT(Instructions!B751,"YYYYMMDD"),"_1_",INDEX(Table1[], MATCH(1,(Table1[Estuary]=Instructions!C751)*(Table1[StationNumber]=Instructions!D751)*(Instructions!B751&gt;Table1[StartDate])*(Instructions!B751&lt;Table1[EndDate]),0),1),"_1_",Instructions!E751)</f>
        <v>TBSRVY_20190924_1_0291_1_015</v>
      </c>
      <c r="C744">
        <f>Instructions!G751</f>
        <v>42</v>
      </c>
      <c r="D744" t="str">
        <f>IF(ISBLANK(Instructions!H751),"",Instructions!H751)</f>
        <v>Entered</v>
      </c>
      <c r="E744" s="1">
        <f>IF(ISBLANK(Instructions!I751),"",Instructions!I751)</f>
        <v>45646</v>
      </c>
      <c r="F744" t="str">
        <f>IF(ISBLANK(Instructions!J751),"",Instructions!J751)</f>
        <v>Erica Williams</v>
      </c>
      <c r="G744" s="1" t="str">
        <f>IF(ISBLANK(Instructions!K751),"",Instructions!K751)</f>
        <v/>
      </c>
      <c r="H744" t="str">
        <f>IF(ISBLANK(Instructions!L751),"",Instructions!L751)</f>
        <v/>
      </c>
      <c r="I744" t="str">
        <f t="shared" si="28"/>
        <v>NULL</v>
      </c>
      <c r="J744" t="str">
        <f t="shared" si="28"/>
        <v>NULL</v>
      </c>
      <c r="K744" t="str">
        <f>Instructions!M751</f>
        <v>Added via SMSS</v>
      </c>
      <c r="L744" t="str">
        <f t="shared" si="22"/>
        <v>NULL</v>
      </c>
    </row>
    <row r="745" spans="1:12" x14ac:dyDescent="0.25">
      <c r="A745" t="str" cm="1">
        <f t="array" ref="A745">_xlfn.CONCAT(Instructions!C752,Instructions!A752,"_",TEXT(Instructions!B752,"YYYYMMDD"),"_1_",INDEX(Table1[], MATCH(1,(Table1[Estuary]=Instructions!C752)*(Table1[StationNumber]=Instructions!D752)*(Instructions!B752&gt;Table1[StartDate])*(Instructions!B752&lt;Table1[EndDate]),0),1),"_1_",Instructions!E752,"_",Instructions!F752)</f>
        <v>TBSRVY_20190924_1_0291_1_015_044</v>
      </c>
      <c r="B745" t="str" cm="1">
        <f t="array" ref="B745">_xlfn.CONCAT(Instructions!C752,Instructions!A752,"_",TEXT(Instructions!B752,"YYYYMMDD"),"_1_",INDEX(Table1[], MATCH(1,(Table1[Estuary]=Instructions!C752)*(Table1[StationNumber]=Instructions!D752)*(Instructions!B752&gt;Table1[StartDate])*(Instructions!B752&lt;Table1[EndDate]),0),1),"_1_",Instructions!E752)</f>
        <v>TBSRVY_20190924_1_0291_1_015</v>
      </c>
      <c r="C745">
        <f>Instructions!G752</f>
        <v>5</v>
      </c>
      <c r="D745" t="str">
        <f>IF(ISBLANK(Instructions!H752),"",Instructions!H752)</f>
        <v>Entered</v>
      </c>
      <c r="E745" s="1">
        <f>IF(ISBLANK(Instructions!I752),"",Instructions!I752)</f>
        <v>45646</v>
      </c>
      <c r="F745" t="str">
        <f>IF(ISBLANK(Instructions!J752),"",Instructions!J752)</f>
        <v>Erica Williams</v>
      </c>
      <c r="G745" s="1" t="str">
        <f>IF(ISBLANK(Instructions!K752),"",Instructions!K752)</f>
        <v/>
      </c>
      <c r="H745" t="str">
        <f>IF(ISBLANK(Instructions!L752),"",Instructions!L752)</f>
        <v/>
      </c>
      <c r="I745" t="str">
        <f t="shared" si="28"/>
        <v>NULL</v>
      </c>
      <c r="J745" t="str">
        <f t="shared" si="28"/>
        <v>NULL</v>
      </c>
      <c r="K745" t="str">
        <f>Instructions!M752</f>
        <v>Added via SMSS</v>
      </c>
      <c r="L745" t="str">
        <f t="shared" si="22"/>
        <v>NULL</v>
      </c>
    </row>
    <row r="746" spans="1:12" x14ac:dyDescent="0.25">
      <c r="A746" t="str" cm="1">
        <f t="array" ref="A746">_xlfn.CONCAT(Instructions!C753,Instructions!A753,"_",TEXT(Instructions!B753,"YYYYMMDD"),"_1_",INDEX(Table1[], MATCH(1,(Table1[Estuary]=Instructions!C753)*(Table1[StationNumber]=Instructions!D753)*(Instructions!B753&gt;Table1[StartDate])*(Instructions!B753&lt;Table1[EndDate]),0),1),"_1_",Instructions!E753,"_",Instructions!F753)</f>
        <v>TBSRVY_20190924_1_0291_1_015_045</v>
      </c>
      <c r="B746" t="str" cm="1">
        <f t="array" ref="B746">_xlfn.CONCAT(Instructions!C753,Instructions!A753,"_",TEXT(Instructions!B753,"YYYYMMDD"),"_1_",INDEX(Table1[], MATCH(1,(Table1[Estuary]=Instructions!C753)*(Table1[StationNumber]=Instructions!D753)*(Instructions!B753&gt;Table1[StartDate])*(Instructions!B753&lt;Table1[EndDate]),0),1),"_1_",Instructions!E753)</f>
        <v>TBSRVY_20190924_1_0291_1_015</v>
      </c>
      <c r="C746">
        <f>Instructions!G753</f>
        <v>24</v>
      </c>
      <c r="D746" t="str">
        <f>IF(ISBLANK(Instructions!H753),"",Instructions!H753)</f>
        <v>Entered</v>
      </c>
      <c r="E746" s="1">
        <f>IF(ISBLANK(Instructions!I753),"",Instructions!I753)</f>
        <v>45646</v>
      </c>
      <c r="F746" t="str">
        <f>IF(ISBLANK(Instructions!J753),"",Instructions!J753)</f>
        <v>Erica Williams</v>
      </c>
      <c r="G746" s="1" t="str">
        <f>IF(ISBLANK(Instructions!K753),"",Instructions!K753)</f>
        <v/>
      </c>
      <c r="H746" t="str">
        <f>IF(ISBLANK(Instructions!L753),"",Instructions!L753)</f>
        <v/>
      </c>
      <c r="I746" t="str">
        <f t="shared" si="28"/>
        <v>NULL</v>
      </c>
      <c r="J746" t="str">
        <f t="shared" si="28"/>
        <v>NULL</v>
      </c>
      <c r="K746" t="str">
        <f>Instructions!M753</f>
        <v>Added via SMSS</v>
      </c>
      <c r="L746" t="str">
        <f t="shared" si="22"/>
        <v>NULL</v>
      </c>
    </row>
    <row r="747" spans="1:12" x14ac:dyDescent="0.25">
      <c r="A747" t="str" cm="1">
        <f t="array" ref="A747">_xlfn.CONCAT(Instructions!C754,Instructions!A754,"_",TEXT(Instructions!B754,"YYYYMMDD"),"_1_",INDEX(Table1[], MATCH(1,(Table1[Estuary]=Instructions!C754)*(Table1[StationNumber]=Instructions!D754)*(Instructions!B754&gt;Table1[StartDate])*(Instructions!B754&lt;Table1[EndDate]),0),1),"_1_",Instructions!E754,"_",Instructions!F754)</f>
        <v>TBSRVY_20190924_1_0291_1_015_046</v>
      </c>
      <c r="B747" t="str" cm="1">
        <f t="array" ref="B747">_xlfn.CONCAT(Instructions!C754,Instructions!A754,"_",TEXT(Instructions!B754,"YYYYMMDD"),"_1_",INDEX(Table1[], MATCH(1,(Table1[Estuary]=Instructions!C754)*(Table1[StationNumber]=Instructions!D754)*(Instructions!B754&gt;Table1[StartDate])*(Instructions!B754&lt;Table1[EndDate]),0),1),"_1_",Instructions!E754)</f>
        <v>TBSRVY_20190924_1_0291_1_015</v>
      </c>
      <c r="C747">
        <f>Instructions!G754</f>
        <v>19</v>
      </c>
      <c r="D747" t="str">
        <f>IF(ISBLANK(Instructions!H754),"",Instructions!H754)</f>
        <v>Entered</v>
      </c>
      <c r="E747" s="1">
        <f>IF(ISBLANK(Instructions!I754),"",Instructions!I754)</f>
        <v>45646</v>
      </c>
      <c r="F747" t="str">
        <f>IF(ISBLANK(Instructions!J754),"",Instructions!J754)</f>
        <v>Erica Williams</v>
      </c>
      <c r="G747" s="1" t="str">
        <f>IF(ISBLANK(Instructions!K754),"",Instructions!K754)</f>
        <v/>
      </c>
      <c r="H747" t="str">
        <f>IF(ISBLANK(Instructions!L754),"",Instructions!L754)</f>
        <v/>
      </c>
      <c r="I747" t="str">
        <f t="shared" si="28"/>
        <v>NULL</v>
      </c>
      <c r="J747" t="str">
        <f t="shared" si="28"/>
        <v>NULL</v>
      </c>
      <c r="K747" t="str">
        <f>Instructions!M754</f>
        <v>Added via SMSS</v>
      </c>
      <c r="L747" t="str">
        <f t="shared" si="22"/>
        <v>NULL</v>
      </c>
    </row>
    <row r="748" spans="1:12" x14ac:dyDescent="0.25">
      <c r="A748" t="str" cm="1">
        <f t="array" ref="A748">_xlfn.CONCAT(Instructions!C755,Instructions!A755,"_",TEXT(Instructions!B755,"YYYYMMDD"),"_1_",INDEX(Table1[], MATCH(1,(Table1[Estuary]=Instructions!C755)*(Table1[StationNumber]=Instructions!D755)*(Instructions!B755&gt;Table1[StartDate])*(Instructions!B755&lt;Table1[EndDate]),0),1),"_1_",Instructions!E755,"_",Instructions!F755)</f>
        <v>TBSRVY_20190924_1_0291_1_015_047</v>
      </c>
      <c r="B748" t="str" cm="1">
        <f t="array" ref="B748">_xlfn.CONCAT(Instructions!C755,Instructions!A755,"_",TEXT(Instructions!B755,"YYYYMMDD"),"_1_",INDEX(Table1[], MATCH(1,(Table1[Estuary]=Instructions!C755)*(Table1[StationNumber]=Instructions!D755)*(Instructions!B755&gt;Table1[StartDate])*(Instructions!B755&lt;Table1[EndDate]),0),1),"_1_",Instructions!E755)</f>
        <v>TBSRVY_20190924_1_0291_1_015</v>
      </c>
      <c r="C748">
        <f>Instructions!G755</f>
        <v>31</v>
      </c>
      <c r="D748" t="str">
        <f>IF(ISBLANK(Instructions!H755),"",Instructions!H755)</f>
        <v>Entered</v>
      </c>
      <c r="E748" s="1">
        <f>IF(ISBLANK(Instructions!I755),"",Instructions!I755)</f>
        <v>45646</v>
      </c>
      <c r="F748" t="str">
        <f>IF(ISBLANK(Instructions!J755),"",Instructions!J755)</f>
        <v>Erica Williams</v>
      </c>
      <c r="G748" s="1" t="str">
        <f>IF(ISBLANK(Instructions!K755),"",Instructions!K755)</f>
        <v/>
      </c>
      <c r="H748" t="str">
        <f>IF(ISBLANK(Instructions!L755),"",Instructions!L755)</f>
        <v/>
      </c>
      <c r="I748" t="str">
        <f t="shared" si="28"/>
        <v>NULL</v>
      </c>
      <c r="J748" t="str">
        <f t="shared" si="28"/>
        <v>NULL</v>
      </c>
      <c r="K748" t="str">
        <f>Instructions!M755</f>
        <v>Added via SMSS</v>
      </c>
      <c r="L748" t="str">
        <f t="shared" si="22"/>
        <v>NULL</v>
      </c>
    </row>
    <row r="749" spans="1:12" x14ac:dyDescent="0.25">
      <c r="A749" t="str" cm="1">
        <f t="array" ref="A749">_xlfn.CONCAT(Instructions!C756,Instructions!A756,"_",TEXT(Instructions!B756,"YYYYMMDD"),"_1_",INDEX(Table1[], MATCH(1,(Table1[Estuary]=Instructions!C756)*(Table1[StationNumber]=Instructions!D756)*(Instructions!B756&gt;Table1[StartDate])*(Instructions!B756&lt;Table1[EndDate]),0),1),"_1_",Instructions!E756,"_",Instructions!F756)</f>
        <v>TBSRVY_20190924_1_0291_1_015_048</v>
      </c>
      <c r="B749" t="str" cm="1">
        <f t="array" ref="B749">_xlfn.CONCAT(Instructions!C756,Instructions!A756,"_",TEXT(Instructions!B756,"YYYYMMDD"),"_1_",INDEX(Table1[], MATCH(1,(Table1[Estuary]=Instructions!C756)*(Table1[StationNumber]=Instructions!D756)*(Instructions!B756&gt;Table1[StartDate])*(Instructions!B756&lt;Table1[EndDate]),0),1),"_1_",Instructions!E756)</f>
        <v>TBSRVY_20190924_1_0291_1_015</v>
      </c>
      <c r="C749">
        <f>Instructions!G756</f>
        <v>15</v>
      </c>
      <c r="D749" t="str">
        <f>IF(ISBLANK(Instructions!H756),"",Instructions!H756)</f>
        <v>Entered</v>
      </c>
      <c r="E749" s="1">
        <f>IF(ISBLANK(Instructions!I756),"",Instructions!I756)</f>
        <v>45646</v>
      </c>
      <c r="F749" t="str">
        <f>IF(ISBLANK(Instructions!J756),"",Instructions!J756)</f>
        <v>Erica Williams</v>
      </c>
      <c r="G749" s="1" t="str">
        <f>IF(ISBLANK(Instructions!K756),"",Instructions!K756)</f>
        <v/>
      </c>
      <c r="H749" t="str">
        <f>IF(ISBLANK(Instructions!L756),"",Instructions!L756)</f>
        <v/>
      </c>
      <c r="I749" t="str">
        <f t="shared" si="28"/>
        <v>NULL</v>
      </c>
      <c r="J749" t="str">
        <f t="shared" si="28"/>
        <v>NULL</v>
      </c>
      <c r="K749" t="str">
        <f>Instructions!M756</f>
        <v>Added via SMSS</v>
      </c>
      <c r="L749" t="str">
        <f t="shared" si="22"/>
        <v>NULL</v>
      </c>
    </row>
    <row r="750" spans="1:12" x14ac:dyDescent="0.25">
      <c r="A750" t="str" cm="1">
        <f t="array" ref="A750">_xlfn.CONCAT(Instructions!C757,Instructions!A757,"_",TEXT(Instructions!B757,"YYYYMMDD"),"_1_",INDEX(Table1[], MATCH(1,(Table1[Estuary]=Instructions!C757)*(Table1[StationNumber]=Instructions!D757)*(Instructions!B757&gt;Table1[StartDate])*(Instructions!B757&lt;Table1[EndDate]),0),1),"_1_",Instructions!E757,"_",Instructions!F757)</f>
        <v>TBSRVY_20190924_1_0291_1_015_049</v>
      </c>
      <c r="B750" t="str" cm="1">
        <f t="array" ref="B750">_xlfn.CONCAT(Instructions!C757,Instructions!A757,"_",TEXT(Instructions!B757,"YYYYMMDD"),"_1_",INDEX(Table1[], MATCH(1,(Table1[Estuary]=Instructions!C757)*(Table1[StationNumber]=Instructions!D757)*(Instructions!B757&gt;Table1[StartDate])*(Instructions!B757&lt;Table1[EndDate]),0),1),"_1_",Instructions!E757)</f>
        <v>TBSRVY_20190924_1_0291_1_015</v>
      </c>
      <c r="C750">
        <f>Instructions!G757</f>
        <v>35</v>
      </c>
      <c r="D750" t="str">
        <f>IF(ISBLANK(Instructions!H757),"",Instructions!H757)</f>
        <v>Entered</v>
      </c>
      <c r="E750" s="1">
        <f>IF(ISBLANK(Instructions!I757),"",Instructions!I757)</f>
        <v>45646</v>
      </c>
      <c r="F750" t="str">
        <f>IF(ISBLANK(Instructions!J757),"",Instructions!J757)</f>
        <v>Erica Williams</v>
      </c>
      <c r="G750" s="1" t="str">
        <f>IF(ISBLANK(Instructions!K757),"",Instructions!K757)</f>
        <v/>
      </c>
      <c r="H750" t="str">
        <f>IF(ISBLANK(Instructions!L757),"",Instructions!L757)</f>
        <v/>
      </c>
      <c r="I750" t="str">
        <f t="shared" si="28"/>
        <v>NULL</v>
      </c>
      <c r="J750" t="str">
        <f t="shared" si="28"/>
        <v>NULL</v>
      </c>
      <c r="K750" t="str">
        <f>Instructions!M757</f>
        <v>Added via SMSS</v>
      </c>
      <c r="L750" t="str">
        <f t="shared" si="22"/>
        <v>NULL</v>
      </c>
    </row>
    <row r="751" spans="1:12" x14ac:dyDescent="0.25">
      <c r="A751" t="str" cm="1">
        <f t="array" ref="A751">_xlfn.CONCAT(Instructions!C758,Instructions!A758,"_",TEXT(Instructions!B758,"YYYYMMDD"),"_1_",INDEX(Table1[], MATCH(1,(Table1[Estuary]=Instructions!C758)*(Table1[StationNumber]=Instructions!D758)*(Instructions!B758&gt;Table1[StartDate])*(Instructions!B758&lt;Table1[EndDate]),0),1),"_1_",Instructions!E758,"_",Instructions!F758)</f>
        <v>TBSRVY_20190924_1_0291_1_015_050</v>
      </c>
      <c r="B751" t="str" cm="1">
        <f t="array" ref="B751">_xlfn.CONCAT(Instructions!C758,Instructions!A758,"_",TEXT(Instructions!B758,"YYYYMMDD"),"_1_",INDEX(Table1[], MATCH(1,(Table1[Estuary]=Instructions!C758)*(Table1[StationNumber]=Instructions!D758)*(Instructions!B758&gt;Table1[StartDate])*(Instructions!B758&lt;Table1[EndDate]),0),1),"_1_",Instructions!E758)</f>
        <v>TBSRVY_20190924_1_0291_1_015</v>
      </c>
      <c r="C751">
        <f>Instructions!G758</f>
        <v>24</v>
      </c>
      <c r="D751" t="str">
        <f>IF(ISBLANK(Instructions!H758),"",Instructions!H758)</f>
        <v>Entered</v>
      </c>
      <c r="E751" s="1">
        <f>IF(ISBLANK(Instructions!I758),"",Instructions!I758)</f>
        <v>45646</v>
      </c>
      <c r="F751" t="str">
        <f>IF(ISBLANK(Instructions!J758),"",Instructions!J758)</f>
        <v>Erica Williams</v>
      </c>
      <c r="G751" s="1" t="str">
        <f>IF(ISBLANK(Instructions!K758),"",Instructions!K758)</f>
        <v/>
      </c>
      <c r="H751" t="str">
        <f>IF(ISBLANK(Instructions!L758),"",Instructions!L758)</f>
        <v/>
      </c>
      <c r="I751" t="str">
        <f t="shared" si="28"/>
        <v>NULL</v>
      </c>
      <c r="J751" t="str">
        <f t="shared" si="28"/>
        <v>NULL</v>
      </c>
      <c r="K751" t="str">
        <f>Instructions!M758</f>
        <v>Added via SMSS</v>
      </c>
      <c r="L751" t="str">
        <f t="shared" si="22"/>
        <v>NULL</v>
      </c>
    </row>
    <row r="752" spans="1:12" x14ac:dyDescent="0.25">
      <c r="E752" s="1"/>
      <c r="G752" s="1"/>
    </row>
    <row r="753" spans="5:7" x14ac:dyDescent="0.25">
      <c r="E753" s="1"/>
      <c r="G753" s="1"/>
    </row>
    <row r="754" spans="5:7" x14ac:dyDescent="0.25">
      <c r="E754" s="1"/>
      <c r="G754" s="1"/>
    </row>
    <row r="755" spans="5:7" x14ac:dyDescent="0.25">
      <c r="E755" s="1"/>
      <c r="G755" s="1"/>
    </row>
    <row r="756" spans="5:7" x14ac:dyDescent="0.25">
      <c r="E756" s="1"/>
      <c r="G756" s="1"/>
    </row>
    <row r="757" spans="5:7" x14ac:dyDescent="0.25">
      <c r="E757" s="1"/>
      <c r="G757" s="1"/>
    </row>
    <row r="758" spans="5:7" x14ac:dyDescent="0.25">
      <c r="E758" s="1"/>
      <c r="G758" s="1"/>
    </row>
    <row r="759" spans="5:7" x14ac:dyDescent="0.25">
      <c r="E759" s="1"/>
      <c r="G759" s="1"/>
    </row>
    <row r="760" spans="5:7" x14ac:dyDescent="0.25">
      <c r="E760" s="1"/>
      <c r="G760" s="1"/>
    </row>
    <row r="761" spans="5:7" x14ac:dyDescent="0.25">
      <c r="E761" s="1"/>
      <c r="G761" s="1"/>
    </row>
    <row r="762" spans="5:7" x14ac:dyDescent="0.25">
      <c r="E762" s="1"/>
      <c r="G762" s="1"/>
    </row>
    <row r="763" spans="5:7" x14ac:dyDescent="0.25">
      <c r="E763" s="1"/>
      <c r="G763" s="1"/>
    </row>
    <row r="764" spans="5:7" x14ac:dyDescent="0.25">
      <c r="E764" s="1"/>
      <c r="G764" s="1"/>
    </row>
    <row r="765" spans="5:7" x14ac:dyDescent="0.25">
      <c r="E765" s="1"/>
      <c r="G765" s="1"/>
    </row>
    <row r="766" spans="5:7" x14ac:dyDescent="0.25">
      <c r="E766" s="1"/>
      <c r="G766" s="1"/>
    </row>
    <row r="767" spans="5:7" x14ac:dyDescent="0.25">
      <c r="E767" s="1"/>
      <c r="G767" s="1"/>
    </row>
    <row r="768" spans="5:7" x14ac:dyDescent="0.25">
      <c r="E768" s="1"/>
      <c r="G768" s="1"/>
    </row>
    <row r="769" spans="5:7" x14ac:dyDescent="0.25">
      <c r="E769" s="1"/>
      <c r="G769" s="1"/>
    </row>
    <row r="770" spans="5:7" x14ac:dyDescent="0.25">
      <c r="E770" s="1"/>
      <c r="G770" s="1"/>
    </row>
    <row r="771" spans="5:7" x14ac:dyDescent="0.25">
      <c r="E771" s="1"/>
      <c r="G771" s="1"/>
    </row>
    <row r="772" spans="5:7" x14ac:dyDescent="0.25">
      <c r="E772" s="1"/>
      <c r="G772" s="1"/>
    </row>
    <row r="773" spans="5:7" x14ac:dyDescent="0.25">
      <c r="E773" s="1"/>
      <c r="G773" s="1"/>
    </row>
    <row r="774" spans="5:7" x14ac:dyDescent="0.25">
      <c r="E774" s="1"/>
      <c r="G774" s="1"/>
    </row>
    <row r="775" spans="5:7" x14ac:dyDescent="0.25">
      <c r="E775" s="1"/>
      <c r="G775" s="1"/>
    </row>
    <row r="776" spans="5:7" x14ac:dyDescent="0.25">
      <c r="E776" s="1"/>
      <c r="G776" s="1"/>
    </row>
    <row r="777" spans="5:7" x14ac:dyDescent="0.25">
      <c r="E777" s="1"/>
      <c r="G777" s="1"/>
    </row>
    <row r="778" spans="5:7" x14ac:dyDescent="0.25">
      <c r="E778" s="1"/>
      <c r="G778" s="1"/>
    </row>
    <row r="779" spans="5:7" x14ac:dyDescent="0.25">
      <c r="E779" s="1"/>
      <c r="G779" s="1"/>
    </row>
    <row r="780" spans="5:7" x14ac:dyDescent="0.25">
      <c r="E780" s="1"/>
      <c r="G780" s="1"/>
    </row>
    <row r="781" spans="5:7" x14ac:dyDescent="0.25">
      <c r="E781" s="1"/>
      <c r="G781" s="1"/>
    </row>
    <row r="782" spans="5:7" x14ac:dyDescent="0.25">
      <c r="E782" s="1"/>
      <c r="G782" s="1"/>
    </row>
    <row r="783" spans="5:7" x14ac:dyDescent="0.25">
      <c r="E783" s="1"/>
      <c r="G783" s="1"/>
    </row>
    <row r="784" spans="5:7" x14ac:dyDescent="0.25">
      <c r="E784" s="1"/>
      <c r="G784" s="1"/>
    </row>
    <row r="785" spans="5:7" x14ac:dyDescent="0.25">
      <c r="E785" s="1"/>
      <c r="G785" s="1"/>
    </row>
    <row r="786" spans="5:7" x14ac:dyDescent="0.25">
      <c r="E786" s="1"/>
      <c r="G786" s="1"/>
    </row>
    <row r="787" spans="5:7" x14ac:dyDescent="0.25">
      <c r="E787" s="1"/>
      <c r="G787" s="1"/>
    </row>
    <row r="788" spans="5:7" x14ac:dyDescent="0.25">
      <c r="E788" s="1"/>
      <c r="G788" s="1"/>
    </row>
    <row r="789" spans="5:7" x14ac:dyDescent="0.25">
      <c r="E789" s="1"/>
      <c r="G789" s="1"/>
    </row>
    <row r="790" spans="5:7" x14ac:dyDescent="0.25">
      <c r="E790" s="1"/>
      <c r="G790" s="1"/>
    </row>
    <row r="791" spans="5:7" x14ac:dyDescent="0.25">
      <c r="E791" s="1"/>
      <c r="G791" s="1"/>
    </row>
    <row r="792" spans="5:7" x14ac:dyDescent="0.25">
      <c r="E792" s="1"/>
      <c r="G792" s="1"/>
    </row>
    <row r="793" spans="5:7" x14ac:dyDescent="0.25">
      <c r="E793" s="1"/>
      <c r="G793" s="1"/>
    </row>
    <row r="794" spans="5:7" x14ac:dyDescent="0.25">
      <c r="E794" s="1"/>
      <c r="G794" s="1"/>
    </row>
    <row r="795" spans="5:7" x14ac:dyDescent="0.25">
      <c r="E795" s="1"/>
      <c r="G795" s="1"/>
    </row>
    <row r="796" spans="5:7" x14ac:dyDescent="0.25">
      <c r="E796" s="1"/>
      <c r="G796" s="1"/>
    </row>
    <row r="797" spans="5:7" x14ac:dyDescent="0.25">
      <c r="E797" s="1"/>
      <c r="G797" s="1"/>
    </row>
    <row r="798" spans="5:7" x14ac:dyDescent="0.25">
      <c r="E798" s="1"/>
      <c r="G798" s="1"/>
    </row>
    <row r="799" spans="5:7" x14ac:dyDescent="0.25">
      <c r="E799" s="1"/>
      <c r="G799" s="1"/>
    </row>
    <row r="800" spans="5:7" x14ac:dyDescent="0.25">
      <c r="E800" s="1"/>
      <c r="G800" s="1"/>
    </row>
    <row r="801" spans="5:7" x14ac:dyDescent="0.25">
      <c r="E801" s="1"/>
      <c r="G801" s="1"/>
    </row>
    <row r="802" spans="5:7" x14ac:dyDescent="0.25">
      <c r="E802" s="1"/>
      <c r="G802" s="1"/>
    </row>
    <row r="803" spans="5:7" x14ac:dyDescent="0.25">
      <c r="E803" s="1"/>
      <c r="G803" s="1"/>
    </row>
    <row r="804" spans="5:7" x14ac:dyDescent="0.25">
      <c r="E804" s="1"/>
      <c r="G804" s="1"/>
    </row>
    <row r="805" spans="5:7" x14ac:dyDescent="0.25">
      <c r="E805" s="1"/>
      <c r="G805" s="1"/>
    </row>
    <row r="806" spans="5:7" x14ac:dyDescent="0.25">
      <c r="E806" s="1"/>
      <c r="G806" s="1"/>
    </row>
    <row r="807" spans="5:7" x14ac:dyDescent="0.25">
      <c r="E807" s="1"/>
      <c r="G807" s="1"/>
    </row>
    <row r="808" spans="5:7" x14ac:dyDescent="0.25">
      <c r="E808" s="1"/>
      <c r="G808" s="1"/>
    </row>
    <row r="809" spans="5:7" x14ac:dyDescent="0.25">
      <c r="E809" s="1"/>
      <c r="G809" s="1"/>
    </row>
    <row r="810" spans="5:7" x14ac:dyDescent="0.25">
      <c r="E810" s="1"/>
      <c r="G810" s="1"/>
    </row>
    <row r="811" spans="5:7" x14ac:dyDescent="0.25">
      <c r="E811" s="1"/>
      <c r="G811" s="1"/>
    </row>
    <row r="812" spans="5:7" x14ac:dyDescent="0.25">
      <c r="E812" s="1"/>
      <c r="G812" s="1"/>
    </row>
    <row r="813" spans="5:7" x14ac:dyDescent="0.25">
      <c r="E813" s="1"/>
      <c r="G813" s="1"/>
    </row>
    <row r="814" spans="5:7" x14ac:dyDescent="0.25">
      <c r="E814" s="1"/>
      <c r="G814" s="1"/>
    </row>
    <row r="815" spans="5:7" x14ac:dyDescent="0.25">
      <c r="E815" s="1"/>
      <c r="G815" s="1"/>
    </row>
    <row r="816" spans="5:7" x14ac:dyDescent="0.25">
      <c r="E816" s="1"/>
      <c r="G816" s="1"/>
    </row>
    <row r="817" spans="5:7" x14ac:dyDescent="0.25">
      <c r="E817" s="1"/>
      <c r="G817" s="1"/>
    </row>
    <row r="818" spans="5:7" x14ac:dyDescent="0.25">
      <c r="E818" s="1"/>
      <c r="G818" s="1"/>
    </row>
    <row r="819" spans="5:7" x14ac:dyDescent="0.25">
      <c r="E819" s="1"/>
      <c r="G819" s="1"/>
    </row>
    <row r="820" spans="5:7" x14ac:dyDescent="0.25">
      <c r="E820" s="1"/>
      <c r="G820" s="1"/>
    </row>
    <row r="821" spans="5:7" x14ac:dyDescent="0.25">
      <c r="E821" s="1"/>
      <c r="G821" s="1"/>
    </row>
    <row r="822" spans="5:7" x14ac:dyDescent="0.25">
      <c r="E822" s="1"/>
      <c r="G822" s="1"/>
    </row>
    <row r="823" spans="5:7" x14ac:dyDescent="0.25">
      <c r="E823" s="1"/>
      <c r="G823" s="1"/>
    </row>
    <row r="824" spans="5:7" x14ac:dyDescent="0.25">
      <c r="E824" s="1"/>
      <c r="G824" s="1"/>
    </row>
    <row r="825" spans="5:7" x14ac:dyDescent="0.25">
      <c r="E825" s="1"/>
      <c r="G825" s="1"/>
    </row>
    <row r="826" spans="5:7" x14ac:dyDescent="0.25">
      <c r="E826" s="1"/>
      <c r="G826" s="1"/>
    </row>
    <row r="827" spans="5:7" x14ac:dyDescent="0.25">
      <c r="E827" s="1"/>
      <c r="G827" s="1"/>
    </row>
    <row r="828" spans="5:7" x14ac:dyDescent="0.25">
      <c r="E828" s="1"/>
      <c r="G828" s="1"/>
    </row>
    <row r="829" spans="5:7" x14ac:dyDescent="0.25">
      <c r="E829" s="1"/>
      <c r="G829" s="1"/>
    </row>
    <row r="830" spans="5:7" x14ac:dyDescent="0.25">
      <c r="E830" s="1"/>
      <c r="G830" s="1"/>
    </row>
    <row r="831" spans="5:7" x14ac:dyDescent="0.25">
      <c r="E831" s="1"/>
      <c r="G831" s="1"/>
    </row>
    <row r="832" spans="5:7" x14ac:dyDescent="0.25">
      <c r="E832" s="1"/>
      <c r="G832" s="1"/>
    </row>
    <row r="833" spans="5:7" x14ac:dyDescent="0.25">
      <c r="E833" s="1"/>
      <c r="G833" s="1"/>
    </row>
    <row r="834" spans="5:7" x14ac:dyDescent="0.25">
      <c r="E834" s="1"/>
      <c r="G834" s="1"/>
    </row>
    <row r="835" spans="5:7" x14ac:dyDescent="0.25">
      <c r="E835" s="1"/>
      <c r="G835" s="1"/>
    </row>
    <row r="836" spans="5:7" x14ac:dyDescent="0.25">
      <c r="E836" s="1"/>
      <c r="G836" s="1"/>
    </row>
    <row r="837" spans="5:7" x14ac:dyDescent="0.25">
      <c r="E837" s="1"/>
      <c r="G837" s="1"/>
    </row>
    <row r="838" spans="5:7" x14ac:dyDescent="0.25">
      <c r="E838" s="1"/>
      <c r="G838" s="1"/>
    </row>
    <row r="839" spans="5:7" x14ac:dyDescent="0.25">
      <c r="E839" s="1"/>
      <c r="G839" s="1"/>
    </row>
    <row r="840" spans="5:7" x14ac:dyDescent="0.25">
      <c r="E840" s="1"/>
      <c r="G840" s="1"/>
    </row>
    <row r="841" spans="5:7" x14ac:dyDescent="0.25">
      <c r="E841" s="1"/>
      <c r="G841" s="1"/>
    </row>
    <row r="842" spans="5:7" x14ac:dyDescent="0.25">
      <c r="E842" s="1"/>
      <c r="G842" s="1"/>
    </row>
    <row r="843" spans="5:7" x14ac:dyDescent="0.25">
      <c r="E843" s="1"/>
      <c r="G843" s="1"/>
    </row>
    <row r="844" spans="5:7" x14ac:dyDescent="0.25">
      <c r="E844" s="1"/>
      <c r="G844" s="1"/>
    </row>
    <row r="845" spans="5:7" x14ac:dyDescent="0.25">
      <c r="E845" s="1"/>
      <c r="G845" s="1"/>
    </row>
    <row r="846" spans="5:7" x14ac:dyDescent="0.25">
      <c r="E846" s="1"/>
      <c r="G846" s="1"/>
    </row>
    <row r="847" spans="5:7" x14ac:dyDescent="0.25">
      <c r="E847" s="1"/>
      <c r="G847" s="1"/>
    </row>
    <row r="848" spans="5:7" x14ac:dyDescent="0.25">
      <c r="E848" s="1"/>
      <c r="G848" s="1"/>
    </row>
    <row r="849" spans="5:7" x14ac:dyDescent="0.25">
      <c r="E849" s="1"/>
      <c r="G849" s="1"/>
    </row>
    <row r="850" spans="5:7" x14ac:dyDescent="0.25">
      <c r="E850" s="1"/>
      <c r="G850" s="1"/>
    </row>
    <row r="851" spans="5:7" x14ac:dyDescent="0.25">
      <c r="E851" s="1"/>
      <c r="G851" s="1"/>
    </row>
    <row r="852" spans="5:7" x14ac:dyDescent="0.25">
      <c r="E852" s="1"/>
      <c r="G852" s="1"/>
    </row>
    <row r="853" spans="5:7" x14ac:dyDescent="0.25">
      <c r="E853" s="1"/>
      <c r="G853" s="1"/>
    </row>
    <row r="854" spans="5:7" x14ac:dyDescent="0.25">
      <c r="E854" s="1"/>
      <c r="G854" s="1"/>
    </row>
    <row r="855" spans="5:7" x14ac:dyDescent="0.25">
      <c r="E855" s="1"/>
      <c r="G855" s="1"/>
    </row>
    <row r="856" spans="5:7" x14ac:dyDescent="0.25">
      <c r="E856" s="1"/>
      <c r="G856" s="1"/>
    </row>
    <row r="857" spans="5:7" x14ac:dyDescent="0.25">
      <c r="E857" s="1"/>
      <c r="G857" s="1"/>
    </row>
    <row r="858" spans="5:7" x14ac:dyDescent="0.25">
      <c r="E858" s="1"/>
      <c r="G858" s="1"/>
    </row>
    <row r="859" spans="5:7" x14ac:dyDescent="0.25">
      <c r="E859" s="1"/>
      <c r="G859" s="1"/>
    </row>
    <row r="860" spans="5:7" x14ac:dyDescent="0.25">
      <c r="E860" s="1"/>
      <c r="G860" s="1"/>
    </row>
    <row r="861" spans="5:7" x14ac:dyDescent="0.25">
      <c r="E861" s="1"/>
      <c r="G861" s="1"/>
    </row>
    <row r="862" spans="5:7" x14ac:dyDescent="0.25">
      <c r="E862" s="1"/>
      <c r="G862" s="1"/>
    </row>
    <row r="863" spans="5:7" x14ac:dyDescent="0.25">
      <c r="E863" s="1"/>
      <c r="G863" s="1"/>
    </row>
    <row r="864" spans="5:7" x14ac:dyDescent="0.25">
      <c r="E864" s="1"/>
      <c r="G864" s="1"/>
    </row>
    <row r="865" spans="5:7" x14ac:dyDescent="0.25">
      <c r="E865" s="1"/>
      <c r="G865" s="1"/>
    </row>
    <row r="866" spans="5:7" x14ac:dyDescent="0.25">
      <c r="E866" s="1"/>
      <c r="G866" s="1"/>
    </row>
    <row r="867" spans="5:7" x14ac:dyDescent="0.25">
      <c r="E867" s="1"/>
      <c r="G867" s="1"/>
    </row>
    <row r="868" spans="5:7" x14ac:dyDescent="0.25">
      <c r="E868" s="1"/>
      <c r="G868" s="1"/>
    </row>
    <row r="869" spans="5:7" x14ac:dyDescent="0.25">
      <c r="E869" s="1"/>
      <c r="G869" s="1"/>
    </row>
    <row r="870" spans="5:7" x14ac:dyDescent="0.25">
      <c r="E870" s="1"/>
      <c r="G870" s="1"/>
    </row>
    <row r="871" spans="5:7" x14ac:dyDescent="0.25">
      <c r="E871" s="1"/>
      <c r="G871" s="1"/>
    </row>
    <row r="872" spans="5:7" x14ac:dyDescent="0.25">
      <c r="E872" s="1"/>
      <c r="G872" s="1"/>
    </row>
    <row r="873" spans="5:7" x14ac:dyDescent="0.25">
      <c r="E873" s="1"/>
      <c r="G873" s="1"/>
    </row>
    <row r="874" spans="5:7" x14ac:dyDescent="0.25">
      <c r="E874" s="1"/>
      <c r="G874" s="1"/>
    </row>
    <row r="875" spans="5:7" x14ac:dyDescent="0.25">
      <c r="E875" s="1"/>
      <c r="G875" s="1"/>
    </row>
    <row r="876" spans="5:7" x14ac:dyDescent="0.25">
      <c r="E876" s="1"/>
      <c r="G876" s="1"/>
    </row>
    <row r="877" spans="5:7" x14ac:dyDescent="0.25">
      <c r="E877" s="1"/>
      <c r="G877" s="1"/>
    </row>
    <row r="878" spans="5:7" x14ac:dyDescent="0.25">
      <c r="E878" s="1"/>
      <c r="G878" s="1"/>
    </row>
    <row r="879" spans="5:7" x14ac:dyDescent="0.25">
      <c r="E879" s="1"/>
      <c r="G879" s="1"/>
    </row>
    <row r="880" spans="5:7" x14ac:dyDescent="0.25">
      <c r="E880" s="1"/>
      <c r="G880" s="1"/>
    </row>
    <row r="881" spans="5:7" x14ac:dyDescent="0.25">
      <c r="E881" s="1"/>
      <c r="G881" s="1"/>
    </row>
    <row r="882" spans="5:7" x14ac:dyDescent="0.25">
      <c r="E882" s="1"/>
      <c r="G882" s="1"/>
    </row>
    <row r="883" spans="5:7" x14ac:dyDescent="0.25">
      <c r="E883" s="1"/>
      <c r="G883" s="1"/>
    </row>
    <row r="884" spans="5:7" x14ac:dyDescent="0.25">
      <c r="E884" s="1"/>
      <c r="G884" s="1"/>
    </row>
    <row r="885" spans="5:7" x14ac:dyDescent="0.25">
      <c r="E885" s="1"/>
      <c r="G885" s="1"/>
    </row>
    <row r="886" spans="5:7" x14ac:dyDescent="0.25">
      <c r="E886" s="1"/>
      <c r="G886" s="1"/>
    </row>
    <row r="887" spans="5:7" x14ac:dyDescent="0.25">
      <c r="E887" s="1"/>
      <c r="G887" s="1"/>
    </row>
    <row r="888" spans="5:7" x14ac:dyDescent="0.25">
      <c r="E888" s="1"/>
      <c r="G888" s="1"/>
    </row>
    <row r="889" spans="5:7" x14ac:dyDescent="0.25">
      <c r="E889" s="1"/>
      <c r="G889" s="1"/>
    </row>
    <row r="890" spans="5:7" x14ac:dyDescent="0.25">
      <c r="E890" s="1"/>
      <c r="G890" s="1"/>
    </row>
    <row r="891" spans="5:7" x14ac:dyDescent="0.25">
      <c r="E891" s="1"/>
      <c r="G891" s="1"/>
    </row>
    <row r="892" spans="5:7" x14ac:dyDescent="0.25">
      <c r="E892" s="1"/>
      <c r="G892" s="1"/>
    </row>
    <row r="893" spans="5:7" x14ac:dyDescent="0.25">
      <c r="E893" s="1"/>
      <c r="G893" s="1"/>
    </row>
    <row r="894" spans="5:7" x14ac:dyDescent="0.25">
      <c r="E894" s="1"/>
      <c r="G894" s="1"/>
    </row>
    <row r="895" spans="5:7" x14ac:dyDescent="0.25">
      <c r="E895" s="1"/>
      <c r="G895" s="1"/>
    </row>
    <row r="896" spans="5:7" x14ac:dyDescent="0.25">
      <c r="E896" s="1"/>
      <c r="G896" s="1"/>
    </row>
    <row r="897" spans="5:7" x14ac:dyDescent="0.25">
      <c r="E897" s="1"/>
      <c r="G897" s="1"/>
    </row>
    <row r="898" spans="5:7" x14ac:dyDescent="0.25">
      <c r="E898" s="1"/>
      <c r="G898" s="1"/>
    </row>
    <row r="899" spans="5:7" x14ac:dyDescent="0.25">
      <c r="E899" s="1"/>
      <c r="G899" s="1"/>
    </row>
    <row r="900" spans="5:7" x14ac:dyDescent="0.25">
      <c r="E900" s="1"/>
      <c r="G900" s="1"/>
    </row>
    <row r="901" spans="5:7" x14ac:dyDescent="0.25">
      <c r="E901" s="1"/>
      <c r="G901" s="1"/>
    </row>
    <row r="902" spans="5:7" x14ac:dyDescent="0.25">
      <c r="E902" s="1"/>
      <c r="G902" s="1"/>
    </row>
    <row r="903" spans="5:7" x14ac:dyDescent="0.25">
      <c r="E903" s="1"/>
      <c r="G903" s="1"/>
    </row>
    <row r="904" spans="5:7" x14ac:dyDescent="0.25">
      <c r="E904" s="1"/>
      <c r="G904" s="1"/>
    </row>
    <row r="905" spans="5:7" x14ac:dyDescent="0.25">
      <c r="E905" s="1"/>
      <c r="G905" s="1"/>
    </row>
    <row r="906" spans="5:7" x14ac:dyDescent="0.25">
      <c r="E906" s="1"/>
      <c r="G906" s="1"/>
    </row>
    <row r="907" spans="5:7" x14ac:dyDescent="0.25">
      <c r="E907" s="1"/>
      <c r="G907" s="1"/>
    </row>
    <row r="908" spans="5:7" x14ac:dyDescent="0.25">
      <c r="E908" s="1"/>
      <c r="G908" s="1"/>
    </row>
    <row r="909" spans="5:7" x14ac:dyDescent="0.25">
      <c r="E909" s="1"/>
      <c r="G909" s="1"/>
    </row>
    <row r="910" spans="5:7" x14ac:dyDescent="0.25">
      <c r="E910" s="1"/>
      <c r="G910" s="1"/>
    </row>
    <row r="911" spans="5:7" x14ac:dyDescent="0.25">
      <c r="E911" s="1"/>
      <c r="G911" s="1"/>
    </row>
    <row r="912" spans="5:7" x14ac:dyDescent="0.25">
      <c r="E912" s="1"/>
      <c r="G912" s="1"/>
    </row>
    <row r="913" spans="5:7" x14ac:dyDescent="0.25">
      <c r="E913" s="1"/>
      <c r="G913" s="1"/>
    </row>
    <row r="914" spans="5:7" x14ac:dyDescent="0.25">
      <c r="E914" s="1"/>
      <c r="G914" s="1"/>
    </row>
    <row r="915" spans="5:7" x14ac:dyDescent="0.25">
      <c r="E915" s="1"/>
      <c r="G915" s="1"/>
    </row>
    <row r="916" spans="5:7" x14ac:dyDescent="0.25">
      <c r="E916" s="1"/>
      <c r="G916" s="1"/>
    </row>
    <row r="917" spans="5:7" x14ac:dyDescent="0.25">
      <c r="E917" s="1"/>
      <c r="G917" s="1"/>
    </row>
    <row r="918" spans="5:7" x14ac:dyDescent="0.25">
      <c r="E918" s="1"/>
      <c r="G918" s="1"/>
    </row>
    <row r="919" spans="5:7" x14ac:dyDescent="0.25">
      <c r="E919" s="1"/>
      <c r="G91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BC8C-C095-4174-876F-A976B8C1179A}">
  <dimension ref="A1:AF816"/>
  <sheetViews>
    <sheetView workbookViewId="0"/>
  </sheetViews>
  <sheetFormatPr defaultRowHeight="15" x14ac:dyDescent="0.25"/>
  <cols>
    <col min="1" max="1" width="15.140625" style="2" bestFit="1" customWidth="1"/>
    <col min="2" max="2" width="7.42578125" style="2" bestFit="1" customWidth="1"/>
    <col min="3" max="3" width="12.7109375" style="2" bestFit="1" customWidth="1"/>
    <col min="4" max="4" width="24.5703125" style="2" bestFit="1" customWidth="1"/>
    <col min="5" max="5" width="16.85546875" style="2" customWidth="1"/>
    <col min="6" max="6" width="14.140625" style="2" customWidth="1"/>
    <col min="7" max="7" width="15.7109375" style="2" customWidth="1"/>
    <col min="8" max="8" width="14.42578125" style="2" customWidth="1"/>
    <col min="9" max="9" width="9.28515625" style="2" customWidth="1"/>
    <col min="10" max="10" width="11.85546875" style="2" customWidth="1"/>
    <col min="11" max="11" width="13.5703125" style="2" customWidth="1"/>
    <col min="12" max="12" width="14" style="2" customWidth="1"/>
    <col min="13" max="13" width="13.85546875" style="2" customWidth="1"/>
    <col min="14" max="14" width="7.7109375" style="2" customWidth="1"/>
    <col min="15" max="15" width="8.140625" style="2" customWidth="1"/>
    <col min="16" max="16" width="11.7109375" style="2" customWidth="1"/>
    <col min="17" max="17" width="10.85546875" style="2" customWidth="1"/>
    <col min="18" max="18" width="26.42578125" style="2" bestFit="1" customWidth="1"/>
    <col min="19" max="19" width="26.140625" style="2" bestFit="1" customWidth="1"/>
    <col min="20" max="16384" width="9.140625" style="2"/>
  </cols>
  <sheetData>
    <row r="1" spans="1:19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</row>
    <row r="2" spans="1:19" hidden="1" x14ac:dyDescent="0.25">
      <c r="A2" s="5" t="s">
        <v>1824</v>
      </c>
      <c r="B2" s="2" t="s">
        <v>31</v>
      </c>
      <c r="C2" s="2" t="s">
        <v>77</v>
      </c>
      <c r="D2" s="2" t="s">
        <v>567</v>
      </c>
      <c r="E2" s="2">
        <v>3</v>
      </c>
      <c r="F2" s="2">
        <v>29.671600000000002</v>
      </c>
      <c r="G2" s="2">
        <v>-84.904420000000002</v>
      </c>
      <c r="H2" s="2" t="s">
        <v>34</v>
      </c>
      <c r="I2" s="2" t="s">
        <v>34</v>
      </c>
      <c r="J2" s="2" t="s">
        <v>34</v>
      </c>
      <c r="K2" s="2" t="s">
        <v>34</v>
      </c>
      <c r="L2" s="2" t="s">
        <v>34</v>
      </c>
      <c r="M2" s="2" t="s">
        <v>34</v>
      </c>
      <c r="N2" s="2" t="s">
        <v>34</v>
      </c>
      <c r="O2" s="2" t="s">
        <v>34</v>
      </c>
      <c r="P2" s="3">
        <v>42156</v>
      </c>
      <c r="Q2" s="3">
        <v>43830</v>
      </c>
      <c r="R2" s="2" t="s">
        <v>570</v>
      </c>
      <c r="S2" s="2" t="s">
        <v>35</v>
      </c>
    </row>
    <row r="3" spans="1:19" hidden="1" x14ac:dyDescent="0.25">
      <c r="A3" s="5" t="s">
        <v>1825</v>
      </c>
      <c r="B3" s="2" t="s">
        <v>31</v>
      </c>
      <c r="C3" s="2" t="s">
        <v>77</v>
      </c>
      <c r="D3" s="2" t="s">
        <v>567</v>
      </c>
      <c r="E3" s="2">
        <v>4</v>
      </c>
      <c r="F3" s="2">
        <v>29.671620000000001</v>
      </c>
      <c r="G3" s="2">
        <v>-84.903630000000007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34</v>
      </c>
      <c r="O3" s="2" t="s">
        <v>34</v>
      </c>
      <c r="P3" s="3">
        <v>42156</v>
      </c>
      <c r="Q3" s="3">
        <v>43830</v>
      </c>
      <c r="R3" s="2" t="s">
        <v>571</v>
      </c>
      <c r="S3" s="2" t="s">
        <v>35</v>
      </c>
    </row>
    <row r="4" spans="1:19" hidden="1" x14ac:dyDescent="0.25">
      <c r="A4" s="5" t="s">
        <v>1826</v>
      </c>
      <c r="B4" s="2" t="s">
        <v>31</v>
      </c>
      <c r="C4" s="2" t="s">
        <v>77</v>
      </c>
      <c r="D4" s="2" t="s">
        <v>567</v>
      </c>
      <c r="E4" s="2">
        <v>5</v>
      </c>
      <c r="F4" s="2">
        <v>29.671469999999999</v>
      </c>
      <c r="G4" s="2">
        <v>-84.902879999999996</v>
      </c>
      <c r="H4" s="2" t="s">
        <v>34</v>
      </c>
      <c r="I4" s="2" t="s">
        <v>34</v>
      </c>
      <c r="J4" s="2" t="s">
        <v>34</v>
      </c>
      <c r="K4" s="2" t="s">
        <v>34</v>
      </c>
      <c r="L4" s="2" t="s">
        <v>34</v>
      </c>
      <c r="M4" s="2" t="s">
        <v>34</v>
      </c>
      <c r="N4" s="2" t="s">
        <v>34</v>
      </c>
      <c r="O4" s="2" t="s">
        <v>34</v>
      </c>
      <c r="P4" s="3">
        <v>42156</v>
      </c>
      <c r="Q4" s="3">
        <v>43830</v>
      </c>
      <c r="R4" s="2" t="s">
        <v>572</v>
      </c>
      <c r="S4" s="2" t="s">
        <v>35</v>
      </c>
    </row>
    <row r="5" spans="1:19" hidden="1" x14ac:dyDescent="0.25">
      <c r="A5" s="5" t="s">
        <v>1827</v>
      </c>
      <c r="B5" s="2" t="s">
        <v>31</v>
      </c>
      <c r="C5" s="2" t="s">
        <v>77</v>
      </c>
      <c r="D5" s="2" t="s">
        <v>573</v>
      </c>
      <c r="E5" s="2">
        <v>6</v>
      </c>
      <c r="F5" s="2">
        <v>29.737549999999999</v>
      </c>
      <c r="G5" s="2">
        <v>-84.923833000000002</v>
      </c>
      <c r="H5" s="2" t="s">
        <v>46</v>
      </c>
      <c r="I5" s="2" t="s">
        <v>46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2" t="s">
        <v>34</v>
      </c>
      <c r="P5" s="3">
        <v>42005</v>
      </c>
      <c r="Q5" s="3">
        <v>42258</v>
      </c>
      <c r="R5" s="2" t="s">
        <v>574</v>
      </c>
      <c r="S5" s="2" t="s">
        <v>35</v>
      </c>
    </row>
    <row r="6" spans="1:19" hidden="1" x14ac:dyDescent="0.25">
      <c r="A6" s="5" t="s">
        <v>1828</v>
      </c>
      <c r="B6" s="2" t="s">
        <v>31</v>
      </c>
      <c r="C6" s="2" t="s">
        <v>77</v>
      </c>
      <c r="D6" s="2" t="s">
        <v>573</v>
      </c>
      <c r="E6" s="2">
        <v>6</v>
      </c>
      <c r="F6" s="2">
        <v>29.737666000000001</v>
      </c>
      <c r="G6" s="2">
        <v>-84.927316000000005</v>
      </c>
      <c r="H6" s="2" t="s">
        <v>46</v>
      </c>
      <c r="I6" s="2" t="s">
        <v>46</v>
      </c>
      <c r="J6" s="2" t="s">
        <v>46</v>
      </c>
      <c r="K6" s="2" t="s">
        <v>46</v>
      </c>
      <c r="L6" s="2" t="s">
        <v>34</v>
      </c>
      <c r="M6" s="2" t="s">
        <v>34</v>
      </c>
      <c r="N6" s="2" t="s">
        <v>34</v>
      </c>
      <c r="O6" s="2" t="s">
        <v>34</v>
      </c>
      <c r="P6" s="3">
        <v>42248</v>
      </c>
      <c r="Q6" s="3">
        <v>73050</v>
      </c>
      <c r="R6" s="2" t="s">
        <v>574</v>
      </c>
      <c r="S6" s="2" t="s">
        <v>35</v>
      </c>
    </row>
    <row r="7" spans="1:19" hidden="1" x14ac:dyDescent="0.25">
      <c r="A7" s="5" t="s">
        <v>1829</v>
      </c>
      <c r="B7" s="2" t="s">
        <v>31</v>
      </c>
      <c r="C7" s="2" t="s">
        <v>77</v>
      </c>
      <c r="D7" s="2" t="s">
        <v>575</v>
      </c>
      <c r="E7" s="2">
        <v>6</v>
      </c>
      <c r="F7" s="2">
        <v>29.734549999999999</v>
      </c>
      <c r="G7" s="2">
        <v>-84.926150000000007</v>
      </c>
      <c r="H7" s="2" t="s">
        <v>34</v>
      </c>
      <c r="I7" s="2" t="s">
        <v>34</v>
      </c>
      <c r="J7" s="2" t="s">
        <v>46</v>
      </c>
      <c r="K7" s="2" t="s">
        <v>34</v>
      </c>
      <c r="L7" s="2" t="s">
        <v>34</v>
      </c>
      <c r="M7" s="2" t="s">
        <v>34</v>
      </c>
      <c r="N7" s="2" t="s">
        <v>34</v>
      </c>
      <c r="O7" s="2" t="s">
        <v>34</v>
      </c>
      <c r="P7" s="3">
        <v>43101</v>
      </c>
      <c r="Q7" s="3">
        <v>44773</v>
      </c>
      <c r="R7" s="2" t="s">
        <v>576</v>
      </c>
      <c r="S7" s="2" t="s">
        <v>35</v>
      </c>
    </row>
    <row r="8" spans="1:19" hidden="1" x14ac:dyDescent="0.25">
      <c r="A8" s="5" t="s">
        <v>1830</v>
      </c>
      <c r="B8" s="2" t="s">
        <v>31</v>
      </c>
      <c r="C8" s="2" t="s">
        <v>77</v>
      </c>
      <c r="D8" s="2" t="s">
        <v>577</v>
      </c>
      <c r="E8" s="2">
        <v>6</v>
      </c>
      <c r="F8" s="2">
        <v>29.73687</v>
      </c>
      <c r="G8" s="2">
        <v>-84.926969999999997</v>
      </c>
      <c r="H8" s="2" t="s">
        <v>34</v>
      </c>
      <c r="I8" s="2" t="s">
        <v>34</v>
      </c>
      <c r="J8" s="2" t="s">
        <v>34</v>
      </c>
      <c r="K8" s="2" t="s">
        <v>34</v>
      </c>
      <c r="L8" s="2" t="s">
        <v>46</v>
      </c>
      <c r="M8" s="2" t="s">
        <v>34</v>
      </c>
      <c r="N8" s="2" t="s">
        <v>34</v>
      </c>
      <c r="O8" s="2" t="s">
        <v>34</v>
      </c>
      <c r="P8" s="3">
        <v>43466</v>
      </c>
      <c r="Q8" s="3">
        <v>73050</v>
      </c>
      <c r="R8" s="2" t="s">
        <v>578</v>
      </c>
      <c r="S8" s="2" t="s">
        <v>35</v>
      </c>
    </row>
    <row r="9" spans="1:19" hidden="1" x14ac:dyDescent="0.25">
      <c r="A9" s="5" t="s">
        <v>1831</v>
      </c>
      <c r="B9" s="2" t="s">
        <v>31</v>
      </c>
      <c r="C9" s="2" t="s">
        <v>77</v>
      </c>
      <c r="D9" s="2" t="s">
        <v>579</v>
      </c>
      <c r="E9" s="2">
        <v>7</v>
      </c>
      <c r="F9" s="2">
        <v>29.708333</v>
      </c>
      <c r="G9" s="2">
        <v>-84.921233000000001</v>
      </c>
      <c r="H9" s="2" t="s">
        <v>46</v>
      </c>
      <c r="I9" s="2" t="s">
        <v>46</v>
      </c>
      <c r="J9" s="2" t="s">
        <v>34</v>
      </c>
      <c r="K9" s="2" t="s">
        <v>34</v>
      </c>
      <c r="L9" s="2" t="s">
        <v>34</v>
      </c>
      <c r="M9" s="2" t="s">
        <v>34</v>
      </c>
      <c r="N9" s="2" t="s">
        <v>34</v>
      </c>
      <c r="O9" s="2" t="s">
        <v>34</v>
      </c>
      <c r="P9" s="3">
        <v>42005</v>
      </c>
      <c r="Q9" s="3">
        <v>42258</v>
      </c>
      <c r="R9" s="2" t="s">
        <v>580</v>
      </c>
      <c r="S9" s="2" t="s">
        <v>35</v>
      </c>
    </row>
    <row r="10" spans="1:19" hidden="1" x14ac:dyDescent="0.25">
      <c r="A10" s="5" t="s">
        <v>1832</v>
      </c>
      <c r="B10" s="2" t="s">
        <v>31</v>
      </c>
      <c r="C10" s="2" t="s">
        <v>77</v>
      </c>
      <c r="D10" s="2" t="s">
        <v>579</v>
      </c>
      <c r="E10" s="2">
        <v>7</v>
      </c>
      <c r="F10" s="2">
        <v>29.709365999999999</v>
      </c>
      <c r="G10" s="2">
        <v>-84.9148</v>
      </c>
      <c r="H10" s="2" t="s">
        <v>46</v>
      </c>
      <c r="I10" s="2" t="s">
        <v>46</v>
      </c>
      <c r="J10" s="2" t="s">
        <v>34</v>
      </c>
      <c r="K10" s="2" t="s">
        <v>46</v>
      </c>
      <c r="L10" s="2" t="s">
        <v>34</v>
      </c>
      <c r="M10" s="2" t="s">
        <v>34</v>
      </c>
      <c r="N10" s="2" t="s">
        <v>34</v>
      </c>
      <c r="O10" s="2" t="s">
        <v>34</v>
      </c>
      <c r="P10" s="3">
        <v>42248</v>
      </c>
      <c r="Q10" s="3">
        <v>73050</v>
      </c>
      <c r="R10" s="2" t="s">
        <v>580</v>
      </c>
      <c r="S10" s="2" t="s">
        <v>35</v>
      </c>
    </row>
    <row r="11" spans="1:19" hidden="1" x14ac:dyDescent="0.25">
      <c r="A11" s="5" t="s">
        <v>1833</v>
      </c>
      <c r="B11" s="2" t="s">
        <v>31</v>
      </c>
      <c r="C11" s="2" t="s">
        <v>77</v>
      </c>
      <c r="D11" s="2" t="s">
        <v>581</v>
      </c>
      <c r="E11" s="2">
        <v>7</v>
      </c>
      <c r="F11" s="2">
        <v>29.712330000000001</v>
      </c>
      <c r="G11" s="2">
        <v>-84.915980000000005</v>
      </c>
      <c r="H11" s="2" t="s">
        <v>34</v>
      </c>
      <c r="I11" s="2" t="s">
        <v>34</v>
      </c>
      <c r="J11" s="2" t="s">
        <v>34</v>
      </c>
      <c r="K11" s="2" t="s">
        <v>34</v>
      </c>
      <c r="L11" s="2" t="s">
        <v>46</v>
      </c>
      <c r="M11" s="2" t="s">
        <v>34</v>
      </c>
      <c r="N11" s="2" t="s">
        <v>34</v>
      </c>
      <c r="O11" s="2" t="s">
        <v>34</v>
      </c>
      <c r="P11" s="3">
        <v>43466</v>
      </c>
      <c r="Q11" s="3">
        <v>44469</v>
      </c>
      <c r="R11" s="2" t="s">
        <v>582</v>
      </c>
      <c r="S11" s="2" t="s">
        <v>35</v>
      </c>
    </row>
    <row r="12" spans="1:19" hidden="1" x14ac:dyDescent="0.25">
      <c r="A12" s="5" t="s">
        <v>1834</v>
      </c>
      <c r="B12" s="2" t="s">
        <v>31</v>
      </c>
      <c r="C12" s="2" t="s">
        <v>77</v>
      </c>
      <c r="D12" s="2" t="s">
        <v>581</v>
      </c>
      <c r="E12" s="2">
        <v>7</v>
      </c>
      <c r="F12" s="2">
        <v>29.711780000000001</v>
      </c>
      <c r="G12" s="2">
        <v>-84.915480000000002</v>
      </c>
      <c r="H12" s="2" t="s">
        <v>34</v>
      </c>
      <c r="I12" s="2" t="s">
        <v>34</v>
      </c>
      <c r="J12" s="2" t="s">
        <v>34</v>
      </c>
      <c r="K12" s="2" t="s">
        <v>34</v>
      </c>
      <c r="L12" s="2" t="s">
        <v>46</v>
      </c>
      <c r="M12" s="2" t="s">
        <v>34</v>
      </c>
      <c r="N12" s="2" t="s">
        <v>34</v>
      </c>
      <c r="O12" s="2" t="s">
        <v>34</v>
      </c>
      <c r="P12" s="3">
        <v>43466</v>
      </c>
      <c r="Q12" s="3">
        <v>44469</v>
      </c>
      <c r="R12" s="2" t="s">
        <v>582</v>
      </c>
      <c r="S12" s="2" t="s">
        <v>35</v>
      </c>
    </row>
    <row r="13" spans="1:19" hidden="1" x14ac:dyDescent="0.25">
      <c r="A13" s="5" t="s">
        <v>1835</v>
      </c>
      <c r="B13" s="2" t="s">
        <v>31</v>
      </c>
      <c r="C13" s="2" t="s">
        <v>77</v>
      </c>
      <c r="D13" s="2" t="s">
        <v>581</v>
      </c>
      <c r="E13" s="2">
        <v>7</v>
      </c>
      <c r="F13" s="2">
        <v>29.710519999999999</v>
      </c>
      <c r="G13" s="2">
        <v>-84.915080000000003</v>
      </c>
      <c r="H13" s="2" t="s">
        <v>34</v>
      </c>
      <c r="I13" s="2" t="s">
        <v>34</v>
      </c>
      <c r="J13" s="2" t="s">
        <v>34</v>
      </c>
      <c r="K13" s="2" t="s">
        <v>34</v>
      </c>
      <c r="L13" s="2" t="s">
        <v>46</v>
      </c>
      <c r="M13" s="2" t="s">
        <v>34</v>
      </c>
      <c r="N13" s="2" t="s">
        <v>34</v>
      </c>
      <c r="O13" s="2" t="s">
        <v>34</v>
      </c>
      <c r="P13" s="3">
        <v>43466</v>
      </c>
      <c r="Q13" s="3">
        <v>44469</v>
      </c>
      <c r="R13" s="2" t="s">
        <v>582</v>
      </c>
      <c r="S13" s="2" t="s">
        <v>35</v>
      </c>
    </row>
    <row r="14" spans="1:19" hidden="1" x14ac:dyDescent="0.25">
      <c r="A14" s="5" t="s">
        <v>1836</v>
      </c>
      <c r="B14" s="2" t="s">
        <v>31</v>
      </c>
      <c r="C14" s="2" t="s">
        <v>77</v>
      </c>
      <c r="D14" s="2" t="s">
        <v>583</v>
      </c>
      <c r="E14" s="2">
        <v>8</v>
      </c>
      <c r="F14" s="2">
        <v>29.677665999999999</v>
      </c>
      <c r="G14" s="2">
        <v>-84.927032999999994</v>
      </c>
      <c r="H14" s="2" t="s">
        <v>46</v>
      </c>
      <c r="I14" s="2" t="s">
        <v>46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34</v>
      </c>
      <c r="O14" s="2" t="s">
        <v>34</v>
      </c>
      <c r="P14" s="3">
        <v>42005</v>
      </c>
      <c r="Q14" s="3">
        <v>42258</v>
      </c>
      <c r="R14" s="2" t="s">
        <v>584</v>
      </c>
      <c r="S14" s="2" t="s">
        <v>35</v>
      </c>
    </row>
    <row r="15" spans="1:19" hidden="1" x14ac:dyDescent="0.25">
      <c r="A15" s="5" t="s">
        <v>1837</v>
      </c>
      <c r="B15" s="2" t="s">
        <v>31</v>
      </c>
      <c r="C15" s="2" t="s">
        <v>77</v>
      </c>
      <c r="D15" s="2" t="s">
        <v>583</v>
      </c>
      <c r="E15" s="2">
        <v>8</v>
      </c>
      <c r="F15" s="2">
        <v>29.677949999999999</v>
      </c>
      <c r="G15" s="2">
        <v>-84.927350000000004</v>
      </c>
      <c r="H15" s="2" t="s">
        <v>46</v>
      </c>
      <c r="I15" s="2" t="s">
        <v>46</v>
      </c>
      <c r="J15" s="2" t="s">
        <v>34</v>
      </c>
      <c r="K15" s="2" t="s">
        <v>46</v>
      </c>
      <c r="L15" s="2" t="s">
        <v>34</v>
      </c>
      <c r="M15" s="2" t="s">
        <v>34</v>
      </c>
      <c r="N15" s="2" t="s">
        <v>34</v>
      </c>
      <c r="O15" s="2" t="s">
        <v>34</v>
      </c>
      <c r="P15" s="3">
        <v>42248</v>
      </c>
      <c r="Q15" s="3">
        <v>73050</v>
      </c>
      <c r="R15" s="2" t="s">
        <v>584</v>
      </c>
      <c r="S15" s="2" t="s">
        <v>35</v>
      </c>
    </row>
    <row r="16" spans="1:19" hidden="1" x14ac:dyDescent="0.25">
      <c r="A16" s="5" t="s">
        <v>1838</v>
      </c>
      <c r="B16" s="2" t="s">
        <v>31</v>
      </c>
      <c r="C16" s="2" t="s">
        <v>77</v>
      </c>
      <c r="D16" s="2" t="s">
        <v>585</v>
      </c>
      <c r="E16" s="2">
        <v>8</v>
      </c>
      <c r="F16" s="2">
        <v>29.67783</v>
      </c>
      <c r="G16" s="2">
        <v>-84.925799999999995</v>
      </c>
      <c r="H16" s="2" t="s">
        <v>34</v>
      </c>
      <c r="I16" s="2" t="s">
        <v>34</v>
      </c>
      <c r="J16" s="2" t="s">
        <v>34</v>
      </c>
      <c r="K16" s="2" t="s">
        <v>34</v>
      </c>
      <c r="L16" s="2" t="s">
        <v>46</v>
      </c>
      <c r="M16" s="2" t="s">
        <v>34</v>
      </c>
      <c r="N16" s="2" t="s">
        <v>34</v>
      </c>
      <c r="O16" s="2" t="s">
        <v>34</v>
      </c>
      <c r="P16" s="3">
        <v>43466</v>
      </c>
      <c r="Q16" s="3">
        <v>73050</v>
      </c>
      <c r="R16" s="2" t="s">
        <v>586</v>
      </c>
      <c r="S16" s="2" t="s">
        <v>35</v>
      </c>
    </row>
    <row r="17" spans="1:19" hidden="1" x14ac:dyDescent="0.25">
      <c r="A17" s="5" t="s">
        <v>1839</v>
      </c>
      <c r="B17" s="2" t="s">
        <v>31</v>
      </c>
      <c r="C17" s="2" t="s">
        <v>77</v>
      </c>
      <c r="D17" s="2" t="s">
        <v>587</v>
      </c>
      <c r="E17" s="2">
        <v>9</v>
      </c>
      <c r="F17" s="2">
        <v>29.671983000000001</v>
      </c>
      <c r="G17" s="2">
        <v>-84.889432999999997</v>
      </c>
      <c r="H17" s="2" t="s">
        <v>46</v>
      </c>
      <c r="I17" s="2" t="s">
        <v>46</v>
      </c>
      <c r="J17" s="2" t="s">
        <v>34</v>
      </c>
      <c r="K17" s="2" t="s">
        <v>34</v>
      </c>
      <c r="L17" s="2" t="s">
        <v>34</v>
      </c>
      <c r="M17" s="2" t="s">
        <v>34</v>
      </c>
      <c r="N17" s="2" t="s">
        <v>34</v>
      </c>
      <c r="O17" s="2" t="s">
        <v>34</v>
      </c>
      <c r="P17" s="3">
        <v>42005</v>
      </c>
      <c r="Q17" s="3">
        <v>42258</v>
      </c>
      <c r="R17" s="2" t="s">
        <v>588</v>
      </c>
      <c r="S17" s="2" t="s">
        <v>35</v>
      </c>
    </row>
    <row r="18" spans="1:19" hidden="1" x14ac:dyDescent="0.25">
      <c r="A18" s="5" t="s">
        <v>1840</v>
      </c>
      <c r="B18" s="2" t="s">
        <v>31</v>
      </c>
      <c r="C18" s="2" t="s">
        <v>77</v>
      </c>
      <c r="D18" s="2" t="s">
        <v>587</v>
      </c>
      <c r="E18" s="2">
        <v>9</v>
      </c>
      <c r="F18" s="2">
        <v>29.671616</v>
      </c>
      <c r="G18" s="2">
        <v>-84.902550000000005</v>
      </c>
      <c r="H18" s="2" t="s">
        <v>46</v>
      </c>
      <c r="I18" s="2" t="s">
        <v>46</v>
      </c>
      <c r="J18" s="2" t="s">
        <v>46</v>
      </c>
      <c r="K18" s="2" t="s">
        <v>46</v>
      </c>
      <c r="L18" s="2" t="s">
        <v>34</v>
      </c>
      <c r="M18" s="2" t="s">
        <v>34</v>
      </c>
      <c r="N18" s="2" t="s">
        <v>34</v>
      </c>
      <c r="O18" s="2" t="s">
        <v>34</v>
      </c>
      <c r="P18" s="3">
        <v>42248</v>
      </c>
      <c r="Q18" s="3">
        <v>73050</v>
      </c>
      <c r="R18" s="2" t="s">
        <v>588</v>
      </c>
      <c r="S18" s="2" t="s">
        <v>35</v>
      </c>
    </row>
    <row r="19" spans="1:19" hidden="1" x14ac:dyDescent="0.25">
      <c r="A19" s="5" t="s">
        <v>1841</v>
      </c>
      <c r="B19" s="2" t="s">
        <v>31</v>
      </c>
      <c r="C19" s="2" t="s">
        <v>77</v>
      </c>
      <c r="D19" s="2" t="s">
        <v>589</v>
      </c>
      <c r="E19" s="2">
        <v>9</v>
      </c>
      <c r="F19" s="2">
        <v>29.670683</v>
      </c>
      <c r="G19" s="2">
        <v>-84.902715999999998</v>
      </c>
      <c r="H19" s="2" t="s">
        <v>34</v>
      </c>
      <c r="I19" s="2" t="s">
        <v>34</v>
      </c>
      <c r="J19" s="2" t="s">
        <v>46</v>
      </c>
      <c r="K19" s="2" t="s">
        <v>34</v>
      </c>
      <c r="L19" s="2" t="s">
        <v>34</v>
      </c>
      <c r="M19" s="2" t="s">
        <v>34</v>
      </c>
      <c r="N19" s="2" t="s">
        <v>34</v>
      </c>
      <c r="O19" s="2" t="s">
        <v>34</v>
      </c>
      <c r="P19" s="3">
        <v>43101</v>
      </c>
      <c r="Q19" s="3">
        <v>44773</v>
      </c>
      <c r="R19" s="2" t="s">
        <v>590</v>
      </c>
      <c r="S19" s="2" t="s">
        <v>35</v>
      </c>
    </row>
    <row r="20" spans="1:19" hidden="1" x14ac:dyDescent="0.25">
      <c r="A20" s="5" t="s">
        <v>1842</v>
      </c>
      <c r="B20" s="2" t="s">
        <v>31</v>
      </c>
      <c r="C20" s="2" t="s">
        <v>77</v>
      </c>
      <c r="D20" s="2" t="s">
        <v>591</v>
      </c>
      <c r="E20" s="2">
        <v>9</v>
      </c>
      <c r="F20" s="2">
        <v>29.673116</v>
      </c>
      <c r="G20" s="2">
        <v>-84.896850000000001</v>
      </c>
      <c r="H20" s="2" t="s">
        <v>34</v>
      </c>
      <c r="I20" s="2" t="s">
        <v>34</v>
      </c>
      <c r="J20" s="2" t="s">
        <v>34</v>
      </c>
      <c r="K20" s="2" t="s">
        <v>34</v>
      </c>
      <c r="L20" s="2" t="s">
        <v>34</v>
      </c>
      <c r="M20" s="2" t="s">
        <v>46</v>
      </c>
      <c r="N20" s="2" t="s">
        <v>34</v>
      </c>
      <c r="O20" s="2" t="s">
        <v>34</v>
      </c>
      <c r="P20" s="3">
        <v>43101</v>
      </c>
      <c r="Q20" s="3">
        <v>73050</v>
      </c>
      <c r="R20" s="2" t="s">
        <v>592</v>
      </c>
      <c r="S20" s="2" t="s">
        <v>35</v>
      </c>
    </row>
    <row r="21" spans="1:19" hidden="1" x14ac:dyDescent="0.25">
      <c r="A21" s="5" t="s">
        <v>1843</v>
      </c>
      <c r="B21" s="2" t="s">
        <v>31</v>
      </c>
      <c r="C21" s="2" t="s">
        <v>77</v>
      </c>
      <c r="D21" s="2" t="s">
        <v>593</v>
      </c>
      <c r="E21" s="2">
        <v>9</v>
      </c>
      <c r="F21" s="2">
        <v>29.671500000000002</v>
      </c>
      <c r="G21" s="2">
        <v>-84.903819999999996</v>
      </c>
      <c r="H21" s="2" t="s">
        <v>34</v>
      </c>
      <c r="I21" s="2" t="s">
        <v>34</v>
      </c>
      <c r="J21" s="2" t="s">
        <v>34</v>
      </c>
      <c r="K21" s="2" t="s">
        <v>34</v>
      </c>
      <c r="L21" s="2" t="s">
        <v>46</v>
      </c>
      <c r="M21" s="2" t="s">
        <v>34</v>
      </c>
      <c r="N21" s="2" t="s">
        <v>34</v>
      </c>
      <c r="O21" s="2" t="s">
        <v>34</v>
      </c>
      <c r="P21" s="3">
        <v>43466</v>
      </c>
      <c r="Q21" s="3">
        <v>73050</v>
      </c>
      <c r="R21" s="2" t="s">
        <v>594</v>
      </c>
      <c r="S21" s="2" t="s">
        <v>35</v>
      </c>
    </row>
    <row r="22" spans="1:19" hidden="1" x14ac:dyDescent="0.25">
      <c r="A22" s="5" t="s">
        <v>1844</v>
      </c>
      <c r="B22" s="2" t="s">
        <v>31</v>
      </c>
      <c r="C22" s="2" t="s">
        <v>77</v>
      </c>
      <c r="D22" s="2" t="s">
        <v>593</v>
      </c>
      <c r="E22" s="2">
        <v>9</v>
      </c>
      <c r="F22" s="2">
        <v>29.671620000000001</v>
      </c>
      <c r="G22" s="2">
        <v>-84.904129999999995</v>
      </c>
      <c r="H22" s="2" t="s">
        <v>34</v>
      </c>
      <c r="I22" s="2" t="s">
        <v>34</v>
      </c>
      <c r="J22" s="2" t="s">
        <v>34</v>
      </c>
      <c r="K22" s="2" t="s">
        <v>34</v>
      </c>
      <c r="L22" s="2" t="s">
        <v>46</v>
      </c>
      <c r="M22" s="2" t="s">
        <v>34</v>
      </c>
      <c r="N22" s="2" t="s">
        <v>34</v>
      </c>
      <c r="O22" s="2" t="s">
        <v>34</v>
      </c>
      <c r="P22" s="3">
        <v>43466</v>
      </c>
      <c r="Q22" s="3">
        <v>73050</v>
      </c>
      <c r="R22" s="2" t="s">
        <v>595</v>
      </c>
      <c r="S22" s="2" t="s">
        <v>35</v>
      </c>
    </row>
    <row r="23" spans="1:19" hidden="1" x14ac:dyDescent="0.25">
      <c r="A23" s="5" t="s">
        <v>1845</v>
      </c>
      <c r="B23" s="2" t="s">
        <v>31</v>
      </c>
      <c r="C23" s="2" t="s">
        <v>77</v>
      </c>
      <c r="D23" s="2" t="s">
        <v>596</v>
      </c>
      <c r="E23" s="2">
        <v>10</v>
      </c>
      <c r="F23" s="2">
        <v>29.713332999999999</v>
      </c>
      <c r="G23" s="2">
        <v>-84.900716000000003</v>
      </c>
      <c r="H23" s="2" t="s">
        <v>46</v>
      </c>
      <c r="I23" s="2" t="s">
        <v>46</v>
      </c>
      <c r="J23" s="2" t="s">
        <v>34</v>
      </c>
      <c r="K23" s="2" t="s">
        <v>46</v>
      </c>
      <c r="L23" s="2" t="s">
        <v>34</v>
      </c>
      <c r="M23" s="2" t="s">
        <v>34</v>
      </c>
      <c r="N23" s="2" t="s">
        <v>34</v>
      </c>
      <c r="O23" s="2" t="s">
        <v>34</v>
      </c>
      <c r="P23" s="3">
        <v>42005</v>
      </c>
      <c r="Q23" s="3">
        <v>73050</v>
      </c>
      <c r="R23" s="2" t="s">
        <v>597</v>
      </c>
      <c r="S23" s="2" t="s">
        <v>35</v>
      </c>
    </row>
    <row r="24" spans="1:19" hidden="1" x14ac:dyDescent="0.25">
      <c r="A24" s="5" t="s">
        <v>1846</v>
      </c>
      <c r="B24" s="2" t="s">
        <v>31</v>
      </c>
      <c r="C24" s="2" t="s">
        <v>77</v>
      </c>
      <c r="D24" s="2" t="s">
        <v>598</v>
      </c>
      <c r="E24" s="2">
        <v>10</v>
      </c>
      <c r="F24" s="2">
        <v>29.712949999999999</v>
      </c>
      <c r="G24" s="2">
        <v>-84.9011</v>
      </c>
      <c r="H24" s="2" t="s">
        <v>34</v>
      </c>
      <c r="I24" s="2" t="s">
        <v>34</v>
      </c>
      <c r="J24" s="2" t="s">
        <v>34</v>
      </c>
      <c r="K24" s="2" t="s">
        <v>34</v>
      </c>
      <c r="L24" s="2" t="s">
        <v>46</v>
      </c>
      <c r="M24" s="2" t="s">
        <v>34</v>
      </c>
      <c r="N24" s="2" t="s">
        <v>34</v>
      </c>
      <c r="O24" s="2" t="s">
        <v>34</v>
      </c>
      <c r="P24" s="3">
        <v>43466</v>
      </c>
      <c r="Q24" s="3">
        <v>44469</v>
      </c>
      <c r="R24" s="2" t="s">
        <v>599</v>
      </c>
      <c r="S24" s="2" t="s">
        <v>35</v>
      </c>
    </row>
    <row r="25" spans="1:19" hidden="1" x14ac:dyDescent="0.25">
      <c r="A25" s="5" t="s">
        <v>1847</v>
      </c>
      <c r="B25" s="2" t="s">
        <v>31</v>
      </c>
      <c r="C25" s="2" t="s">
        <v>77</v>
      </c>
      <c r="D25" s="2" t="s">
        <v>598</v>
      </c>
      <c r="E25" s="2">
        <v>10</v>
      </c>
      <c r="F25" s="2">
        <v>29.71313</v>
      </c>
      <c r="G25" s="2">
        <v>-84.900279999999995</v>
      </c>
      <c r="H25" s="2" t="s">
        <v>34</v>
      </c>
      <c r="I25" s="2" t="s">
        <v>34</v>
      </c>
      <c r="J25" s="2" t="s">
        <v>34</v>
      </c>
      <c r="K25" s="2" t="s">
        <v>34</v>
      </c>
      <c r="L25" s="2" t="s">
        <v>46</v>
      </c>
      <c r="M25" s="2" t="s">
        <v>34</v>
      </c>
      <c r="N25" s="2" t="s">
        <v>34</v>
      </c>
      <c r="O25" s="2" t="s">
        <v>34</v>
      </c>
      <c r="P25" s="3">
        <v>43466</v>
      </c>
      <c r="Q25" s="3">
        <v>44469</v>
      </c>
      <c r="R25" s="2" t="s">
        <v>599</v>
      </c>
      <c r="S25" s="2" t="s">
        <v>35</v>
      </c>
    </row>
    <row r="26" spans="1:19" hidden="1" x14ac:dyDescent="0.25">
      <c r="A26" s="2" t="s">
        <v>1848</v>
      </c>
      <c r="B26" s="2" t="s">
        <v>31</v>
      </c>
      <c r="C26" s="2" t="s">
        <v>77</v>
      </c>
      <c r="D26" s="2" t="s">
        <v>598</v>
      </c>
      <c r="E26" s="2">
        <v>10</v>
      </c>
      <c r="F26" s="2">
        <v>29.71275</v>
      </c>
      <c r="G26" s="2">
        <v>-84.900279999999995</v>
      </c>
      <c r="H26" s="2" t="s">
        <v>34</v>
      </c>
      <c r="I26" s="2" t="s">
        <v>34</v>
      </c>
      <c r="J26" s="2" t="s">
        <v>34</v>
      </c>
      <c r="K26" s="2" t="s">
        <v>34</v>
      </c>
      <c r="L26" s="2" t="s">
        <v>46</v>
      </c>
      <c r="M26" s="2" t="s">
        <v>34</v>
      </c>
      <c r="N26" s="2" t="s">
        <v>34</v>
      </c>
      <c r="O26" s="2" t="s">
        <v>34</v>
      </c>
      <c r="P26" s="3">
        <v>43466</v>
      </c>
      <c r="Q26" s="3">
        <v>44469</v>
      </c>
      <c r="R26" s="2" t="s">
        <v>599</v>
      </c>
      <c r="S26" s="2" t="s">
        <v>35</v>
      </c>
    </row>
    <row r="27" spans="1:19" hidden="1" x14ac:dyDescent="0.25">
      <c r="A27" s="2" t="s">
        <v>1849</v>
      </c>
      <c r="B27" s="2" t="s">
        <v>31</v>
      </c>
      <c r="C27" s="2" t="s">
        <v>77</v>
      </c>
      <c r="D27" s="2" t="s">
        <v>600</v>
      </c>
      <c r="E27" s="2">
        <v>1375</v>
      </c>
      <c r="F27" s="2">
        <v>29.746065999999999</v>
      </c>
      <c r="G27" s="2">
        <v>-84.919332999999995</v>
      </c>
      <c r="H27" s="2" t="s">
        <v>34</v>
      </c>
      <c r="I27" s="2" t="s">
        <v>46</v>
      </c>
      <c r="J27" s="2" t="s">
        <v>34</v>
      </c>
      <c r="K27" s="2" t="s">
        <v>34</v>
      </c>
      <c r="L27" s="2" t="s">
        <v>34</v>
      </c>
      <c r="M27" s="2" t="s">
        <v>34</v>
      </c>
      <c r="N27" s="2" t="s">
        <v>34</v>
      </c>
      <c r="O27" s="2" t="s">
        <v>34</v>
      </c>
      <c r="P27" s="3">
        <v>42491</v>
      </c>
      <c r="Q27" s="3">
        <v>42582</v>
      </c>
      <c r="R27" s="2" t="s">
        <v>601</v>
      </c>
      <c r="S27" s="2" t="s">
        <v>35</v>
      </c>
    </row>
    <row r="28" spans="1:19" hidden="1" x14ac:dyDescent="0.25">
      <c r="A28" s="2" t="s">
        <v>1850</v>
      </c>
      <c r="B28" s="2" t="s">
        <v>31</v>
      </c>
      <c r="C28" s="2" t="s">
        <v>77</v>
      </c>
      <c r="D28" s="2" t="s">
        <v>602</v>
      </c>
      <c r="E28" s="2">
        <v>1384</v>
      </c>
      <c r="F28" s="2">
        <v>29.743683000000001</v>
      </c>
      <c r="G28" s="2">
        <v>-84.934432999999999</v>
      </c>
      <c r="H28" s="2" t="s">
        <v>34</v>
      </c>
      <c r="I28" s="2" t="s">
        <v>46</v>
      </c>
      <c r="J28" s="2" t="s">
        <v>34</v>
      </c>
      <c r="K28" s="2" t="s">
        <v>34</v>
      </c>
      <c r="L28" s="2" t="s">
        <v>34</v>
      </c>
      <c r="M28" s="2" t="s">
        <v>34</v>
      </c>
      <c r="N28" s="2" t="s">
        <v>34</v>
      </c>
      <c r="O28" s="2" t="s">
        <v>34</v>
      </c>
      <c r="P28" s="3">
        <v>42491</v>
      </c>
      <c r="Q28" s="3">
        <v>42582</v>
      </c>
      <c r="R28" s="2" t="s">
        <v>603</v>
      </c>
      <c r="S28" s="2" t="s">
        <v>35</v>
      </c>
    </row>
    <row r="29" spans="1:19" hidden="1" x14ac:dyDescent="0.25">
      <c r="A29" s="2" t="s">
        <v>1851</v>
      </c>
      <c r="B29" s="2" t="s">
        <v>31</v>
      </c>
      <c r="C29" s="2" t="s">
        <v>77</v>
      </c>
      <c r="D29" s="2" t="s">
        <v>604</v>
      </c>
      <c r="E29" s="2">
        <v>1388</v>
      </c>
      <c r="F29" s="2">
        <v>29.744133000000001</v>
      </c>
      <c r="G29" s="2">
        <v>-84.927683000000002</v>
      </c>
      <c r="H29" s="2" t="s">
        <v>34</v>
      </c>
      <c r="I29" s="2" t="s">
        <v>46</v>
      </c>
      <c r="J29" s="2" t="s">
        <v>34</v>
      </c>
      <c r="K29" s="2" t="s">
        <v>34</v>
      </c>
      <c r="L29" s="2" t="s">
        <v>34</v>
      </c>
      <c r="M29" s="2" t="s">
        <v>34</v>
      </c>
      <c r="N29" s="2" t="s">
        <v>34</v>
      </c>
      <c r="O29" s="2" t="s">
        <v>34</v>
      </c>
      <c r="P29" s="3">
        <v>42491</v>
      </c>
      <c r="Q29" s="3">
        <v>42582</v>
      </c>
      <c r="R29" s="2" t="s">
        <v>605</v>
      </c>
      <c r="S29" s="2" t="s">
        <v>35</v>
      </c>
    </row>
    <row r="30" spans="1:19" hidden="1" x14ac:dyDescent="0.25">
      <c r="A30" s="2" t="s">
        <v>1852</v>
      </c>
      <c r="B30" s="2" t="s">
        <v>31</v>
      </c>
      <c r="C30" s="2" t="s">
        <v>77</v>
      </c>
      <c r="D30" s="2" t="s">
        <v>606</v>
      </c>
      <c r="E30" s="2">
        <v>1389</v>
      </c>
      <c r="F30" s="2">
        <v>29.744083</v>
      </c>
      <c r="G30" s="2">
        <v>-84.926100000000005</v>
      </c>
      <c r="H30" s="2" t="s">
        <v>34</v>
      </c>
      <c r="I30" s="2" t="s">
        <v>46</v>
      </c>
      <c r="J30" s="2" t="s">
        <v>34</v>
      </c>
      <c r="K30" s="2" t="s">
        <v>34</v>
      </c>
      <c r="L30" s="2" t="s">
        <v>34</v>
      </c>
      <c r="M30" s="2" t="s">
        <v>34</v>
      </c>
      <c r="N30" s="2" t="s">
        <v>34</v>
      </c>
      <c r="O30" s="2" t="s">
        <v>34</v>
      </c>
      <c r="P30" s="3">
        <v>42491</v>
      </c>
      <c r="Q30" s="3">
        <v>42582</v>
      </c>
      <c r="R30" s="2" t="s">
        <v>607</v>
      </c>
      <c r="S30" s="2" t="s">
        <v>35</v>
      </c>
    </row>
    <row r="31" spans="1:19" hidden="1" x14ac:dyDescent="0.25">
      <c r="A31" s="2" t="s">
        <v>1853</v>
      </c>
      <c r="B31" s="2" t="s">
        <v>31</v>
      </c>
      <c r="C31" s="2" t="s">
        <v>77</v>
      </c>
      <c r="D31" s="2" t="s">
        <v>608</v>
      </c>
      <c r="E31" s="2">
        <v>1403</v>
      </c>
      <c r="F31" s="2">
        <v>29.7423</v>
      </c>
      <c r="G31" s="2">
        <v>-84.936383000000006</v>
      </c>
      <c r="H31" s="2" t="s">
        <v>34</v>
      </c>
      <c r="I31" s="2" t="s">
        <v>46</v>
      </c>
      <c r="J31" s="2" t="s">
        <v>34</v>
      </c>
      <c r="K31" s="2" t="s">
        <v>34</v>
      </c>
      <c r="L31" s="2" t="s">
        <v>34</v>
      </c>
      <c r="M31" s="2" t="s">
        <v>34</v>
      </c>
      <c r="N31" s="2" t="s">
        <v>34</v>
      </c>
      <c r="O31" s="2" t="s">
        <v>34</v>
      </c>
      <c r="P31" s="3">
        <v>42491</v>
      </c>
      <c r="Q31" s="3">
        <v>42582</v>
      </c>
      <c r="R31" s="2" t="s">
        <v>609</v>
      </c>
      <c r="S31" s="2" t="s">
        <v>35</v>
      </c>
    </row>
    <row r="32" spans="1:19" hidden="1" x14ac:dyDescent="0.25">
      <c r="A32" s="2" t="s">
        <v>1854</v>
      </c>
      <c r="B32" s="2" t="s">
        <v>31</v>
      </c>
      <c r="C32" s="2" t="s">
        <v>77</v>
      </c>
      <c r="D32" s="2" t="s">
        <v>610</v>
      </c>
      <c r="E32" s="2">
        <v>1424</v>
      </c>
      <c r="F32" s="2">
        <v>29.740265999999998</v>
      </c>
      <c r="G32" s="2">
        <v>-84.937633000000005</v>
      </c>
      <c r="H32" s="2" t="s">
        <v>34</v>
      </c>
      <c r="I32" s="2" t="s">
        <v>46</v>
      </c>
      <c r="J32" s="2" t="s">
        <v>34</v>
      </c>
      <c r="K32" s="2" t="s">
        <v>34</v>
      </c>
      <c r="L32" s="2" t="s">
        <v>34</v>
      </c>
      <c r="M32" s="2" t="s">
        <v>34</v>
      </c>
      <c r="N32" s="2" t="s">
        <v>34</v>
      </c>
      <c r="O32" s="2" t="s">
        <v>34</v>
      </c>
      <c r="P32" s="3">
        <v>42491</v>
      </c>
      <c r="Q32" s="3">
        <v>42582</v>
      </c>
      <c r="R32" s="2" t="s">
        <v>611</v>
      </c>
      <c r="S32" s="2" t="s">
        <v>35</v>
      </c>
    </row>
    <row r="33" spans="1:19" hidden="1" x14ac:dyDescent="0.25">
      <c r="A33" s="2" t="s">
        <v>1855</v>
      </c>
      <c r="B33" s="2" t="s">
        <v>31</v>
      </c>
      <c r="C33" s="2" t="s">
        <v>77</v>
      </c>
      <c r="D33" s="2" t="s">
        <v>612</v>
      </c>
      <c r="E33" s="2">
        <v>1430</v>
      </c>
      <c r="F33" s="2">
        <v>29.740632999999999</v>
      </c>
      <c r="G33" s="2">
        <v>-84.927666000000002</v>
      </c>
      <c r="H33" s="2" t="s">
        <v>34</v>
      </c>
      <c r="I33" s="2" t="s">
        <v>46</v>
      </c>
      <c r="J33" s="2" t="s">
        <v>34</v>
      </c>
      <c r="K33" s="2" t="s">
        <v>34</v>
      </c>
      <c r="L33" s="2" t="s">
        <v>34</v>
      </c>
      <c r="M33" s="2" t="s">
        <v>34</v>
      </c>
      <c r="N33" s="2" t="s">
        <v>34</v>
      </c>
      <c r="O33" s="2" t="s">
        <v>34</v>
      </c>
      <c r="P33" s="3">
        <v>42491</v>
      </c>
      <c r="Q33" s="3">
        <v>42582</v>
      </c>
      <c r="R33" s="2" t="s">
        <v>613</v>
      </c>
      <c r="S33" s="2" t="s">
        <v>35</v>
      </c>
    </row>
    <row r="34" spans="1:19" hidden="1" x14ac:dyDescent="0.25">
      <c r="A34" s="2" t="s">
        <v>1856</v>
      </c>
      <c r="B34" s="2" t="s">
        <v>31</v>
      </c>
      <c r="C34" s="2" t="s">
        <v>77</v>
      </c>
      <c r="D34" s="2" t="s">
        <v>614</v>
      </c>
      <c r="E34" s="2">
        <v>1439</v>
      </c>
      <c r="F34" s="2">
        <v>29.740883</v>
      </c>
      <c r="G34" s="2">
        <v>-84.913183000000004</v>
      </c>
      <c r="H34" s="2" t="s">
        <v>34</v>
      </c>
      <c r="I34" s="2" t="s">
        <v>46</v>
      </c>
      <c r="J34" s="2" t="s">
        <v>34</v>
      </c>
      <c r="K34" s="2" t="s">
        <v>34</v>
      </c>
      <c r="L34" s="2" t="s">
        <v>34</v>
      </c>
      <c r="M34" s="2" t="s">
        <v>34</v>
      </c>
      <c r="N34" s="2" t="s">
        <v>34</v>
      </c>
      <c r="O34" s="2" t="s">
        <v>34</v>
      </c>
      <c r="P34" s="3">
        <v>42491</v>
      </c>
      <c r="Q34" s="3">
        <v>42582</v>
      </c>
      <c r="R34" s="2" t="s">
        <v>615</v>
      </c>
      <c r="S34" s="2" t="s">
        <v>35</v>
      </c>
    </row>
    <row r="35" spans="1:19" hidden="1" x14ac:dyDescent="0.25">
      <c r="A35" s="2" t="s">
        <v>1857</v>
      </c>
      <c r="B35" s="2" t="s">
        <v>31</v>
      </c>
      <c r="C35" s="2" t="s">
        <v>77</v>
      </c>
      <c r="D35" s="2" t="s">
        <v>616</v>
      </c>
      <c r="E35" s="2">
        <v>1440</v>
      </c>
      <c r="F35" s="2">
        <v>29.738150000000001</v>
      </c>
      <c r="G35" s="2">
        <v>-84.948599999999999</v>
      </c>
      <c r="H35" s="2" t="s">
        <v>34</v>
      </c>
      <c r="I35" s="2" t="s">
        <v>46</v>
      </c>
      <c r="J35" s="2" t="s">
        <v>34</v>
      </c>
      <c r="K35" s="2" t="s">
        <v>34</v>
      </c>
      <c r="L35" s="2" t="s">
        <v>34</v>
      </c>
      <c r="M35" s="2" t="s">
        <v>34</v>
      </c>
      <c r="N35" s="2" t="s">
        <v>34</v>
      </c>
      <c r="O35" s="2" t="s">
        <v>34</v>
      </c>
      <c r="P35" s="3">
        <v>42491</v>
      </c>
      <c r="Q35" s="3">
        <v>42582</v>
      </c>
      <c r="R35" s="2" t="s">
        <v>617</v>
      </c>
      <c r="S35" s="2" t="s">
        <v>35</v>
      </c>
    </row>
    <row r="36" spans="1:19" hidden="1" x14ac:dyDescent="0.25">
      <c r="A36" s="2" t="s">
        <v>1858</v>
      </c>
      <c r="B36" s="2" t="s">
        <v>31</v>
      </c>
      <c r="C36" s="2" t="s">
        <v>77</v>
      </c>
      <c r="D36" s="2" t="s">
        <v>618</v>
      </c>
      <c r="E36" s="2">
        <v>1447</v>
      </c>
      <c r="F36" s="2">
        <v>29.738582999999998</v>
      </c>
      <c r="G36" s="2">
        <v>-84.937782999999996</v>
      </c>
      <c r="H36" s="2" t="s">
        <v>34</v>
      </c>
      <c r="I36" s="2" t="s">
        <v>46</v>
      </c>
      <c r="J36" s="2" t="s">
        <v>34</v>
      </c>
      <c r="K36" s="2" t="s">
        <v>34</v>
      </c>
      <c r="L36" s="2" t="s">
        <v>34</v>
      </c>
      <c r="M36" s="2" t="s">
        <v>34</v>
      </c>
      <c r="N36" s="2" t="s">
        <v>34</v>
      </c>
      <c r="O36" s="2" t="s">
        <v>34</v>
      </c>
      <c r="P36" s="3">
        <v>42491</v>
      </c>
      <c r="Q36" s="3">
        <v>42582</v>
      </c>
      <c r="R36" s="2" t="s">
        <v>619</v>
      </c>
      <c r="S36" s="2" t="s">
        <v>35</v>
      </c>
    </row>
    <row r="37" spans="1:19" hidden="1" x14ac:dyDescent="0.25">
      <c r="A37" s="2" t="s">
        <v>1859</v>
      </c>
      <c r="B37" s="2" t="s">
        <v>31</v>
      </c>
      <c r="C37" s="2" t="s">
        <v>77</v>
      </c>
      <c r="D37" s="2" t="s">
        <v>620</v>
      </c>
      <c r="E37" s="2">
        <v>1549</v>
      </c>
      <c r="F37" s="2">
        <v>29.718682999999999</v>
      </c>
      <c r="G37" s="2">
        <v>-84.917699999999996</v>
      </c>
      <c r="H37" s="2" t="s">
        <v>34</v>
      </c>
      <c r="I37" s="2" t="s">
        <v>46</v>
      </c>
      <c r="J37" s="2" t="s">
        <v>34</v>
      </c>
      <c r="K37" s="2" t="s">
        <v>34</v>
      </c>
      <c r="L37" s="2" t="s">
        <v>34</v>
      </c>
      <c r="M37" s="2" t="s">
        <v>34</v>
      </c>
      <c r="N37" s="2" t="s">
        <v>34</v>
      </c>
      <c r="O37" s="2" t="s">
        <v>34</v>
      </c>
      <c r="P37" s="3">
        <v>42491</v>
      </c>
      <c r="Q37" s="3">
        <v>42582</v>
      </c>
      <c r="R37" s="2" t="s">
        <v>621</v>
      </c>
      <c r="S37" s="2" t="s">
        <v>35</v>
      </c>
    </row>
    <row r="38" spans="1:19" hidden="1" x14ac:dyDescent="0.25">
      <c r="A38" s="2" t="s">
        <v>1860</v>
      </c>
      <c r="B38" s="2" t="s">
        <v>31</v>
      </c>
      <c r="C38" s="2" t="s">
        <v>77</v>
      </c>
      <c r="D38" s="2" t="s">
        <v>622</v>
      </c>
      <c r="E38" s="2">
        <v>1557</v>
      </c>
      <c r="F38" s="2">
        <v>29.716166000000001</v>
      </c>
      <c r="G38" s="2">
        <v>-84.918949999999995</v>
      </c>
      <c r="H38" s="2" t="s">
        <v>34</v>
      </c>
      <c r="I38" s="2" t="s">
        <v>46</v>
      </c>
      <c r="J38" s="2" t="s">
        <v>34</v>
      </c>
      <c r="K38" s="2" t="s">
        <v>34</v>
      </c>
      <c r="L38" s="2" t="s">
        <v>34</v>
      </c>
      <c r="M38" s="2" t="s">
        <v>34</v>
      </c>
      <c r="N38" s="2" t="s">
        <v>34</v>
      </c>
      <c r="O38" s="2" t="s">
        <v>34</v>
      </c>
      <c r="P38" s="3">
        <v>42491</v>
      </c>
      <c r="Q38" s="3">
        <v>42582</v>
      </c>
      <c r="R38" s="2" t="s">
        <v>623</v>
      </c>
      <c r="S38" s="2" t="s">
        <v>35</v>
      </c>
    </row>
    <row r="39" spans="1:19" hidden="1" x14ac:dyDescent="0.25">
      <c r="A39" s="2" t="s">
        <v>1861</v>
      </c>
      <c r="B39" s="2" t="s">
        <v>31</v>
      </c>
      <c r="C39" s="2" t="s">
        <v>77</v>
      </c>
      <c r="D39" s="2" t="s">
        <v>624</v>
      </c>
      <c r="E39" s="2">
        <v>1570</v>
      </c>
      <c r="F39" s="2">
        <v>29.712499999999999</v>
      </c>
      <c r="G39" s="2">
        <v>-84.915865999999994</v>
      </c>
      <c r="H39" s="2" t="s">
        <v>34</v>
      </c>
      <c r="I39" s="2" t="s">
        <v>46</v>
      </c>
      <c r="J39" s="2" t="s">
        <v>34</v>
      </c>
      <c r="K39" s="2" t="s">
        <v>34</v>
      </c>
      <c r="L39" s="2" t="s">
        <v>34</v>
      </c>
      <c r="M39" s="2" t="s">
        <v>34</v>
      </c>
      <c r="N39" s="2" t="s">
        <v>34</v>
      </c>
      <c r="O39" s="2" t="s">
        <v>34</v>
      </c>
      <c r="P39" s="3">
        <v>42491</v>
      </c>
      <c r="Q39" s="3">
        <v>42582</v>
      </c>
      <c r="R39" s="2" t="s">
        <v>625</v>
      </c>
      <c r="S39" s="2" t="s">
        <v>35</v>
      </c>
    </row>
    <row r="40" spans="1:19" hidden="1" x14ac:dyDescent="0.25">
      <c r="A40" s="2" t="s">
        <v>1862</v>
      </c>
      <c r="B40" s="2" t="s">
        <v>31</v>
      </c>
      <c r="C40" s="2" t="s">
        <v>77</v>
      </c>
      <c r="D40" s="2" t="s">
        <v>626</v>
      </c>
      <c r="E40" s="2">
        <v>1573</v>
      </c>
      <c r="F40" s="2">
        <v>29.710115999999999</v>
      </c>
      <c r="G40" s="2">
        <v>-84.920033000000004</v>
      </c>
      <c r="H40" s="2" t="s">
        <v>34</v>
      </c>
      <c r="I40" s="2" t="s">
        <v>46</v>
      </c>
      <c r="J40" s="2" t="s">
        <v>34</v>
      </c>
      <c r="K40" s="2" t="s">
        <v>34</v>
      </c>
      <c r="L40" s="2" t="s">
        <v>34</v>
      </c>
      <c r="M40" s="2" t="s">
        <v>34</v>
      </c>
      <c r="N40" s="2" t="s">
        <v>34</v>
      </c>
      <c r="O40" s="2" t="s">
        <v>34</v>
      </c>
      <c r="P40" s="3">
        <v>42491</v>
      </c>
      <c r="Q40" s="3">
        <v>42582</v>
      </c>
      <c r="R40" s="2" t="s">
        <v>627</v>
      </c>
      <c r="S40" s="2" t="s">
        <v>35</v>
      </c>
    </row>
    <row r="41" spans="1:19" hidden="1" x14ac:dyDescent="0.25">
      <c r="A41" s="2" t="s">
        <v>1863</v>
      </c>
      <c r="B41" s="2" t="s">
        <v>31</v>
      </c>
      <c r="C41" s="2" t="s">
        <v>77</v>
      </c>
      <c r="D41" s="2" t="s">
        <v>628</v>
      </c>
      <c r="E41" s="2">
        <v>1602</v>
      </c>
      <c r="F41" s="2">
        <v>29.708483000000001</v>
      </c>
      <c r="G41" s="2">
        <v>-84.912465999999995</v>
      </c>
      <c r="H41" s="2" t="s">
        <v>34</v>
      </c>
      <c r="I41" s="2" t="s">
        <v>46</v>
      </c>
      <c r="J41" s="2" t="s">
        <v>34</v>
      </c>
      <c r="K41" s="2" t="s">
        <v>34</v>
      </c>
      <c r="L41" s="2" t="s">
        <v>34</v>
      </c>
      <c r="M41" s="2" t="s">
        <v>34</v>
      </c>
      <c r="N41" s="2" t="s">
        <v>34</v>
      </c>
      <c r="O41" s="2" t="s">
        <v>34</v>
      </c>
      <c r="P41" s="3">
        <v>42491</v>
      </c>
      <c r="Q41" s="3">
        <v>42582</v>
      </c>
      <c r="R41" s="2" t="s">
        <v>629</v>
      </c>
      <c r="S41" s="2" t="s">
        <v>35</v>
      </c>
    </row>
    <row r="42" spans="1:19" hidden="1" x14ac:dyDescent="0.25">
      <c r="A42" s="2" t="s">
        <v>1864</v>
      </c>
      <c r="B42" s="2" t="s">
        <v>31</v>
      </c>
      <c r="C42" s="2" t="s">
        <v>77</v>
      </c>
      <c r="D42" s="2" t="s">
        <v>630</v>
      </c>
      <c r="E42" s="2">
        <v>1618</v>
      </c>
      <c r="F42" s="2">
        <v>29.702300000000001</v>
      </c>
      <c r="G42" s="2">
        <v>-84.931183000000004</v>
      </c>
      <c r="H42" s="2" t="s">
        <v>34</v>
      </c>
      <c r="I42" s="2" t="s">
        <v>46</v>
      </c>
      <c r="J42" s="2" t="s">
        <v>34</v>
      </c>
      <c r="K42" s="2" t="s">
        <v>34</v>
      </c>
      <c r="L42" s="2" t="s">
        <v>34</v>
      </c>
      <c r="M42" s="2" t="s">
        <v>34</v>
      </c>
      <c r="N42" s="2" t="s">
        <v>34</v>
      </c>
      <c r="O42" s="2" t="s">
        <v>34</v>
      </c>
      <c r="P42" s="3">
        <v>42491</v>
      </c>
      <c r="Q42" s="3">
        <v>42582</v>
      </c>
      <c r="R42" s="2" t="s">
        <v>631</v>
      </c>
      <c r="S42" s="2" t="s">
        <v>35</v>
      </c>
    </row>
    <row r="43" spans="1:19" hidden="1" x14ac:dyDescent="0.25">
      <c r="A43" s="2" t="s">
        <v>1865</v>
      </c>
      <c r="B43" s="2" t="s">
        <v>31</v>
      </c>
      <c r="C43" s="2" t="s">
        <v>77</v>
      </c>
      <c r="D43" s="2" t="s">
        <v>632</v>
      </c>
      <c r="E43" s="2">
        <v>1620</v>
      </c>
      <c r="F43" s="2">
        <v>29.699583000000001</v>
      </c>
      <c r="G43" s="2">
        <v>-84.938483000000005</v>
      </c>
      <c r="H43" s="2" t="s">
        <v>34</v>
      </c>
      <c r="I43" s="2" t="s">
        <v>46</v>
      </c>
      <c r="J43" s="2" t="s">
        <v>34</v>
      </c>
      <c r="K43" s="2" t="s">
        <v>34</v>
      </c>
      <c r="L43" s="2" t="s">
        <v>34</v>
      </c>
      <c r="M43" s="2" t="s">
        <v>34</v>
      </c>
      <c r="N43" s="2" t="s">
        <v>34</v>
      </c>
      <c r="O43" s="2" t="s">
        <v>34</v>
      </c>
      <c r="P43" s="3">
        <v>42491</v>
      </c>
      <c r="Q43" s="3">
        <v>42582</v>
      </c>
      <c r="R43" s="2" t="s">
        <v>633</v>
      </c>
      <c r="S43" s="2" t="s">
        <v>35</v>
      </c>
    </row>
    <row r="44" spans="1:19" hidden="1" x14ac:dyDescent="0.25">
      <c r="A44" s="2" t="s">
        <v>1866</v>
      </c>
      <c r="B44" s="2" t="s">
        <v>31</v>
      </c>
      <c r="C44" s="2" t="s">
        <v>77</v>
      </c>
      <c r="D44" s="2" t="s">
        <v>634</v>
      </c>
      <c r="E44" s="2">
        <v>1621</v>
      </c>
      <c r="F44" s="2">
        <v>29.700316000000001</v>
      </c>
      <c r="G44" s="2">
        <v>-84.937882999999999</v>
      </c>
      <c r="H44" s="2" t="s">
        <v>34</v>
      </c>
      <c r="I44" s="2" t="s">
        <v>46</v>
      </c>
      <c r="J44" s="2" t="s">
        <v>34</v>
      </c>
      <c r="K44" s="2" t="s">
        <v>34</v>
      </c>
      <c r="L44" s="2" t="s">
        <v>34</v>
      </c>
      <c r="M44" s="2" t="s">
        <v>34</v>
      </c>
      <c r="N44" s="2" t="s">
        <v>34</v>
      </c>
      <c r="O44" s="2" t="s">
        <v>34</v>
      </c>
      <c r="P44" s="3">
        <v>42491</v>
      </c>
      <c r="Q44" s="3">
        <v>42582</v>
      </c>
      <c r="R44" s="2" t="s">
        <v>635</v>
      </c>
      <c r="S44" s="2" t="s">
        <v>35</v>
      </c>
    </row>
    <row r="45" spans="1:19" hidden="1" x14ac:dyDescent="0.25">
      <c r="A45" s="2" t="s">
        <v>1867</v>
      </c>
      <c r="B45" s="2" t="s">
        <v>31</v>
      </c>
      <c r="C45" s="2" t="s">
        <v>77</v>
      </c>
      <c r="D45" s="2" t="s">
        <v>636</v>
      </c>
      <c r="E45" s="2">
        <v>1640</v>
      </c>
      <c r="F45" s="2">
        <v>29.693566000000001</v>
      </c>
      <c r="G45" s="2">
        <v>-84.927800000000005</v>
      </c>
      <c r="H45" s="2" t="s">
        <v>34</v>
      </c>
      <c r="I45" s="2" t="s">
        <v>46</v>
      </c>
      <c r="J45" s="2" t="s">
        <v>34</v>
      </c>
      <c r="K45" s="2" t="s">
        <v>34</v>
      </c>
      <c r="L45" s="2" t="s">
        <v>34</v>
      </c>
      <c r="M45" s="2" t="s">
        <v>34</v>
      </c>
      <c r="N45" s="2" t="s">
        <v>34</v>
      </c>
      <c r="O45" s="2" t="s">
        <v>34</v>
      </c>
      <c r="P45" s="3">
        <v>42491</v>
      </c>
      <c r="Q45" s="3">
        <v>42582</v>
      </c>
      <c r="R45" s="2" t="s">
        <v>637</v>
      </c>
      <c r="S45" s="2" t="s">
        <v>35</v>
      </c>
    </row>
    <row r="46" spans="1:19" hidden="1" x14ac:dyDescent="0.25">
      <c r="A46" s="2" t="s">
        <v>1868</v>
      </c>
      <c r="B46" s="2" t="s">
        <v>31</v>
      </c>
      <c r="C46" s="2" t="s">
        <v>77</v>
      </c>
      <c r="D46" s="2" t="s">
        <v>638</v>
      </c>
      <c r="E46" s="2">
        <v>1660</v>
      </c>
      <c r="F46" s="2">
        <v>29.686782999999998</v>
      </c>
      <c r="G46" s="2">
        <v>-84.933082999999996</v>
      </c>
      <c r="H46" s="2" t="s">
        <v>34</v>
      </c>
      <c r="I46" s="2" t="s">
        <v>46</v>
      </c>
      <c r="J46" s="2" t="s">
        <v>34</v>
      </c>
      <c r="K46" s="2" t="s">
        <v>34</v>
      </c>
      <c r="L46" s="2" t="s">
        <v>34</v>
      </c>
      <c r="M46" s="2" t="s">
        <v>34</v>
      </c>
      <c r="N46" s="2" t="s">
        <v>34</v>
      </c>
      <c r="O46" s="2" t="s">
        <v>34</v>
      </c>
      <c r="P46" s="3">
        <v>42491</v>
      </c>
      <c r="Q46" s="3">
        <v>42582</v>
      </c>
      <c r="R46" s="2" t="s">
        <v>639</v>
      </c>
      <c r="S46" s="2" t="s">
        <v>35</v>
      </c>
    </row>
    <row r="47" spans="1:19" hidden="1" x14ac:dyDescent="0.25">
      <c r="A47" s="2" t="s">
        <v>1869</v>
      </c>
      <c r="B47" s="2" t="s">
        <v>31</v>
      </c>
      <c r="C47" s="2" t="s">
        <v>77</v>
      </c>
      <c r="D47" s="2" t="s">
        <v>640</v>
      </c>
      <c r="E47" s="2">
        <v>1687</v>
      </c>
      <c r="F47" s="2">
        <v>29.681833000000001</v>
      </c>
      <c r="G47" s="2">
        <v>-84.928349999999995</v>
      </c>
      <c r="H47" s="2" t="s">
        <v>34</v>
      </c>
      <c r="I47" s="2" t="s">
        <v>46</v>
      </c>
      <c r="J47" s="2" t="s">
        <v>34</v>
      </c>
      <c r="K47" s="2" t="s">
        <v>34</v>
      </c>
      <c r="L47" s="2" t="s">
        <v>34</v>
      </c>
      <c r="M47" s="2" t="s">
        <v>34</v>
      </c>
      <c r="N47" s="2" t="s">
        <v>34</v>
      </c>
      <c r="O47" s="2" t="s">
        <v>34</v>
      </c>
      <c r="P47" s="3">
        <v>42491</v>
      </c>
      <c r="Q47" s="3">
        <v>42582</v>
      </c>
      <c r="R47" s="2" t="s">
        <v>641</v>
      </c>
      <c r="S47" s="2" t="s">
        <v>35</v>
      </c>
    </row>
    <row r="48" spans="1:19" hidden="1" x14ac:dyDescent="0.25">
      <c r="A48" s="2" t="s">
        <v>1870</v>
      </c>
      <c r="B48" s="2" t="s">
        <v>31</v>
      </c>
      <c r="C48" s="2" t="s">
        <v>77</v>
      </c>
      <c r="D48" s="2" t="s">
        <v>642</v>
      </c>
      <c r="E48" s="2">
        <v>1717</v>
      </c>
      <c r="F48" s="2">
        <v>29.677</v>
      </c>
      <c r="G48" s="2">
        <v>-84.924283000000003</v>
      </c>
      <c r="H48" s="2" t="s">
        <v>34</v>
      </c>
      <c r="I48" s="2" t="s">
        <v>46</v>
      </c>
      <c r="J48" s="2" t="s">
        <v>34</v>
      </c>
      <c r="K48" s="2" t="s">
        <v>34</v>
      </c>
      <c r="L48" s="2" t="s">
        <v>34</v>
      </c>
      <c r="M48" s="2" t="s">
        <v>34</v>
      </c>
      <c r="N48" s="2" t="s">
        <v>34</v>
      </c>
      <c r="O48" s="2" t="s">
        <v>34</v>
      </c>
      <c r="P48" s="3">
        <v>42491</v>
      </c>
      <c r="Q48" s="3">
        <v>42582</v>
      </c>
      <c r="R48" s="2" t="s">
        <v>643</v>
      </c>
      <c r="S48" s="2" t="s">
        <v>35</v>
      </c>
    </row>
    <row r="49" spans="1:19" hidden="1" x14ac:dyDescent="0.25">
      <c r="A49" s="2" t="s">
        <v>1871</v>
      </c>
      <c r="B49" s="2" t="s">
        <v>31</v>
      </c>
      <c r="C49" s="2" t="s">
        <v>77</v>
      </c>
      <c r="D49" s="2" t="s">
        <v>644</v>
      </c>
      <c r="E49" s="2">
        <v>1725</v>
      </c>
      <c r="F49" s="2">
        <v>29.677</v>
      </c>
      <c r="G49" s="2">
        <v>-84.902433000000002</v>
      </c>
      <c r="H49" s="2" t="s">
        <v>34</v>
      </c>
      <c r="I49" s="2" t="s">
        <v>46</v>
      </c>
      <c r="J49" s="2" t="s">
        <v>34</v>
      </c>
      <c r="K49" s="2" t="s">
        <v>34</v>
      </c>
      <c r="L49" s="2" t="s">
        <v>34</v>
      </c>
      <c r="M49" s="2" t="s">
        <v>34</v>
      </c>
      <c r="N49" s="2" t="s">
        <v>34</v>
      </c>
      <c r="O49" s="2" t="s">
        <v>34</v>
      </c>
      <c r="P49" s="3">
        <v>42491</v>
      </c>
      <c r="Q49" s="3">
        <v>42582</v>
      </c>
      <c r="R49" s="2" t="s">
        <v>645</v>
      </c>
      <c r="S49" s="2" t="s">
        <v>35</v>
      </c>
    </row>
    <row r="50" spans="1:19" hidden="1" x14ac:dyDescent="0.25">
      <c r="A50" s="2" t="s">
        <v>1872</v>
      </c>
      <c r="B50" s="2" t="s">
        <v>31</v>
      </c>
      <c r="C50" s="2" t="s">
        <v>77</v>
      </c>
      <c r="D50" s="2" t="s">
        <v>646</v>
      </c>
      <c r="E50" s="2">
        <v>1743</v>
      </c>
      <c r="F50" s="2">
        <v>29.672666</v>
      </c>
      <c r="G50" s="2">
        <v>-84.922600000000003</v>
      </c>
      <c r="H50" s="2" t="s">
        <v>34</v>
      </c>
      <c r="I50" s="2" t="s">
        <v>46</v>
      </c>
      <c r="J50" s="2" t="s">
        <v>34</v>
      </c>
      <c r="K50" s="2" t="s">
        <v>34</v>
      </c>
      <c r="L50" s="2" t="s">
        <v>34</v>
      </c>
      <c r="M50" s="2" t="s">
        <v>34</v>
      </c>
      <c r="N50" s="2" t="s">
        <v>34</v>
      </c>
      <c r="O50" s="2" t="s">
        <v>34</v>
      </c>
      <c r="P50" s="3">
        <v>42491</v>
      </c>
      <c r="Q50" s="3">
        <v>42582</v>
      </c>
      <c r="R50" s="2" t="s">
        <v>647</v>
      </c>
      <c r="S50" s="2" t="s">
        <v>35</v>
      </c>
    </row>
    <row r="51" spans="1:19" hidden="1" x14ac:dyDescent="0.25">
      <c r="A51" s="2" t="s">
        <v>1873</v>
      </c>
      <c r="B51" s="2" t="s">
        <v>31</v>
      </c>
      <c r="C51" s="2" t="s">
        <v>77</v>
      </c>
      <c r="D51" s="2" t="s">
        <v>648</v>
      </c>
      <c r="E51" s="2">
        <v>1761</v>
      </c>
      <c r="F51" s="2">
        <v>29.672965999999999</v>
      </c>
      <c r="G51" s="2">
        <v>-84.918999999999997</v>
      </c>
      <c r="H51" s="2" t="s">
        <v>34</v>
      </c>
      <c r="I51" s="2" t="s">
        <v>46</v>
      </c>
      <c r="J51" s="2" t="s">
        <v>34</v>
      </c>
      <c r="K51" s="2" t="s">
        <v>34</v>
      </c>
      <c r="L51" s="2" t="s">
        <v>34</v>
      </c>
      <c r="M51" s="2" t="s">
        <v>34</v>
      </c>
      <c r="N51" s="2" t="s">
        <v>34</v>
      </c>
      <c r="O51" s="2" t="s">
        <v>34</v>
      </c>
      <c r="P51" s="3">
        <v>42491</v>
      </c>
      <c r="Q51" s="3">
        <v>42582</v>
      </c>
      <c r="R51" s="2" t="s">
        <v>649</v>
      </c>
      <c r="S51" s="2" t="s">
        <v>35</v>
      </c>
    </row>
    <row r="52" spans="1:19" hidden="1" x14ac:dyDescent="0.25">
      <c r="A52" s="2" t="s">
        <v>1874</v>
      </c>
      <c r="B52" s="2" t="s">
        <v>31</v>
      </c>
      <c r="C52" s="2" t="s">
        <v>77</v>
      </c>
      <c r="D52" s="2" t="s">
        <v>650</v>
      </c>
      <c r="E52" s="2">
        <v>1762</v>
      </c>
      <c r="F52" s="2">
        <v>29.673216</v>
      </c>
      <c r="G52" s="2">
        <v>-84.917900000000003</v>
      </c>
      <c r="H52" s="2" t="s">
        <v>34</v>
      </c>
      <c r="I52" s="2" t="s">
        <v>46</v>
      </c>
      <c r="J52" s="2" t="s">
        <v>34</v>
      </c>
      <c r="K52" s="2" t="s">
        <v>34</v>
      </c>
      <c r="L52" s="2" t="s">
        <v>34</v>
      </c>
      <c r="M52" s="2" t="s">
        <v>34</v>
      </c>
      <c r="N52" s="2" t="s">
        <v>34</v>
      </c>
      <c r="O52" s="2" t="s">
        <v>34</v>
      </c>
      <c r="P52" s="3">
        <v>42491</v>
      </c>
      <c r="Q52" s="3">
        <v>42582</v>
      </c>
      <c r="R52" s="2" t="s">
        <v>651</v>
      </c>
      <c r="S52" s="2" t="s">
        <v>35</v>
      </c>
    </row>
    <row r="53" spans="1:19" hidden="1" x14ac:dyDescent="0.25">
      <c r="A53" s="2" t="s">
        <v>1875</v>
      </c>
      <c r="B53" s="2" t="s">
        <v>31</v>
      </c>
      <c r="C53" s="2" t="s">
        <v>77</v>
      </c>
      <c r="D53" s="2" t="s">
        <v>652</v>
      </c>
      <c r="E53" s="2">
        <v>1767</v>
      </c>
      <c r="F53" s="2">
        <v>29.671050000000001</v>
      </c>
      <c r="G53" s="2">
        <v>-84.906415999999993</v>
      </c>
      <c r="H53" s="2" t="s">
        <v>34</v>
      </c>
      <c r="I53" s="2" t="s">
        <v>46</v>
      </c>
      <c r="J53" s="2" t="s">
        <v>34</v>
      </c>
      <c r="K53" s="2" t="s">
        <v>34</v>
      </c>
      <c r="L53" s="2" t="s">
        <v>34</v>
      </c>
      <c r="M53" s="2" t="s">
        <v>34</v>
      </c>
      <c r="N53" s="2" t="s">
        <v>34</v>
      </c>
      <c r="O53" s="2" t="s">
        <v>34</v>
      </c>
      <c r="P53" s="3">
        <v>42491</v>
      </c>
      <c r="Q53" s="3">
        <v>42582</v>
      </c>
      <c r="R53" s="2" t="s">
        <v>653</v>
      </c>
      <c r="S53" s="2" t="s">
        <v>35</v>
      </c>
    </row>
    <row r="54" spans="1:19" hidden="1" x14ac:dyDescent="0.25">
      <c r="A54" s="2" t="s">
        <v>1876</v>
      </c>
      <c r="B54" s="2" t="s">
        <v>31</v>
      </c>
      <c r="C54" s="2" t="s">
        <v>77</v>
      </c>
      <c r="D54" s="2" t="s">
        <v>654</v>
      </c>
      <c r="E54" s="2">
        <v>1768</v>
      </c>
      <c r="F54" s="2">
        <v>29.672232999999999</v>
      </c>
      <c r="G54" s="2">
        <v>-84.907315999999994</v>
      </c>
      <c r="H54" s="2" t="s">
        <v>34</v>
      </c>
      <c r="I54" s="2" t="s">
        <v>46</v>
      </c>
      <c r="J54" s="2" t="s">
        <v>34</v>
      </c>
      <c r="K54" s="2" t="s">
        <v>34</v>
      </c>
      <c r="L54" s="2" t="s">
        <v>34</v>
      </c>
      <c r="M54" s="2" t="s">
        <v>34</v>
      </c>
      <c r="N54" s="2" t="s">
        <v>34</v>
      </c>
      <c r="O54" s="2" t="s">
        <v>34</v>
      </c>
      <c r="P54" s="3">
        <v>42491</v>
      </c>
      <c r="Q54" s="3">
        <v>42582</v>
      </c>
      <c r="R54" s="2" t="s">
        <v>655</v>
      </c>
      <c r="S54" s="2" t="s">
        <v>35</v>
      </c>
    </row>
    <row r="55" spans="1:19" hidden="1" x14ac:dyDescent="0.25">
      <c r="A55" s="2" t="s">
        <v>1877</v>
      </c>
      <c r="B55" s="2" t="s">
        <v>31</v>
      </c>
      <c r="C55" s="2" t="s">
        <v>77</v>
      </c>
      <c r="D55" s="2" t="s">
        <v>656</v>
      </c>
      <c r="E55" s="2">
        <v>1769</v>
      </c>
      <c r="F55" s="2">
        <v>29.671683000000002</v>
      </c>
      <c r="G55" s="2">
        <v>-84.906532999999996</v>
      </c>
      <c r="H55" s="2" t="s">
        <v>34</v>
      </c>
      <c r="I55" s="2" t="s">
        <v>46</v>
      </c>
      <c r="J55" s="2" t="s">
        <v>34</v>
      </c>
      <c r="K55" s="2" t="s">
        <v>34</v>
      </c>
      <c r="L55" s="2" t="s">
        <v>34</v>
      </c>
      <c r="M55" s="2" t="s">
        <v>34</v>
      </c>
      <c r="N55" s="2" t="s">
        <v>34</v>
      </c>
      <c r="O55" s="2" t="s">
        <v>34</v>
      </c>
      <c r="P55" s="3">
        <v>42491</v>
      </c>
      <c r="Q55" s="3">
        <v>42582</v>
      </c>
      <c r="R55" s="2" t="s">
        <v>657</v>
      </c>
      <c r="S55" s="2" t="s">
        <v>35</v>
      </c>
    </row>
    <row r="56" spans="1:19" hidden="1" x14ac:dyDescent="0.25">
      <c r="A56" s="2" t="s">
        <v>1878</v>
      </c>
      <c r="B56" s="2" t="s">
        <v>31</v>
      </c>
      <c r="C56" s="2" t="s">
        <v>77</v>
      </c>
      <c r="D56" s="2" t="s">
        <v>658</v>
      </c>
      <c r="E56" s="2">
        <v>1784</v>
      </c>
      <c r="F56" s="2">
        <v>29.670750000000002</v>
      </c>
      <c r="G56" s="2">
        <v>-84.901666000000006</v>
      </c>
      <c r="H56" s="2" t="s">
        <v>34</v>
      </c>
      <c r="I56" s="2" t="s">
        <v>46</v>
      </c>
      <c r="J56" s="2" t="s">
        <v>34</v>
      </c>
      <c r="K56" s="2" t="s">
        <v>34</v>
      </c>
      <c r="L56" s="2" t="s">
        <v>34</v>
      </c>
      <c r="M56" s="2" t="s">
        <v>34</v>
      </c>
      <c r="N56" s="2" t="s">
        <v>34</v>
      </c>
      <c r="O56" s="2" t="s">
        <v>34</v>
      </c>
      <c r="P56" s="3">
        <v>42491</v>
      </c>
      <c r="Q56" s="3">
        <v>42582</v>
      </c>
      <c r="R56" s="2" t="s">
        <v>659</v>
      </c>
      <c r="S56" s="2" t="s">
        <v>35</v>
      </c>
    </row>
    <row r="57" spans="1:19" hidden="1" x14ac:dyDescent="0.25">
      <c r="A57" s="2" t="s">
        <v>1879</v>
      </c>
      <c r="B57" s="2" t="s">
        <v>31</v>
      </c>
      <c r="C57" s="2" t="s">
        <v>77</v>
      </c>
      <c r="D57" s="2" t="s">
        <v>660</v>
      </c>
      <c r="E57" s="2">
        <v>1828</v>
      </c>
      <c r="F57" s="2">
        <v>29.744116000000002</v>
      </c>
      <c r="G57" s="2">
        <v>-84.907799999999995</v>
      </c>
      <c r="H57" s="2" t="s">
        <v>34</v>
      </c>
      <c r="I57" s="2" t="s">
        <v>46</v>
      </c>
      <c r="J57" s="2" t="s">
        <v>34</v>
      </c>
      <c r="K57" s="2" t="s">
        <v>34</v>
      </c>
      <c r="L57" s="2" t="s">
        <v>34</v>
      </c>
      <c r="M57" s="2" t="s">
        <v>34</v>
      </c>
      <c r="N57" s="2" t="s">
        <v>34</v>
      </c>
      <c r="O57" s="2" t="s">
        <v>34</v>
      </c>
      <c r="P57" s="3">
        <v>42491</v>
      </c>
      <c r="Q57" s="3">
        <v>42582</v>
      </c>
      <c r="R57" s="2" t="s">
        <v>661</v>
      </c>
      <c r="S57" s="2" t="s">
        <v>35</v>
      </c>
    </row>
    <row r="58" spans="1:19" hidden="1" x14ac:dyDescent="0.25">
      <c r="A58" s="2" t="s">
        <v>1880</v>
      </c>
      <c r="B58" s="2" t="s">
        <v>31</v>
      </c>
      <c r="C58" s="2" t="s">
        <v>77</v>
      </c>
      <c r="D58" s="2" t="s">
        <v>662</v>
      </c>
      <c r="E58" s="2">
        <v>1846</v>
      </c>
      <c r="F58" s="2">
        <v>29.727716000000001</v>
      </c>
      <c r="G58" s="2">
        <v>-84.909165999999999</v>
      </c>
      <c r="H58" s="2" t="s">
        <v>34</v>
      </c>
      <c r="I58" s="2" t="s">
        <v>46</v>
      </c>
      <c r="J58" s="2" t="s">
        <v>34</v>
      </c>
      <c r="K58" s="2" t="s">
        <v>34</v>
      </c>
      <c r="L58" s="2" t="s">
        <v>34</v>
      </c>
      <c r="M58" s="2" t="s">
        <v>34</v>
      </c>
      <c r="N58" s="2" t="s">
        <v>34</v>
      </c>
      <c r="O58" s="2" t="s">
        <v>34</v>
      </c>
      <c r="P58" s="3">
        <v>42491</v>
      </c>
      <c r="Q58" s="3">
        <v>42582</v>
      </c>
      <c r="R58" s="2" t="s">
        <v>663</v>
      </c>
      <c r="S58" s="2" t="s">
        <v>35</v>
      </c>
    </row>
    <row r="59" spans="1:19" hidden="1" x14ac:dyDescent="0.25">
      <c r="A59" s="2" t="s">
        <v>1881</v>
      </c>
      <c r="B59" s="2" t="s">
        <v>31</v>
      </c>
      <c r="C59" s="2" t="s">
        <v>77</v>
      </c>
      <c r="D59" s="2" t="s">
        <v>664</v>
      </c>
      <c r="E59" s="2">
        <v>1868</v>
      </c>
      <c r="F59" s="2">
        <v>29.717065999999999</v>
      </c>
      <c r="G59" s="2">
        <v>-84.9024</v>
      </c>
      <c r="H59" s="2" t="s">
        <v>34</v>
      </c>
      <c r="I59" s="2" t="s">
        <v>46</v>
      </c>
      <c r="J59" s="2" t="s">
        <v>34</v>
      </c>
      <c r="K59" s="2" t="s">
        <v>34</v>
      </c>
      <c r="L59" s="2" t="s">
        <v>34</v>
      </c>
      <c r="M59" s="2" t="s">
        <v>34</v>
      </c>
      <c r="N59" s="2" t="s">
        <v>34</v>
      </c>
      <c r="O59" s="2" t="s">
        <v>34</v>
      </c>
      <c r="P59" s="3">
        <v>42491</v>
      </c>
      <c r="Q59" s="3">
        <v>42582</v>
      </c>
      <c r="R59" s="2" t="s">
        <v>665</v>
      </c>
      <c r="S59" s="2" t="s">
        <v>35</v>
      </c>
    </row>
    <row r="60" spans="1:19" hidden="1" x14ac:dyDescent="0.25">
      <c r="A60" s="2" t="s">
        <v>1882</v>
      </c>
      <c r="B60" s="2" t="s">
        <v>31</v>
      </c>
      <c r="C60" s="2" t="s">
        <v>77</v>
      </c>
      <c r="D60" s="2" t="s">
        <v>666</v>
      </c>
      <c r="E60" s="2">
        <v>1877</v>
      </c>
      <c r="F60" s="2">
        <v>29.715800000000002</v>
      </c>
      <c r="G60" s="2">
        <v>-84.905550000000005</v>
      </c>
      <c r="H60" s="2" t="s">
        <v>34</v>
      </c>
      <c r="I60" s="2" t="s">
        <v>46</v>
      </c>
      <c r="J60" s="2" t="s">
        <v>34</v>
      </c>
      <c r="K60" s="2" t="s">
        <v>34</v>
      </c>
      <c r="L60" s="2" t="s">
        <v>34</v>
      </c>
      <c r="M60" s="2" t="s">
        <v>34</v>
      </c>
      <c r="N60" s="2" t="s">
        <v>34</v>
      </c>
      <c r="O60" s="2" t="s">
        <v>34</v>
      </c>
      <c r="P60" s="3">
        <v>42491</v>
      </c>
      <c r="Q60" s="3">
        <v>42582</v>
      </c>
      <c r="R60" s="2" t="s">
        <v>667</v>
      </c>
      <c r="S60" s="2" t="s">
        <v>35</v>
      </c>
    </row>
    <row r="61" spans="1:19" hidden="1" x14ac:dyDescent="0.25">
      <c r="A61" s="2" t="s">
        <v>1883</v>
      </c>
      <c r="B61" s="2" t="s">
        <v>31</v>
      </c>
      <c r="C61" s="2" t="s">
        <v>77</v>
      </c>
      <c r="D61" s="2" t="s">
        <v>668</v>
      </c>
      <c r="E61" s="2">
        <v>1892</v>
      </c>
      <c r="F61" s="2">
        <v>29.712382999999999</v>
      </c>
      <c r="G61" s="2">
        <v>-84.901583000000002</v>
      </c>
      <c r="H61" s="2" t="s">
        <v>34</v>
      </c>
      <c r="I61" s="2" t="s">
        <v>46</v>
      </c>
      <c r="J61" s="2" t="s">
        <v>34</v>
      </c>
      <c r="K61" s="2" t="s">
        <v>34</v>
      </c>
      <c r="L61" s="2" t="s">
        <v>34</v>
      </c>
      <c r="M61" s="2" t="s">
        <v>34</v>
      </c>
      <c r="N61" s="2" t="s">
        <v>34</v>
      </c>
      <c r="O61" s="2" t="s">
        <v>34</v>
      </c>
      <c r="P61" s="3">
        <v>42491</v>
      </c>
      <c r="Q61" s="3">
        <v>42582</v>
      </c>
      <c r="R61" s="2" t="s">
        <v>669</v>
      </c>
      <c r="S61" s="2" t="s">
        <v>35</v>
      </c>
    </row>
    <row r="62" spans="1:19" hidden="1" x14ac:dyDescent="0.25">
      <c r="A62" s="2" t="s">
        <v>1884</v>
      </c>
      <c r="B62" s="2" t="s">
        <v>31</v>
      </c>
      <c r="C62" s="2" t="s">
        <v>77</v>
      </c>
      <c r="D62" s="2" t="s">
        <v>670</v>
      </c>
      <c r="E62" s="2">
        <v>1894</v>
      </c>
      <c r="F62" s="2">
        <v>29.713450000000002</v>
      </c>
      <c r="G62" s="2">
        <v>-84.899215999999996</v>
      </c>
      <c r="H62" s="2" t="s">
        <v>34</v>
      </c>
      <c r="I62" s="2" t="s">
        <v>46</v>
      </c>
      <c r="J62" s="2" t="s">
        <v>34</v>
      </c>
      <c r="K62" s="2" t="s">
        <v>34</v>
      </c>
      <c r="L62" s="2" t="s">
        <v>34</v>
      </c>
      <c r="M62" s="2" t="s">
        <v>34</v>
      </c>
      <c r="N62" s="2" t="s">
        <v>34</v>
      </c>
      <c r="O62" s="2" t="s">
        <v>34</v>
      </c>
      <c r="P62" s="3">
        <v>42491</v>
      </c>
      <c r="Q62" s="3">
        <v>42582</v>
      </c>
      <c r="R62" s="2" t="s">
        <v>671</v>
      </c>
      <c r="S62" s="2" t="s">
        <v>35</v>
      </c>
    </row>
    <row r="63" spans="1:19" hidden="1" x14ac:dyDescent="0.25">
      <c r="A63" s="2" t="s">
        <v>1885</v>
      </c>
      <c r="B63" s="2" t="s">
        <v>31</v>
      </c>
      <c r="C63" s="2" t="s">
        <v>77</v>
      </c>
      <c r="D63" s="2" t="s">
        <v>672</v>
      </c>
      <c r="E63" s="2">
        <v>1931</v>
      </c>
      <c r="F63" s="2">
        <v>29.706883000000001</v>
      </c>
      <c r="G63" s="2">
        <v>-84.910315999999995</v>
      </c>
      <c r="H63" s="2" t="s">
        <v>34</v>
      </c>
      <c r="I63" s="2" t="s">
        <v>46</v>
      </c>
      <c r="J63" s="2" t="s">
        <v>34</v>
      </c>
      <c r="K63" s="2" t="s">
        <v>34</v>
      </c>
      <c r="L63" s="2" t="s">
        <v>34</v>
      </c>
      <c r="M63" s="2" t="s">
        <v>34</v>
      </c>
      <c r="N63" s="2" t="s">
        <v>34</v>
      </c>
      <c r="O63" s="2" t="s">
        <v>34</v>
      </c>
      <c r="P63" s="3">
        <v>42491</v>
      </c>
      <c r="Q63" s="3">
        <v>42582</v>
      </c>
      <c r="R63" s="2" t="s">
        <v>673</v>
      </c>
      <c r="S63" s="2" t="s">
        <v>35</v>
      </c>
    </row>
    <row r="64" spans="1:19" hidden="1" x14ac:dyDescent="0.25">
      <c r="A64" s="2" t="s">
        <v>1886</v>
      </c>
      <c r="B64" s="2" t="s">
        <v>31</v>
      </c>
      <c r="C64" s="2" t="s">
        <v>77</v>
      </c>
      <c r="D64" s="2" t="s">
        <v>674</v>
      </c>
      <c r="E64" s="2">
        <v>1947</v>
      </c>
      <c r="F64" s="2">
        <v>29.704899999999999</v>
      </c>
      <c r="G64" s="2">
        <v>-84.904200000000003</v>
      </c>
      <c r="H64" s="2" t="s">
        <v>34</v>
      </c>
      <c r="I64" s="2" t="s">
        <v>46</v>
      </c>
      <c r="J64" s="2" t="s">
        <v>34</v>
      </c>
      <c r="K64" s="2" t="s">
        <v>34</v>
      </c>
      <c r="L64" s="2" t="s">
        <v>34</v>
      </c>
      <c r="M64" s="2" t="s">
        <v>34</v>
      </c>
      <c r="N64" s="2" t="s">
        <v>34</v>
      </c>
      <c r="O64" s="2" t="s">
        <v>34</v>
      </c>
      <c r="P64" s="3">
        <v>42491</v>
      </c>
      <c r="Q64" s="3">
        <v>42582</v>
      </c>
      <c r="R64" s="2" t="s">
        <v>675</v>
      </c>
      <c r="S64" s="2" t="s">
        <v>35</v>
      </c>
    </row>
    <row r="65" spans="1:19" hidden="1" x14ac:dyDescent="0.25">
      <c r="A65" s="2" t="s">
        <v>1887</v>
      </c>
      <c r="B65" s="2" t="s">
        <v>31</v>
      </c>
      <c r="C65" s="2" t="s">
        <v>77</v>
      </c>
      <c r="D65" s="2" t="s">
        <v>676</v>
      </c>
      <c r="E65" s="2">
        <v>1949</v>
      </c>
      <c r="F65" s="2">
        <v>29.704516000000002</v>
      </c>
      <c r="G65" s="2">
        <v>-84.901116000000002</v>
      </c>
      <c r="H65" s="2" t="s">
        <v>34</v>
      </c>
      <c r="I65" s="2" t="s">
        <v>46</v>
      </c>
      <c r="J65" s="2" t="s">
        <v>34</v>
      </c>
      <c r="K65" s="2" t="s">
        <v>34</v>
      </c>
      <c r="L65" s="2" t="s">
        <v>34</v>
      </c>
      <c r="M65" s="2" t="s">
        <v>34</v>
      </c>
      <c r="N65" s="2" t="s">
        <v>34</v>
      </c>
      <c r="O65" s="2" t="s">
        <v>34</v>
      </c>
      <c r="P65" s="3">
        <v>42491</v>
      </c>
      <c r="Q65" s="3">
        <v>42582</v>
      </c>
      <c r="R65" s="2" t="s">
        <v>677</v>
      </c>
      <c r="S65" s="2" t="s">
        <v>35</v>
      </c>
    </row>
    <row r="66" spans="1:19" hidden="1" x14ac:dyDescent="0.25">
      <c r="A66" s="2" t="s">
        <v>1888</v>
      </c>
      <c r="B66" s="2" t="s">
        <v>31</v>
      </c>
      <c r="C66" s="2" t="s">
        <v>77</v>
      </c>
      <c r="D66" s="2" t="s">
        <v>678</v>
      </c>
      <c r="E66" s="2">
        <v>1952</v>
      </c>
      <c r="F66" s="2">
        <v>29.704232999999999</v>
      </c>
      <c r="G66" s="2">
        <v>-84.896033000000003</v>
      </c>
      <c r="H66" s="2" t="s">
        <v>34</v>
      </c>
      <c r="I66" s="2" t="s">
        <v>46</v>
      </c>
      <c r="J66" s="2" t="s">
        <v>34</v>
      </c>
      <c r="K66" s="2" t="s">
        <v>34</v>
      </c>
      <c r="L66" s="2" t="s">
        <v>34</v>
      </c>
      <c r="M66" s="2" t="s">
        <v>34</v>
      </c>
      <c r="N66" s="2" t="s">
        <v>34</v>
      </c>
      <c r="O66" s="2" t="s">
        <v>34</v>
      </c>
      <c r="P66" s="3">
        <v>42491</v>
      </c>
      <c r="Q66" s="3">
        <v>42582</v>
      </c>
      <c r="R66" s="2" t="s">
        <v>679</v>
      </c>
      <c r="S66" s="2" t="s">
        <v>35</v>
      </c>
    </row>
    <row r="67" spans="1:19" hidden="1" x14ac:dyDescent="0.25">
      <c r="A67" s="2" t="s">
        <v>1889</v>
      </c>
      <c r="B67" s="2" t="s">
        <v>31</v>
      </c>
      <c r="C67" s="2" t="s">
        <v>77</v>
      </c>
      <c r="D67" s="2" t="s">
        <v>680</v>
      </c>
      <c r="E67" s="2">
        <v>1967</v>
      </c>
      <c r="F67" s="2">
        <v>29.692183</v>
      </c>
      <c r="G67" s="2">
        <v>-84.890833000000001</v>
      </c>
      <c r="H67" s="2" t="s">
        <v>34</v>
      </c>
      <c r="I67" s="2" t="s">
        <v>46</v>
      </c>
      <c r="J67" s="2" t="s">
        <v>34</v>
      </c>
      <c r="K67" s="2" t="s">
        <v>34</v>
      </c>
      <c r="L67" s="2" t="s">
        <v>34</v>
      </c>
      <c r="M67" s="2" t="s">
        <v>34</v>
      </c>
      <c r="N67" s="2" t="s">
        <v>34</v>
      </c>
      <c r="O67" s="2" t="s">
        <v>34</v>
      </c>
      <c r="P67" s="3">
        <v>42491</v>
      </c>
      <c r="Q67" s="3">
        <v>42582</v>
      </c>
      <c r="R67" s="2" t="s">
        <v>681</v>
      </c>
      <c r="S67" s="2" t="s">
        <v>35</v>
      </c>
    </row>
    <row r="68" spans="1:19" hidden="1" x14ac:dyDescent="0.25">
      <c r="A68" s="2" t="s">
        <v>1890</v>
      </c>
      <c r="B68" s="2" t="s">
        <v>31</v>
      </c>
      <c r="C68" s="2" t="s">
        <v>77</v>
      </c>
      <c r="D68" s="2" t="s">
        <v>682</v>
      </c>
      <c r="E68" s="2">
        <v>1990</v>
      </c>
      <c r="F68" s="2">
        <v>29.683516000000001</v>
      </c>
      <c r="G68" s="2">
        <v>-84.897649999999999</v>
      </c>
      <c r="H68" s="2" t="s">
        <v>34</v>
      </c>
      <c r="I68" s="2" t="s">
        <v>46</v>
      </c>
      <c r="J68" s="2" t="s">
        <v>34</v>
      </c>
      <c r="K68" s="2" t="s">
        <v>34</v>
      </c>
      <c r="L68" s="2" t="s">
        <v>34</v>
      </c>
      <c r="M68" s="2" t="s">
        <v>34</v>
      </c>
      <c r="N68" s="2" t="s">
        <v>34</v>
      </c>
      <c r="O68" s="2" t="s">
        <v>34</v>
      </c>
      <c r="P68" s="3">
        <v>42491</v>
      </c>
      <c r="Q68" s="3">
        <v>42582</v>
      </c>
      <c r="R68" s="2" t="s">
        <v>683</v>
      </c>
      <c r="S68" s="2" t="s">
        <v>35</v>
      </c>
    </row>
    <row r="69" spans="1:19" hidden="1" x14ac:dyDescent="0.25">
      <c r="A69" s="2" t="s">
        <v>1891</v>
      </c>
      <c r="B69" s="2" t="s">
        <v>31</v>
      </c>
      <c r="C69" s="2" t="s">
        <v>77</v>
      </c>
      <c r="D69" s="2" t="s">
        <v>684</v>
      </c>
      <c r="E69" s="2">
        <v>2012</v>
      </c>
      <c r="F69" s="2">
        <v>29.674016000000002</v>
      </c>
      <c r="G69" s="2">
        <v>-84.886150000000001</v>
      </c>
      <c r="H69" s="2" t="s">
        <v>34</v>
      </c>
      <c r="I69" s="2" t="s">
        <v>46</v>
      </c>
      <c r="J69" s="2" t="s">
        <v>34</v>
      </c>
      <c r="K69" s="2" t="s">
        <v>34</v>
      </c>
      <c r="L69" s="2" t="s">
        <v>34</v>
      </c>
      <c r="M69" s="2" t="s">
        <v>34</v>
      </c>
      <c r="N69" s="2" t="s">
        <v>34</v>
      </c>
      <c r="O69" s="2" t="s">
        <v>34</v>
      </c>
      <c r="P69" s="3">
        <v>42491</v>
      </c>
      <c r="Q69" s="3">
        <v>42582</v>
      </c>
      <c r="R69" s="2" t="s">
        <v>685</v>
      </c>
      <c r="S69" s="2" t="s">
        <v>35</v>
      </c>
    </row>
    <row r="70" spans="1:19" hidden="1" x14ac:dyDescent="0.25">
      <c r="A70" s="2" t="s">
        <v>1892</v>
      </c>
      <c r="B70" s="2" t="s">
        <v>31</v>
      </c>
      <c r="C70" s="2" t="s">
        <v>77</v>
      </c>
      <c r="D70" s="2" t="s">
        <v>686</v>
      </c>
      <c r="E70" s="2">
        <v>2018</v>
      </c>
      <c r="F70" s="2">
        <v>29.673266000000002</v>
      </c>
      <c r="G70" s="2">
        <v>-84.887315999999998</v>
      </c>
      <c r="H70" s="2" t="s">
        <v>34</v>
      </c>
      <c r="I70" s="2" t="s">
        <v>46</v>
      </c>
      <c r="J70" s="2" t="s">
        <v>34</v>
      </c>
      <c r="K70" s="2" t="s">
        <v>34</v>
      </c>
      <c r="L70" s="2" t="s">
        <v>34</v>
      </c>
      <c r="M70" s="2" t="s">
        <v>34</v>
      </c>
      <c r="N70" s="2" t="s">
        <v>34</v>
      </c>
      <c r="O70" s="2" t="s">
        <v>34</v>
      </c>
      <c r="P70" s="3">
        <v>42491</v>
      </c>
      <c r="Q70" s="3">
        <v>42582</v>
      </c>
      <c r="R70" s="2" t="s">
        <v>687</v>
      </c>
      <c r="S70" s="2" t="s">
        <v>35</v>
      </c>
    </row>
    <row r="71" spans="1:19" hidden="1" x14ac:dyDescent="0.25">
      <c r="A71" s="2" t="s">
        <v>1893</v>
      </c>
      <c r="B71" s="2" t="s">
        <v>31</v>
      </c>
      <c r="C71" s="2" t="s">
        <v>77</v>
      </c>
      <c r="D71" s="2" t="s">
        <v>688</v>
      </c>
      <c r="E71" s="2">
        <v>2025</v>
      </c>
      <c r="F71" s="2">
        <v>29.673283000000001</v>
      </c>
      <c r="G71" s="2">
        <v>-84.898933</v>
      </c>
      <c r="H71" s="2" t="s">
        <v>34</v>
      </c>
      <c r="I71" s="2" t="s">
        <v>46</v>
      </c>
      <c r="J71" s="2" t="s">
        <v>34</v>
      </c>
      <c r="K71" s="2" t="s">
        <v>34</v>
      </c>
      <c r="L71" s="2" t="s">
        <v>34</v>
      </c>
      <c r="M71" s="2" t="s">
        <v>34</v>
      </c>
      <c r="N71" s="2" t="s">
        <v>34</v>
      </c>
      <c r="O71" s="2" t="s">
        <v>34</v>
      </c>
      <c r="P71" s="3">
        <v>42491</v>
      </c>
      <c r="Q71" s="3">
        <v>42582</v>
      </c>
      <c r="R71" s="2" t="s">
        <v>689</v>
      </c>
      <c r="S71" s="2" t="s">
        <v>35</v>
      </c>
    </row>
    <row r="72" spans="1:19" hidden="1" x14ac:dyDescent="0.25">
      <c r="A72" s="2" t="s">
        <v>1894</v>
      </c>
      <c r="B72" s="2" t="s">
        <v>31</v>
      </c>
      <c r="C72" s="2" t="s">
        <v>77</v>
      </c>
      <c r="D72" s="2" t="s">
        <v>690</v>
      </c>
      <c r="E72" s="2">
        <v>2028</v>
      </c>
      <c r="F72" s="2">
        <v>29.674182999999999</v>
      </c>
      <c r="G72" s="2">
        <v>-84.894400000000005</v>
      </c>
      <c r="H72" s="2" t="s">
        <v>34</v>
      </c>
      <c r="I72" s="2" t="s">
        <v>46</v>
      </c>
      <c r="J72" s="2" t="s">
        <v>34</v>
      </c>
      <c r="K72" s="2" t="s">
        <v>34</v>
      </c>
      <c r="L72" s="2" t="s">
        <v>34</v>
      </c>
      <c r="M72" s="2" t="s">
        <v>34</v>
      </c>
      <c r="N72" s="2" t="s">
        <v>34</v>
      </c>
      <c r="O72" s="2" t="s">
        <v>34</v>
      </c>
      <c r="P72" s="3">
        <v>42491</v>
      </c>
      <c r="Q72" s="3">
        <v>42582</v>
      </c>
      <c r="R72" s="2" t="s">
        <v>691</v>
      </c>
      <c r="S72" s="2" t="s">
        <v>35</v>
      </c>
    </row>
    <row r="73" spans="1:19" hidden="1" x14ac:dyDescent="0.25">
      <c r="A73" s="2" t="s">
        <v>1895</v>
      </c>
      <c r="B73" s="2" t="s">
        <v>31</v>
      </c>
      <c r="C73" s="2" t="s">
        <v>77</v>
      </c>
      <c r="D73" s="2" t="s">
        <v>692</v>
      </c>
      <c r="E73" s="2">
        <v>2052</v>
      </c>
      <c r="F73" s="2">
        <v>29.671382999999999</v>
      </c>
      <c r="G73" s="2">
        <v>-84.899483000000004</v>
      </c>
      <c r="H73" s="2" t="s">
        <v>34</v>
      </c>
      <c r="I73" s="2" t="s">
        <v>46</v>
      </c>
      <c r="J73" s="2" t="s">
        <v>34</v>
      </c>
      <c r="K73" s="2" t="s">
        <v>34</v>
      </c>
      <c r="L73" s="2" t="s">
        <v>34</v>
      </c>
      <c r="M73" s="2" t="s">
        <v>34</v>
      </c>
      <c r="N73" s="2" t="s">
        <v>34</v>
      </c>
      <c r="O73" s="2" t="s">
        <v>34</v>
      </c>
      <c r="P73" s="3">
        <v>42491</v>
      </c>
      <c r="Q73" s="3">
        <v>42582</v>
      </c>
      <c r="R73" s="2" t="s">
        <v>693</v>
      </c>
      <c r="S73" s="2" t="s">
        <v>35</v>
      </c>
    </row>
    <row r="74" spans="1:19" hidden="1" x14ac:dyDescent="0.25">
      <c r="A74" s="2" t="s">
        <v>1896</v>
      </c>
      <c r="B74" s="2" t="s">
        <v>31</v>
      </c>
      <c r="C74" s="2" t="s">
        <v>77</v>
      </c>
      <c r="D74" s="2" t="s">
        <v>694</v>
      </c>
      <c r="E74" s="2">
        <v>2066</v>
      </c>
      <c r="F74" s="2">
        <v>29.66985</v>
      </c>
      <c r="G74" s="2">
        <v>-84.897532999999996</v>
      </c>
      <c r="H74" s="2" t="s">
        <v>34</v>
      </c>
      <c r="I74" s="2" t="s">
        <v>46</v>
      </c>
      <c r="J74" s="2" t="s">
        <v>34</v>
      </c>
      <c r="K74" s="2" t="s">
        <v>34</v>
      </c>
      <c r="L74" s="2" t="s">
        <v>34</v>
      </c>
      <c r="M74" s="2" t="s">
        <v>34</v>
      </c>
      <c r="N74" s="2" t="s">
        <v>34</v>
      </c>
      <c r="O74" s="2" t="s">
        <v>34</v>
      </c>
      <c r="P74" s="3">
        <v>42491</v>
      </c>
      <c r="Q74" s="3">
        <v>42582</v>
      </c>
      <c r="R74" s="2" t="s">
        <v>695</v>
      </c>
      <c r="S74" s="2" t="s">
        <v>35</v>
      </c>
    </row>
    <row r="75" spans="1:19" hidden="1" x14ac:dyDescent="0.25">
      <c r="A75" s="2" t="s">
        <v>1897</v>
      </c>
      <c r="B75" s="2" t="s">
        <v>31</v>
      </c>
      <c r="C75" s="2" t="s">
        <v>77</v>
      </c>
      <c r="D75" s="2" t="s">
        <v>696</v>
      </c>
      <c r="E75" s="2">
        <v>2079</v>
      </c>
      <c r="F75" s="2">
        <v>29.669633000000001</v>
      </c>
      <c r="G75" s="2">
        <v>-84.898715999999993</v>
      </c>
      <c r="H75" s="2" t="s">
        <v>34</v>
      </c>
      <c r="I75" s="2" t="s">
        <v>46</v>
      </c>
      <c r="J75" s="2" t="s">
        <v>34</v>
      </c>
      <c r="K75" s="2" t="s">
        <v>34</v>
      </c>
      <c r="L75" s="2" t="s">
        <v>34</v>
      </c>
      <c r="M75" s="2" t="s">
        <v>34</v>
      </c>
      <c r="N75" s="2" t="s">
        <v>34</v>
      </c>
      <c r="O75" s="2" t="s">
        <v>34</v>
      </c>
      <c r="P75" s="3">
        <v>42491</v>
      </c>
      <c r="Q75" s="3">
        <v>42582</v>
      </c>
      <c r="R75" s="2" t="s">
        <v>697</v>
      </c>
      <c r="S75" s="2" t="s">
        <v>35</v>
      </c>
    </row>
    <row r="76" spans="1:19" hidden="1" x14ac:dyDescent="0.25">
      <c r="A76" s="2" t="s">
        <v>1898</v>
      </c>
      <c r="B76" s="2" t="s">
        <v>31</v>
      </c>
      <c r="C76" s="2" t="s">
        <v>77</v>
      </c>
      <c r="D76" s="2" t="s">
        <v>698</v>
      </c>
      <c r="E76" s="2">
        <v>2104</v>
      </c>
      <c r="F76" s="2">
        <v>29.664732999999998</v>
      </c>
      <c r="G76" s="2">
        <v>-84.905966000000006</v>
      </c>
      <c r="H76" s="2" t="s">
        <v>34</v>
      </c>
      <c r="I76" s="2" t="s">
        <v>46</v>
      </c>
      <c r="J76" s="2" t="s">
        <v>34</v>
      </c>
      <c r="K76" s="2" t="s">
        <v>34</v>
      </c>
      <c r="L76" s="2" t="s">
        <v>34</v>
      </c>
      <c r="M76" s="2" t="s">
        <v>34</v>
      </c>
      <c r="N76" s="2" t="s">
        <v>34</v>
      </c>
      <c r="O76" s="2" t="s">
        <v>34</v>
      </c>
      <c r="P76" s="3">
        <v>42491</v>
      </c>
      <c r="Q76" s="3">
        <v>42582</v>
      </c>
      <c r="R76" s="2" t="s">
        <v>699</v>
      </c>
      <c r="S76" s="2" t="s">
        <v>35</v>
      </c>
    </row>
    <row r="77" spans="1:19" hidden="1" x14ac:dyDescent="0.25">
      <c r="A77" s="2" t="s">
        <v>1899</v>
      </c>
      <c r="B77" s="2" t="s">
        <v>31</v>
      </c>
      <c r="C77" s="2" t="s">
        <v>77</v>
      </c>
      <c r="D77" s="2" t="s">
        <v>700</v>
      </c>
      <c r="E77" s="2">
        <v>2110</v>
      </c>
      <c r="F77" s="2">
        <v>29.662716</v>
      </c>
      <c r="G77" s="2">
        <v>-84.884383</v>
      </c>
      <c r="H77" s="2" t="s">
        <v>34</v>
      </c>
      <c r="I77" s="2" t="s">
        <v>46</v>
      </c>
      <c r="J77" s="2" t="s">
        <v>34</v>
      </c>
      <c r="K77" s="2" t="s">
        <v>34</v>
      </c>
      <c r="L77" s="2" t="s">
        <v>34</v>
      </c>
      <c r="M77" s="2" t="s">
        <v>34</v>
      </c>
      <c r="N77" s="2" t="s">
        <v>34</v>
      </c>
      <c r="O77" s="2" t="s">
        <v>34</v>
      </c>
      <c r="P77" s="3">
        <v>42491</v>
      </c>
      <c r="Q77" s="3">
        <v>42582</v>
      </c>
      <c r="R77" s="2" t="s">
        <v>701</v>
      </c>
      <c r="S77" s="2" t="s">
        <v>35</v>
      </c>
    </row>
    <row r="78" spans="1:19" hidden="1" x14ac:dyDescent="0.25">
      <c r="A78" s="2" t="s">
        <v>1900</v>
      </c>
      <c r="B78" s="2" t="s">
        <v>31</v>
      </c>
      <c r="C78" s="2" t="s">
        <v>77</v>
      </c>
      <c r="D78" s="2" t="s">
        <v>702</v>
      </c>
      <c r="E78" s="2">
        <v>2115</v>
      </c>
      <c r="F78" s="2">
        <v>29.662116000000001</v>
      </c>
      <c r="G78" s="2">
        <v>-84.900465999999994</v>
      </c>
      <c r="H78" s="2" t="s">
        <v>34</v>
      </c>
      <c r="I78" s="2" t="s">
        <v>46</v>
      </c>
      <c r="J78" s="2" t="s">
        <v>34</v>
      </c>
      <c r="K78" s="2" t="s">
        <v>34</v>
      </c>
      <c r="L78" s="2" t="s">
        <v>34</v>
      </c>
      <c r="M78" s="2" t="s">
        <v>34</v>
      </c>
      <c r="N78" s="2" t="s">
        <v>34</v>
      </c>
      <c r="O78" s="2" t="s">
        <v>34</v>
      </c>
      <c r="P78" s="3">
        <v>42491</v>
      </c>
      <c r="Q78" s="3">
        <v>42582</v>
      </c>
      <c r="R78" s="2" t="s">
        <v>703</v>
      </c>
      <c r="S78" s="2" t="s">
        <v>35</v>
      </c>
    </row>
    <row r="79" spans="1:19" hidden="1" x14ac:dyDescent="0.25">
      <c r="A79" s="2" t="s">
        <v>1901</v>
      </c>
      <c r="B79" s="2" t="s">
        <v>31</v>
      </c>
      <c r="C79" s="2" t="s">
        <v>77</v>
      </c>
      <c r="D79" s="2" t="s">
        <v>704</v>
      </c>
      <c r="E79" s="2">
        <v>2131</v>
      </c>
      <c r="F79" s="2">
        <v>29.660933</v>
      </c>
      <c r="G79" s="2">
        <v>-84.891000000000005</v>
      </c>
      <c r="H79" s="2" t="s">
        <v>34</v>
      </c>
      <c r="I79" s="2" t="s">
        <v>46</v>
      </c>
      <c r="J79" s="2" t="s">
        <v>34</v>
      </c>
      <c r="K79" s="2" t="s">
        <v>34</v>
      </c>
      <c r="L79" s="2" t="s">
        <v>34</v>
      </c>
      <c r="M79" s="2" t="s">
        <v>34</v>
      </c>
      <c r="N79" s="2" t="s">
        <v>34</v>
      </c>
      <c r="O79" s="2" t="s">
        <v>34</v>
      </c>
      <c r="P79" s="3">
        <v>42491</v>
      </c>
      <c r="Q79" s="3">
        <v>42582</v>
      </c>
      <c r="R79" s="2" t="s">
        <v>705</v>
      </c>
      <c r="S79" s="2" t="s">
        <v>35</v>
      </c>
    </row>
    <row r="80" spans="1:19" hidden="1" x14ac:dyDescent="0.25">
      <c r="A80" s="2" t="s">
        <v>1902</v>
      </c>
      <c r="B80" s="2" t="s">
        <v>31</v>
      </c>
      <c r="C80" s="2" t="s">
        <v>77</v>
      </c>
      <c r="D80" s="2" t="s">
        <v>706</v>
      </c>
      <c r="E80" s="2">
        <v>2145</v>
      </c>
      <c r="F80" s="2">
        <v>29.65645</v>
      </c>
      <c r="G80" s="2">
        <v>-84.904083</v>
      </c>
      <c r="H80" s="2" t="s">
        <v>34</v>
      </c>
      <c r="I80" s="2" t="s">
        <v>46</v>
      </c>
      <c r="J80" s="2" t="s">
        <v>34</v>
      </c>
      <c r="K80" s="2" t="s">
        <v>34</v>
      </c>
      <c r="L80" s="2" t="s">
        <v>34</v>
      </c>
      <c r="M80" s="2" t="s">
        <v>34</v>
      </c>
      <c r="N80" s="2" t="s">
        <v>34</v>
      </c>
      <c r="O80" s="2" t="s">
        <v>34</v>
      </c>
      <c r="P80" s="3">
        <v>42491</v>
      </c>
      <c r="Q80" s="3">
        <v>42582</v>
      </c>
      <c r="R80" s="2" t="s">
        <v>707</v>
      </c>
      <c r="S80" s="2" t="s">
        <v>35</v>
      </c>
    </row>
    <row r="81" spans="1:19" hidden="1" x14ac:dyDescent="0.25">
      <c r="A81" s="2" t="s">
        <v>1903</v>
      </c>
      <c r="B81" s="2" t="s">
        <v>31</v>
      </c>
      <c r="C81" s="2" t="s">
        <v>77</v>
      </c>
      <c r="D81" s="2" t="s">
        <v>708</v>
      </c>
      <c r="E81" s="2">
        <v>20241</v>
      </c>
      <c r="F81" s="2">
        <v>29.673216</v>
      </c>
      <c r="G81" s="2">
        <v>-84.900565999999998</v>
      </c>
      <c r="H81" s="2" t="s">
        <v>34</v>
      </c>
      <c r="I81" s="2" t="s">
        <v>46</v>
      </c>
      <c r="J81" s="2" t="s">
        <v>34</v>
      </c>
      <c r="K81" s="2" t="s">
        <v>34</v>
      </c>
      <c r="L81" s="2" t="s">
        <v>34</v>
      </c>
      <c r="M81" s="2" t="s">
        <v>34</v>
      </c>
      <c r="N81" s="2" t="s">
        <v>34</v>
      </c>
      <c r="O81" s="2" t="s">
        <v>34</v>
      </c>
      <c r="P81" s="3">
        <v>42491</v>
      </c>
      <c r="Q81" s="3">
        <v>42582</v>
      </c>
      <c r="R81" s="2" t="s">
        <v>709</v>
      </c>
      <c r="S81" s="2" t="s">
        <v>35</v>
      </c>
    </row>
    <row r="82" spans="1:19" hidden="1" x14ac:dyDescent="0.25">
      <c r="A82" s="2" t="s">
        <v>1904</v>
      </c>
      <c r="B82" s="2" t="s">
        <v>31</v>
      </c>
      <c r="C82" s="2" t="s">
        <v>77</v>
      </c>
      <c r="D82" s="2" t="s">
        <v>710</v>
      </c>
      <c r="E82" s="2">
        <v>20242</v>
      </c>
      <c r="F82" s="2">
        <v>29.672332999999998</v>
      </c>
      <c r="G82" s="2">
        <v>-84.900816000000006</v>
      </c>
      <c r="H82" s="2" t="s">
        <v>34</v>
      </c>
      <c r="I82" s="2" t="s">
        <v>46</v>
      </c>
      <c r="J82" s="2" t="s">
        <v>34</v>
      </c>
      <c r="K82" s="2" t="s">
        <v>34</v>
      </c>
      <c r="L82" s="2" t="s">
        <v>34</v>
      </c>
      <c r="M82" s="2" t="s">
        <v>34</v>
      </c>
      <c r="N82" s="2" t="s">
        <v>34</v>
      </c>
      <c r="O82" s="2" t="s">
        <v>34</v>
      </c>
      <c r="P82" s="3">
        <v>42491</v>
      </c>
      <c r="Q82" s="3">
        <v>42582</v>
      </c>
      <c r="R82" s="2" t="s">
        <v>711</v>
      </c>
      <c r="S82" s="2" t="s">
        <v>35</v>
      </c>
    </row>
    <row r="83" spans="1:19" hidden="1" x14ac:dyDescent="0.25">
      <c r="A83" s="2" t="s">
        <v>1905</v>
      </c>
      <c r="B83" s="2" t="s">
        <v>31</v>
      </c>
      <c r="C83" s="2" t="s">
        <v>32</v>
      </c>
      <c r="D83" s="2" t="s">
        <v>712</v>
      </c>
      <c r="E83" s="2">
        <v>1</v>
      </c>
      <c r="F83" s="2">
        <v>29.686669999999999</v>
      </c>
      <c r="G83" s="2">
        <v>-84.880949999999999</v>
      </c>
      <c r="H83" s="2" t="s">
        <v>34</v>
      </c>
      <c r="I83" s="2" t="s">
        <v>34</v>
      </c>
      <c r="J83" s="2" t="s">
        <v>34</v>
      </c>
      <c r="K83" s="2" t="s">
        <v>34</v>
      </c>
      <c r="L83" s="2" t="s">
        <v>34</v>
      </c>
      <c r="M83" s="2" t="s">
        <v>34</v>
      </c>
      <c r="N83" s="2" t="s">
        <v>34</v>
      </c>
      <c r="O83" s="2" t="s">
        <v>34</v>
      </c>
      <c r="P83" s="3">
        <v>42156</v>
      </c>
      <c r="Q83" s="3">
        <v>43830</v>
      </c>
      <c r="R83" s="2" t="s">
        <v>713</v>
      </c>
      <c r="S83" s="2" t="s">
        <v>35</v>
      </c>
    </row>
    <row r="84" spans="1:19" hidden="1" x14ac:dyDescent="0.25">
      <c r="A84" s="2" t="s">
        <v>1906</v>
      </c>
      <c r="B84" s="2" t="s">
        <v>31</v>
      </c>
      <c r="C84" s="2" t="s">
        <v>32</v>
      </c>
      <c r="D84" s="2" t="s">
        <v>712</v>
      </c>
      <c r="E84" s="2">
        <v>2</v>
      </c>
      <c r="F84" s="2">
        <v>29.68768</v>
      </c>
      <c r="G84" s="2">
        <v>-84.881600000000006</v>
      </c>
      <c r="H84" s="2" t="s">
        <v>34</v>
      </c>
      <c r="I84" s="2" t="s">
        <v>34</v>
      </c>
      <c r="J84" s="2" t="s">
        <v>34</v>
      </c>
      <c r="K84" s="2" t="s">
        <v>34</v>
      </c>
      <c r="L84" s="2" t="s">
        <v>34</v>
      </c>
      <c r="M84" s="2" t="s">
        <v>34</v>
      </c>
      <c r="N84" s="2" t="s">
        <v>34</v>
      </c>
      <c r="O84" s="2" t="s">
        <v>34</v>
      </c>
      <c r="P84" s="3">
        <v>42156</v>
      </c>
      <c r="Q84" s="3">
        <v>43830</v>
      </c>
      <c r="R84" s="2" t="s">
        <v>714</v>
      </c>
      <c r="S84" s="2" t="s">
        <v>35</v>
      </c>
    </row>
    <row r="85" spans="1:19" hidden="1" x14ac:dyDescent="0.25">
      <c r="A85" s="2" t="s">
        <v>1907</v>
      </c>
      <c r="B85" s="2" t="s">
        <v>31</v>
      </c>
      <c r="C85" s="2" t="s">
        <v>32</v>
      </c>
      <c r="D85" s="2" t="s">
        <v>712</v>
      </c>
      <c r="E85" s="2">
        <v>3</v>
      </c>
      <c r="F85" s="2">
        <v>29.68873</v>
      </c>
      <c r="G85" s="2">
        <v>-84.882549999999995</v>
      </c>
      <c r="H85" s="2" t="s">
        <v>34</v>
      </c>
      <c r="I85" s="2" t="s">
        <v>34</v>
      </c>
      <c r="J85" s="2" t="s">
        <v>34</v>
      </c>
      <c r="K85" s="2" t="s">
        <v>34</v>
      </c>
      <c r="L85" s="2" t="s">
        <v>34</v>
      </c>
      <c r="M85" s="2" t="s">
        <v>34</v>
      </c>
      <c r="N85" s="2" t="s">
        <v>34</v>
      </c>
      <c r="O85" s="2" t="s">
        <v>34</v>
      </c>
      <c r="P85" s="3">
        <v>42156</v>
      </c>
      <c r="Q85" s="3">
        <v>43830</v>
      </c>
      <c r="R85" s="2" t="s">
        <v>715</v>
      </c>
      <c r="S85" s="2" t="s">
        <v>35</v>
      </c>
    </row>
    <row r="86" spans="1:19" hidden="1" x14ac:dyDescent="0.25">
      <c r="A86" s="2" t="s">
        <v>1908</v>
      </c>
      <c r="B86" s="2" t="s">
        <v>31</v>
      </c>
      <c r="C86" s="2" t="s">
        <v>32</v>
      </c>
      <c r="D86" s="2" t="s">
        <v>712</v>
      </c>
      <c r="E86" s="2">
        <v>4</v>
      </c>
      <c r="F86" s="2">
        <v>29.689730000000001</v>
      </c>
      <c r="G86" s="2">
        <v>-84.883430000000004</v>
      </c>
      <c r="H86" s="2" t="s">
        <v>34</v>
      </c>
      <c r="I86" s="2" t="s">
        <v>34</v>
      </c>
      <c r="J86" s="2" t="s">
        <v>34</v>
      </c>
      <c r="K86" s="2" t="s">
        <v>34</v>
      </c>
      <c r="L86" s="2" t="s">
        <v>34</v>
      </c>
      <c r="M86" s="2" t="s">
        <v>34</v>
      </c>
      <c r="N86" s="2" t="s">
        <v>34</v>
      </c>
      <c r="O86" s="2" t="s">
        <v>34</v>
      </c>
      <c r="P86" s="3">
        <v>42156</v>
      </c>
      <c r="Q86" s="3">
        <v>43830</v>
      </c>
      <c r="R86" s="2" t="s">
        <v>716</v>
      </c>
      <c r="S86" s="2" t="s">
        <v>35</v>
      </c>
    </row>
    <row r="87" spans="1:19" hidden="1" x14ac:dyDescent="0.25">
      <c r="A87" s="2" t="s">
        <v>1909</v>
      </c>
      <c r="B87" s="2" t="s">
        <v>31</v>
      </c>
      <c r="C87" s="2" t="s">
        <v>32</v>
      </c>
      <c r="D87" s="2" t="s">
        <v>712</v>
      </c>
      <c r="E87" s="2">
        <v>5</v>
      </c>
      <c r="F87" s="2">
        <v>29.69068</v>
      </c>
      <c r="G87" s="2">
        <v>-84.884550000000004</v>
      </c>
      <c r="H87" s="2" t="s">
        <v>34</v>
      </c>
      <c r="I87" s="2" t="s">
        <v>34</v>
      </c>
      <c r="J87" s="2" t="s">
        <v>34</v>
      </c>
      <c r="K87" s="2" t="s">
        <v>34</v>
      </c>
      <c r="L87" s="2" t="s">
        <v>34</v>
      </c>
      <c r="M87" s="2" t="s">
        <v>34</v>
      </c>
      <c r="N87" s="2" t="s">
        <v>34</v>
      </c>
      <c r="O87" s="2" t="s">
        <v>34</v>
      </c>
      <c r="P87" s="3">
        <v>42156</v>
      </c>
      <c r="Q87" s="3">
        <v>43830</v>
      </c>
      <c r="R87" s="2" t="s">
        <v>717</v>
      </c>
      <c r="S87" s="2" t="s">
        <v>35</v>
      </c>
    </row>
    <row r="88" spans="1:19" hidden="1" x14ac:dyDescent="0.25">
      <c r="A88" s="2" t="s">
        <v>1910</v>
      </c>
      <c r="B88" s="2" t="s">
        <v>31</v>
      </c>
      <c r="C88" s="2" t="s">
        <v>32</v>
      </c>
      <c r="D88" s="2" t="s">
        <v>718</v>
      </c>
      <c r="E88" s="2">
        <v>11</v>
      </c>
      <c r="F88" s="2">
        <v>29.723766000000001</v>
      </c>
      <c r="G88" s="2">
        <v>-84.881332999999998</v>
      </c>
      <c r="H88" s="2" t="s">
        <v>46</v>
      </c>
      <c r="I88" s="2" t="s">
        <v>46</v>
      </c>
      <c r="J88" s="2" t="s">
        <v>34</v>
      </c>
      <c r="K88" s="2" t="s">
        <v>34</v>
      </c>
      <c r="L88" s="2" t="s">
        <v>34</v>
      </c>
      <c r="M88" s="2" t="s">
        <v>34</v>
      </c>
      <c r="N88" s="2" t="s">
        <v>34</v>
      </c>
      <c r="O88" s="2" t="s">
        <v>34</v>
      </c>
      <c r="P88" s="3">
        <v>42005</v>
      </c>
      <c r="Q88" s="3">
        <v>42258</v>
      </c>
      <c r="R88" s="2" t="s">
        <v>719</v>
      </c>
      <c r="S88" s="2" t="s">
        <v>35</v>
      </c>
    </row>
    <row r="89" spans="1:19" hidden="1" x14ac:dyDescent="0.25">
      <c r="A89" s="2" t="s">
        <v>1911</v>
      </c>
      <c r="B89" s="2" t="s">
        <v>31</v>
      </c>
      <c r="C89" s="2" t="s">
        <v>32</v>
      </c>
      <c r="D89" s="2" t="s">
        <v>718</v>
      </c>
      <c r="E89" s="2">
        <v>11</v>
      </c>
      <c r="F89" s="2">
        <v>29.723766000000001</v>
      </c>
      <c r="G89" s="2">
        <v>-84.881332999999998</v>
      </c>
      <c r="H89" s="2" t="s">
        <v>46</v>
      </c>
      <c r="I89" s="2" t="s">
        <v>46</v>
      </c>
      <c r="J89" s="2" t="s">
        <v>34</v>
      </c>
      <c r="K89" s="2" t="s">
        <v>46</v>
      </c>
      <c r="L89" s="2" t="s">
        <v>34</v>
      </c>
      <c r="M89" s="2" t="s">
        <v>34</v>
      </c>
      <c r="N89" s="2" t="s">
        <v>34</v>
      </c>
      <c r="O89" s="2" t="s">
        <v>34</v>
      </c>
      <c r="P89" s="3">
        <v>42248</v>
      </c>
      <c r="Q89" s="3">
        <v>44075</v>
      </c>
      <c r="R89" s="2" t="s">
        <v>719</v>
      </c>
      <c r="S89" s="2" t="s">
        <v>35</v>
      </c>
    </row>
    <row r="90" spans="1:19" hidden="1" x14ac:dyDescent="0.25">
      <c r="A90" s="2" t="s">
        <v>1912</v>
      </c>
      <c r="B90" s="2" t="s">
        <v>31</v>
      </c>
      <c r="C90" s="2" t="s">
        <v>32</v>
      </c>
      <c r="D90" s="2" t="s">
        <v>718</v>
      </c>
      <c r="E90" s="2">
        <v>11</v>
      </c>
      <c r="F90" s="2">
        <v>29.715716</v>
      </c>
      <c r="G90" s="2">
        <v>-84.878466000000003</v>
      </c>
      <c r="H90" s="2" t="s">
        <v>46</v>
      </c>
      <c r="I90" s="2" t="s">
        <v>46</v>
      </c>
      <c r="J90" s="2" t="s">
        <v>34</v>
      </c>
      <c r="K90" s="2" t="s">
        <v>46</v>
      </c>
      <c r="L90" s="2" t="s">
        <v>34</v>
      </c>
      <c r="M90" s="2" t="s">
        <v>34</v>
      </c>
      <c r="N90" s="2" t="s">
        <v>34</v>
      </c>
      <c r="O90" s="2" t="s">
        <v>34</v>
      </c>
      <c r="P90" s="3">
        <v>42248</v>
      </c>
      <c r="Q90" s="3">
        <v>45382</v>
      </c>
      <c r="R90" s="2" t="s">
        <v>719</v>
      </c>
      <c r="S90" s="2" t="s">
        <v>35</v>
      </c>
    </row>
    <row r="91" spans="1:19" hidden="1" x14ac:dyDescent="0.25">
      <c r="A91" s="2" t="s">
        <v>1913</v>
      </c>
      <c r="B91" s="2" t="s">
        <v>31</v>
      </c>
      <c r="C91" s="2" t="s">
        <v>32</v>
      </c>
      <c r="D91" s="2" t="s">
        <v>720</v>
      </c>
      <c r="E91" s="2">
        <v>11</v>
      </c>
      <c r="F91" s="2">
        <v>29.711179999999999</v>
      </c>
      <c r="G91" s="2">
        <v>-84.877650000000003</v>
      </c>
      <c r="H91" s="2" t="s">
        <v>34</v>
      </c>
      <c r="I91" s="2" t="s">
        <v>34</v>
      </c>
      <c r="J91" s="2" t="s">
        <v>34</v>
      </c>
      <c r="K91" s="2" t="s">
        <v>34</v>
      </c>
      <c r="L91" s="2" t="s">
        <v>46</v>
      </c>
      <c r="M91" s="2" t="s">
        <v>34</v>
      </c>
      <c r="N91" s="2" t="s">
        <v>34</v>
      </c>
      <c r="O91" s="2" t="s">
        <v>34</v>
      </c>
      <c r="P91" s="3">
        <v>43466</v>
      </c>
      <c r="Q91" s="3">
        <v>44469</v>
      </c>
      <c r="R91" s="2" t="s">
        <v>721</v>
      </c>
      <c r="S91" s="2" t="s">
        <v>35</v>
      </c>
    </row>
    <row r="92" spans="1:19" hidden="1" x14ac:dyDescent="0.25">
      <c r="A92" s="2" t="s">
        <v>1914</v>
      </c>
      <c r="B92" s="2" t="s">
        <v>31</v>
      </c>
      <c r="C92" s="2" t="s">
        <v>32</v>
      </c>
      <c r="D92" s="2" t="s">
        <v>720</v>
      </c>
      <c r="E92" s="2">
        <v>11</v>
      </c>
      <c r="F92" s="2">
        <v>29.71208</v>
      </c>
      <c r="G92" s="2">
        <v>-84.877669999999995</v>
      </c>
      <c r="H92" s="2" t="s">
        <v>34</v>
      </c>
      <c r="I92" s="2" t="s">
        <v>34</v>
      </c>
      <c r="J92" s="2" t="s">
        <v>34</v>
      </c>
      <c r="K92" s="2" t="s">
        <v>34</v>
      </c>
      <c r="L92" s="2" t="s">
        <v>46</v>
      </c>
      <c r="M92" s="2" t="s">
        <v>34</v>
      </c>
      <c r="N92" s="2" t="s">
        <v>34</v>
      </c>
      <c r="O92" s="2" t="s">
        <v>34</v>
      </c>
      <c r="P92" s="3">
        <v>43466</v>
      </c>
      <c r="Q92" s="3">
        <v>44469</v>
      </c>
      <c r="R92" s="2" t="s">
        <v>721</v>
      </c>
      <c r="S92" s="2" t="s">
        <v>35</v>
      </c>
    </row>
    <row r="93" spans="1:19" hidden="1" x14ac:dyDescent="0.25">
      <c r="A93" s="2" t="s">
        <v>1915</v>
      </c>
      <c r="B93" s="2" t="s">
        <v>31</v>
      </c>
      <c r="C93" s="2" t="s">
        <v>32</v>
      </c>
      <c r="D93" s="2" t="s">
        <v>720</v>
      </c>
      <c r="E93" s="2">
        <v>11</v>
      </c>
      <c r="F93" s="2">
        <v>29.71002</v>
      </c>
      <c r="G93" s="2">
        <v>-84.877979999999994</v>
      </c>
      <c r="H93" s="2" t="s">
        <v>34</v>
      </c>
      <c r="I93" s="2" t="s">
        <v>34</v>
      </c>
      <c r="J93" s="2" t="s">
        <v>34</v>
      </c>
      <c r="K93" s="2" t="s">
        <v>34</v>
      </c>
      <c r="L93" s="2" t="s">
        <v>46</v>
      </c>
      <c r="M93" s="2" t="s">
        <v>34</v>
      </c>
      <c r="N93" s="2" t="s">
        <v>34</v>
      </c>
      <c r="O93" s="2" t="s">
        <v>34</v>
      </c>
      <c r="P93" s="3">
        <v>43466</v>
      </c>
      <c r="Q93" s="3">
        <v>44469</v>
      </c>
      <c r="R93" s="2" t="s">
        <v>721</v>
      </c>
      <c r="S93" s="2" t="s">
        <v>35</v>
      </c>
    </row>
    <row r="94" spans="1:19" hidden="1" x14ac:dyDescent="0.25">
      <c r="A94" s="2" t="s">
        <v>1916</v>
      </c>
      <c r="B94" s="2" t="s">
        <v>31</v>
      </c>
      <c r="C94" s="2" t="s">
        <v>32</v>
      </c>
      <c r="D94" s="2" t="s">
        <v>720</v>
      </c>
      <c r="E94" s="2">
        <v>11</v>
      </c>
      <c r="F94" s="2">
        <v>29.718520000000002</v>
      </c>
      <c r="G94" s="2">
        <v>-84.881129999999999</v>
      </c>
      <c r="H94" s="2" t="s">
        <v>34</v>
      </c>
      <c r="I94" s="2" t="s">
        <v>34</v>
      </c>
      <c r="J94" s="2" t="s">
        <v>34</v>
      </c>
      <c r="K94" s="2" t="s">
        <v>34</v>
      </c>
      <c r="L94" s="2" t="s">
        <v>46</v>
      </c>
      <c r="M94" s="2" t="s">
        <v>34</v>
      </c>
      <c r="N94" s="2" t="s">
        <v>34</v>
      </c>
      <c r="O94" s="2" t="s">
        <v>34</v>
      </c>
      <c r="P94" s="3">
        <v>43466</v>
      </c>
      <c r="Q94" s="3">
        <v>44926</v>
      </c>
      <c r="R94" s="2" t="s">
        <v>721</v>
      </c>
      <c r="S94" s="2" t="s">
        <v>35</v>
      </c>
    </row>
    <row r="95" spans="1:19" hidden="1" x14ac:dyDescent="0.25">
      <c r="A95" s="2" t="s">
        <v>1917</v>
      </c>
      <c r="B95" s="2" t="s">
        <v>31</v>
      </c>
      <c r="C95" s="2" t="s">
        <v>32</v>
      </c>
      <c r="D95" s="2" t="s">
        <v>722</v>
      </c>
      <c r="E95" s="2">
        <v>12</v>
      </c>
      <c r="F95" s="2">
        <v>29.676715999999999</v>
      </c>
      <c r="G95" s="2">
        <v>-84.862799999999993</v>
      </c>
      <c r="H95" s="2" t="s">
        <v>46</v>
      </c>
      <c r="I95" s="2" t="s">
        <v>46</v>
      </c>
      <c r="J95" s="2" t="s">
        <v>46</v>
      </c>
      <c r="K95" s="2" t="s">
        <v>46</v>
      </c>
      <c r="L95" s="2" t="s">
        <v>34</v>
      </c>
      <c r="M95" s="2" t="s">
        <v>34</v>
      </c>
      <c r="N95" s="2" t="s">
        <v>34</v>
      </c>
      <c r="O95" s="2" t="s">
        <v>34</v>
      </c>
      <c r="P95" s="3">
        <v>42005</v>
      </c>
      <c r="Q95" s="3">
        <v>45382</v>
      </c>
      <c r="R95" s="2" t="s">
        <v>723</v>
      </c>
      <c r="S95" s="2" t="s">
        <v>35</v>
      </c>
    </row>
    <row r="96" spans="1:19" hidden="1" x14ac:dyDescent="0.25">
      <c r="A96" s="2" t="s">
        <v>1918</v>
      </c>
      <c r="B96" s="2" t="s">
        <v>31</v>
      </c>
      <c r="C96" s="2" t="s">
        <v>32</v>
      </c>
      <c r="D96" s="2" t="s">
        <v>724</v>
      </c>
      <c r="E96" s="2">
        <v>12</v>
      </c>
      <c r="F96" s="2">
        <v>29.678965999999999</v>
      </c>
      <c r="G96" s="2">
        <v>-84.858949999999993</v>
      </c>
      <c r="H96" s="2" t="s">
        <v>34</v>
      </c>
      <c r="I96" s="2" t="s">
        <v>34</v>
      </c>
      <c r="J96" s="2" t="s">
        <v>46</v>
      </c>
      <c r="K96" s="2" t="s">
        <v>34</v>
      </c>
      <c r="L96" s="2" t="s">
        <v>34</v>
      </c>
      <c r="M96" s="2" t="s">
        <v>34</v>
      </c>
      <c r="N96" s="2" t="s">
        <v>34</v>
      </c>
      <c r="O96" s="2" t="s">
        <v>34</v>
      </c>
      <c r="P96" s="3">
        <v>43101</v>
      </c>
      <c r="Q96" s="3">
        <v>44773</v>
      </c>
      <c r="R96" s="2" t="s">
        <v>725</v>
      </c>
      <c r="S96" s="2" t="s">
        <v>35</v>
      </c>
    </row>
    <row r="97" spans="1:19" hidden="1" x14ac:dyDescent="0.25">
      <c r="A97" s="2" t="s">
        <v>1919</v>
      </c>
      <c r="B97" s="2" t="s">
        <v>31</v>
      </c>
      <c r="C97" s="2" t="s">
        <v>32</v>
      </c>
      <c r="D97" s="2" t="s">
        <v>726</v>
      </c>
      <c r="E97" s="2">
        <v>13</v>
      </c>
      <c r="F97" s="2">
        <v>29.702332999999999</v>
      </c>
      <c r="G97" s="2">
        <v>-84.836665999999994</v>
      </c>
      <c r="H97" s="2" t="s">
        <v>46</v>
      </c>
      <c r="I97" s="2" t="s">
        <v>46</v>
      </c>
      <c r="J97" s="2" t="s">
        <v>46</v>
      </c>
      <c r="K97" s="2" t="s">
        <v>46</v>
      </c>
      <c r="L97" s="2" t="s">
        <v>34</v>
      </c>
      <c r="M97" s="2" t="s">
        <v>34</v>
      </c>
      <c r="N97" s="2" t="s">
        <v>34</v>
      </c>
      <c r="O97" s="2" t="s">
        <v>34</v>
      </c>
      <c r="P97" s="3">
        <v>42005</v>
      </c>
      <c r="Q97" s="3">
        <v>45382</v>
      </c>
      <c r="R97" s="2" t="s">
        <v>727</v>
      </c>
      <c r="S97" s="2" t="s">
        <v>35</v>
      </c>
    </row>
    <row r="98" spans="1:19" hidden="1" x14ac:dyDescent="0.25">
      <c r="A98" s="2" t="s">
        <v>1920</v>
      </c>
      <c r="B98" s="2" t="s">
        <v>31</v>
      </c>
      <c r="C98" s="2" t="s">
        <v>32</v>
      </c>
      <c r="D98" s="2" t="s">
        <v>728</v>
      </c>
      <c r="E98" s="2">
        <v>13</v>
      </c>
      <c r="F98" s="2">
        <v>29.702449999999999</v>
      </c>
      <c r="G98" s="2">
        <v>-84.836633000000006</v>
      </c>
      <c r="H98" s="2" t="s">
        <v>34</v>
      </c>
      <c r="I98" s="2" t="s">
        <v>34</v>
      </c>
      <c r="J98" s="2" t="s">
        <v>46</v>
      </c>
      <c r="K98" s="2" t="s">
        <v>34</v>
      </c>
      <c r="L98" s="2" t="s">
        <v>34</v>
      </c>
      <c r="M98" s="2" t="s">
        <v>34</v>
      </c>
      <c r="N98" s="2" t="s">
        <v>34</v>
      </c>
      <c r="O98" s="2" t="s">
        <v>34</v>
      </c>
      <c r="P98" s="3">
        <v>43101</v>
      </c>
      <c r="Q98" s="3">
        <v>44773</v>
      </c>
      <c r="R98" s="2" t="s">
        <v>729</v>
      </c>
      <c r="S98" s="2" t="s">
        <v>35</v>
      </c>
    </row>
    <row r="99" spans="1:19" hidden="1" x14ac:dyDescent="0.25">
      <c r="A99" s="2" t="s">
        <v>1921</v>
      </c>
      <c r="B99" s="2" t="s">
        <v>31</v>
      </c>
      <c r="C99" s="2" t="s">
        <v>32</v>
      </c>
      <c r="D99" s="2" t="s">
        <v>730</v>
      </c>
      <c r="E99" s="2">
        <v>14</v>
      </c>
      <c r="F99" s="2">
        <v>29.738716</v>
      </c>
      <c r="G99" s="2">
        <v>-84.836600000000004</v>
      </c>
      <c r="H99" s="2" t="s">
        <v>46</v>
      </c>
      <c r="I99" s="2" t="s">
        <v>46</v>
      </c>
      <c r="J99" s="2" t="s">
        <v>34</v>
      </c>
      <c r="K99" s="2" t="s">
        <v>46</v>
      </c>
      <c r="L99" s="2" t="s">
        <v>34</v>
      </c>
      <c r="M99" s="2" t="s">
        <v>34</v>
      </c>
      <c r="N99" s="2" t="s">
        <v>34</v>
      </c>
      <c r="O99" s="2" t="s">
        <v>34</v>
      </c>
      <c r="P99" s="3">
        <v>42005</v>
      </c>
      <c r="Q99" s="3">
        <v>73050</v>
      </c>
      <c r="R99" s="2" t="s">
        <v>731</v>
      </c>
      <c r="S99" s="2" t="s">
        <v>35</v>
      </c>
    </row>
    <row r="100" spans="1:19" hidden="1" x14ac:dyDescent="0.25">
      <c r="A100" s="2" t="s">
        <v>1922</v>
      </c>
      <c r="B100" s="2" t="s">
        <v>31</v>
      </c>
      <c r="C100" s="2" t="s">
        <v>32</v>
      </c>
      <c r="D100" s="2" t="s">
        <v>732</v>
      </c>
      <c r="E100" s="2">
        <v>15</v>
      </c>
      <c r="F100" s="2">
        <v>29.736799999999999</v>
      </c>
      <c r="G100" s="2">
        <v>-84.813632999999996</v>
      </c>
      <c r="H100" s="2" t="s">
        <v>46</v>
      </c>
      <c r="I100" s="2" t="s">
        <v>46</v>
      </c>
      <c r="J100" s="2" t="s">
        <v>34</v>
      </c>
      <c r="K100" s="2" t="s">
        <v>34</v>
      </c>
      <c r="L100" s="2" t="s">
        <v>34</v>
      </c>
      <c r="M100" s="2" t="s">
        <v>34</v>
      </c>
      <c r="N100" s="2" t="s">
        <v>34</v>
      </c>
      <c r="O100" s="2" t="s">
        <v>34</v>
      </c>
      <c r="P100" s="3">
        <v>42005</v>
      </c>
      <c r="Q100" s="3">
        <v>42258</v>
      </c>
      <c r="R100" s="2" t="s">
        <v>733</v>
      </c>
      <c r="S100" s="2" t="s">
        <v>35</v>
      </c>
    </row>
    <row r="101" spans="1:19" hidden="1" x14ac:dyDescent="0.25">
      <c r="A101" s="2" t="s">
        <v>1923</v>
      </c>
      <c r="B101" s="2" t="s">
        <v>31</v>
      </c>
      <c r="C101" s="2" t="s">
        <v>32</v>
      </c>
      <c r="D101" s="2" t="s">
        <v>734</v>
      </c>
      <c r="E101" s="2">
        <v>15</v>
      </c>
      <c r="F101" s="2">
        <v>29.687550000000002</v>
      </c>
      <c r="G101" s="2">
        <v>-84.880683000000005</v>
      </c>
      <c r="H101" s="2" t="s">
        <v>46</v>
      </c>
      <c r="I101" s="2" t="s">
        <v>46</v>
      </c>
      <c r="J101" s="2" t="s">
        <v>34</v>
      </c>
      <c r="K101" s="2" t="s">
        <v>46</v>
      </c>
      <c r="L101" s="2" t="s">
        <v>34</v>
      </c>
      <c r="M101" s="2" t="s">
        <v>34</v>
      </c>
      <c r="N101" s="2" t="s">
        <v>34</v>
      </c>
      <c r="O101" s="2" t="s">
        <v>34</v>
      </c>
      <c r="P101" s="3">
        <v>42248</v>
      </c>
      <c r="Q101" s="3">
        <v>73050</v>
      </c>
      <c r="R101" s="2" t="s">
        <v>735</v>
      </c>
      <c r="S101" s="2" t="s">
        <v>35</v>
      </c>
    </row>
    <row r="102" spans="1:19" hidden="1" x14ac:dyDescent="0.25">
      <c r="A102" s="2" t="s">
        <v>1924</v>
      </c>
      <c r="B102" s="2" t="s">
        <v>31</v>
      </c>
      <c r="C102" s="2" t="s">
        <v>32</v>
      </c>
      <c r="D102" s="2" t="s">
        <v>736</v>
      </c>
      <c r="E102" s="2">
        <v>15</v>
      </c>
      <c r="F102" s="2">
        <v>29.690449999999998</v>
      </c>
      <c r="G102" s="2">
        <v>-84.884529999999998</v>
      </c>
      <c r="H102" s="2" t="s">
        <v>34</v>
      </c>
      <c r="I102" s="2" t="s">
        <v>34</v>
      </c>
      <c r="J102" s="2" t="s">
        <v>34</v>
      </c>
      <c r="K102" s="2" t="s">
        <v>34</v>
      </c>
      <c r="L102" s="2" t="s">
        <v>46</v>
      </c>
      <c r="M102" s="2" t="s">
        <v>34</v>
      </c>
      <c r="N102" s="2" t="s">
        <v>34</v>
      </c>
      <c r="O102" s="2" t="s">
        <v>34</v>
      </c>
      <c r="P102" s="3">
        <v>43466</v>
      </c>
      <c r="Q102" s="3">
        <v>73050</v>
      </c>
      <c r="R102" s="2" t="s">
        <v>737</v>
      </c>
      <c r="S102" s="2" t="s">
        <v>35</v>
      </c>
    </row>
    <row r="103" spans="1:19" hidden="1" x14ac:dyDescent="0.25">
      <c r="A103" s="2" t="s">
        <v>1925</v>
      </c>
      <c r="B103" s="2" t="s">
        <v>31</v>
      </c>
      <c r="C103" s="2" t="s">
        <v>32</v>
      </c>
      <c r="D103" s="2" t="s">
        <v>736</v>
      </c>
      <c r="E103" s="2">
        <v>15</v>
      </c>
      <c r="F103" s="2">
        <v>29.68967</v>
      </c>
      <c r="G103" s="2">
        <v>-84.883579999999995</v>
      </c>
      <c r="H103" s="2" t="s">
        <v>34</v>
      </c>
      <c r="I103" s="2" t="s">
        <v>34</v>
      </c>
      <c r="J103" s="2" t="s">
        <v>34</v>
      </c>
      <c r="K103" s="2" t="s">
        <v>34</v>
      </c>
      <c r="L103" s="2" t="s">
        <v>46</v>
      </c>
      <c r="M103" s="2" t="s">
        <v>34</v>
      </c>
      <c r="N103" s="2" t="s">
        <v>34</v>
      </c>
      <c r="O103" s="2" t="s">
        <v>34</v>
      </c>
      <c r="P103" s="3">
        <v>43466</v>
      </c>
      <c r="Q103" s="3">
        <v>73050</v>
      </c>
      <c r="R103" s="2" t="s">
        <v>738</v>
      </c>
      <c r="S103" s="2" t="s">
        <v>35</v>
      </c>
    </row>
    <row r="104" spans="1:19" hidden="1" x14ac:dyDescent="0.25">
      <c r="A104" s="2" t="s">
        <v>1926</v>
      </c>
      <c r="B104" s="2" t="s">
        <v>31</v>
      </c>
      <c r="C104" s="2" t="s">
        <v>32</v>
      </c>
      <c r="D104" s="2" t="s">
        <v>739</v>
      </c>
      <c r="E104" s="2">
        <v>16</v>
      </c>
      <c r="F104" s="2">
        <v>29.682449999999999</v>
      </c>
      <c r="G104" s="2">
        <v>-84.873249999999999</v>
      </c>
      <c r="H104" s="2" t="s">
        <v>34</v>
      </c>
      <c r="I104" s="2" t="s">
        <v>46</v>
      </c>
      <c r="J104" s="2" t="s">
        <v>34</v>
      </c>
      <c r="K104" s="2" t="s">
        <v>34</v>
      </c>
      <c r="L104" s="2" t="s">
        <v>34</v>
      </c>
      <c r="M104" s="2" t="s">
        <v>34</v>
      </c>
      <c r="N104" s="2" t="s">
        <v>34</v>
      </c>
      <c r="O104" s="2" t="s">
        <v>34</v>
      </c>
      <c r="P104" s="3">
        <v>42064</v>
      </c>
      <c r="Q104" s="3">
        <v>44104</v>
      </c>
      <c r="R104" s="2" t="s">
        <v>740</v>
      </c>
      <c r="S104" s="2" t="s">
        <v>35</v>
      </c>
    </row>
    <row r="105" spans="1:19" hidden="1" x14ac:dyDescent="0.25">
      <c r="A105" s="2" t="s">
        <v>1927</v>
      </c>
      <c r="B105" s="2" t="s">
        <v>31</v>
      </c>
      <c r="C105" s="2" t="s">
        <v>32</v>
      </c>
      <c r="D105" s="2" t="s">
        <v>741</v>
      </c>
      <c r="E105" s="2">
        <v>2179</v>
      </c>
      <c r="F105" s="2">
        <v>29.726233000000001</v>
      </c>
      <c r="G105" s="2">
        <v>-84.880250000000004</v>
      </c>
      <c r="H105" s="2" t="s">
        <v>34</v>
      </c>
      <c r="I105" s="2" t="s">
        <v>46</v>
      </c>
      <c r="J105" s="2" t="s">
        <v>34</v>
      </c>
      <c r="K105" s="2" t="s">
        <v>34</v>
      </c>
      <c r="L105" s="2" t="s">
        <v>34</v>
      </c>
      <c r="M105" s="2" t="s">
        <v>34</v>
      </c>
      <c r="N105" s="2" t="s">
        <v>34</v>
      </c>
      <c r="O105" s="2" t="s">
        <v>34</v>
      </c>
      <c r="P105" s="3">
        <v>42491</v>
      </c>
      <c r="Q105" s="3">
        <v>42582</v>
      </c>
      <c r="R105" s="2" t="s">
        <v>742</v>
      </c>
      <c r="S105" s="2" t="s">
        <v>35</v>
      </c>
    </row>
    <row r="106" spans="1:19" hidden="1" x14ac:dyDescent="0.25">
      <c r="A106" s="2" t="s">
        <v>1928</v>
      </c>
      <c r="B106" s="2" t="s">
        <v>31</v>
      </c>
      <c r="C106" s="2" t="s">
        <v>32</v>
      </c>
      <c r="D106" s="2" t="s">
        <v>743</v>
      </c>
      <c r="E106" s="2">
        <v>2199</v>
      </c>
      <c r="F106" s="2">
        <v>29.7226</v>
      </c>
      <c r="G106" s="2">
        <v>-84.885350000000003</v>
      </c>
      <c r="H106" s="2" t="s">
        <v>34</v>
      </c>
      <c r="I106" s="2" t="s">
        <v>46</v>
      </c>
      <c r="J106" s="2" t="s">
        <v>34</v>
      </c>
      <c r="K106" s="2" t="s">
        <v>34</v>
      </c>
      <c r="L106" s="2" t="s">
        <v>34</v>
      </c>
      <c r="M106" s="2" t="s">
        <v>34</v>
      </c>
      <c r="N106" s="2" t="s">
        <v>34</v>
      </c>
      <c r="O106" s="2" t="s">
        <v>34</v>
      </c>
      <c r="P106" s="3">
        <v>42491</v>
      </c>
      <c r="Q106" s="3">
        <v>42582</v>
      </c>
      <c r="R106" s="2" t="s">
        <v>744</v>
      </c>
      <c r="S106" s="2" t="s">
        <v>35</v>
      </c>
    </row>
    <row r="107" spans="1:19" hidden="1" x14ac:dyDescent="0.25">
      <c r="A107" s="2" t="s">
        <v>1929</v>
      </c>
      <c r="B107" s="2" t="s">
        <v>31</v>
      </c>
      <c r="C107" s="2" t="s">
        <v>32</v>
      </c>
      <c r="D107" s="2" t="s">
        <v>745</v>
      </c>
      <c r="E107" s="2">
        <v>2307</v>
      </c>
      <c r="F107" s="2">
        <v>29.710750000000001</v>
      </c>
      <c r="G107" s="2">
        <v>-84.883733000000007</v>
      </c>
      <c r="H107" s="2" t="s">
        <v>34</v>
      </c>
      <c r="I107" s="2" t="s">
        <v>46</v>
      </c>
      <c r="J107" s="2" t="s">
        <v>34</v>
      </c>
      <c r="K107" s="2" t="s">
        <v>34</v>
      </c>
      <c r="L107" s="2" t="s">
        <v>34</v>
      </c>
      <c r="M107" s="2" t="s">
        <v>34</v>
      </c>
      <c r="N107" s="2" t="s">
        <v>34</v>
      </c>
      <c r="O107" s="2" t="s">
        <v>34</v>
      </c>
      <c r="P107" s="3">
        <v>42491</v>
      </c>
      <c r="Q107" s="3">
        <v>42582</v>
      </c>
      <c r="R107" s="2" t="s">
        <v>746</v>
      </c>
      <c r="S107" s="2" t="s">
        <v>35</v>
      </c>
    </row>
    <row r="108" spans="1:19" hidden="1" x14ac:dyDescent="0.25">
      <c r="A108" s="2" t="s">
        <v>1930</v>
      </c>
      <c r="B108" s="2" t="s">
        <v>31</v>
      </c>
      <c r="C108" s="2" t="s">
        <v>32</v>
      </c>
      <c r="D108" s="2" t="s">
        <v>747</v>
      </c>
      <c r="E108" s="2">
        <v>2320</v>
      </c>
      <c r="F108" s="2">
        <v>29.7089</v>
      </c>
      <c r="G108" s="2">
        <v>-84.885366000000005</v>
      </c>
      <c r="H108" s="2" t="s">
        <v>34</v>
      </c>
      <c r="I108" s="2" t="s">
        <v>46</v>
      </c>
      <c r="J108" s="2" t="s">
        <v>34</v>
      </c>
      <c r="K108" s="2" t="s">
        <v>34</v>
      </c>
      <c r="L108" s="2" t="s">
        <v>34</v>
      </c>
      <c r="M108" s="2" t="s">
        <v>34</v>
      </c>
      <c r="N108" s="2" t="s">
        <v>34</v>
      </c>
      <c r="O108" s="2" t="s">
        <v>34</v>
      </c>
      <c r="P108" s="3">
        <v>42491</v>
      </c>
      <c r="Q108" s="3">
        <v>42582</v>
      </c>
      <c r="R108" s="2" t="s">
        <v>748</v>
      </c>
      <c r="S108" s="2" t="s">
        <v>35</v>
      </c>
    </row>
    <row r="109" spans="1:19" hidden="1" x14ac:dyDescent="0.25">
      <c r="A109" s="2" t="s">
        <v>1931</v>
      </c>
      <c r="B109" s="2" t="s">
        <v>31</v>
      </c>
      <c r="C109" s="2" t="s">
        <v>32</v>
      </c>
      <c r="D109" s="2" t="s">
        <v>749</v>
      </c>
      <c r="E109" s="2">
        <v>2366</v>
      </c>
      <c r="F109" s="2">
        <v>29.705165999999998</v>
      </c>
      <c r="G109" s="2">
        <v>-84.883049999999997</v>
      </c>
      <c r="H109" s="2" t="s">
        <v>34</v>
      </c>
      <c r="I109" s="2" t="s">
        <v>46</v>
      </c>
      <c r="J109" s="2" t="s">
        <v>34</v>
      </c>
      <c r="K109" s="2" t="s">
        <v>34</v>
      </c>
      <c r="L109" s="2" t="s">
        <v>34</v>
      </c>
      <c r="M109" s="2" t="s">
        <v>34</v>
      </c>
      <c r="N109" s="2" t="s">
        <v>34</v>
      </c>
      <c r="O109" s="2" t="s">
        <v>34</v>
      </c>
      <c r="P109" s="3">
        <v>42491</v>
      </c>
      <c r="Q109" s="3">
        <v>42582</v>
      </c>
      <c r="R109" s="2" t="s">
        <v>750</v>
      </c>
      <c r="S109" s="2" t="s">
        <v>35</v>
      </c>
    </row>
    <row r="110" spans="1:19" hidden="1" x14ac:dyDescent="0.25">
      <c r="A110" s="2" t="s">
        <v>1932</v>
      </c>
      <c r="B110" s="2" t="s">
        <v>31</v>
      </c>
      <c r="C110" s="2" t="s">
        <v>32</v>
      </c>
      <c r="D110" s="2" t="s">
        <v>751</v>
      </c>
      <c r="E110" s="2">
        <v>2390</v>
      </c>
      <c r="F110" s="2">
        <v>29.702632999999999</v>
      </c>
      <c r="G110" s="2">
        <v>-84.869215999999994</v>
      </c>
      <c r="H110" s="2" t="s">
        <v>34</v>
      </c>
      <c r="I110" s="2" t="s">
        <v>46</v>
      </c>
      <c r="J110" s="2" t="s">
        <v>34</v>
      </c>
      <c r="K110" s="2" t="s">
        <v>34</v>
      </c>
      <c r="L110" s="2" t="s">
        <v>34</v>
      </c>
      <c r="M110" s="2" t="s">
        <v>34</v>
      </c>
      <c r="N110" s="2" t="s">
        <v>34</v>
      </c>
      <c r="O110" s="2" t="s">
        <v>34</v>
      </c>
      <c r="P110" s="3">
        <v>42491</v>
      </c>
      <c r="Q110" s="3">
        <v>42582</v>
      </c>
      <c r="R110" s="2" t="s">
        <v>752</v>
      </c>
      <c r="S110" s="2" t="s">
        <v>35</v>
      </c>
    </row>
    <row r="111" spans="1:19" hidden="1" x14ac:dyDescent="0.25">
      <c r="A111" s="2" t="s">
        <v>1933</v>
      </c>
      <c r="B111" s="2" t="s">
        <v>31</v>
      </c>
      <c r="C111" s="2" t="s">
        <v>32</v>
      </c>
      <c r="D111" s="2" t="s">
        <v>753</v>
      </c>
      <c r="E111" s="2">
        <v>2416</v>
      </c>
      <c r="F111" s="2">
        <v>29.6998</v>
      </c>
      <c r="G111" s="2">
        <v>-84.887732999999997</v>
      </c>
      <c r="H111" s="2" t="s">
        <v>34</v>
      </c>
      <c r="I111" s="2" t="s">
        <v>46</v>
      </c>
      <c r="J111" s="2" t="s">
        <v>34</v>
      </c>
      <c r="K111" s="2" t="s">
        <v>34</v>
      </c>
      <c r="L111" s="2" t="s">
        <v>34</v>
      </c>
      <c r="M111" s="2" t="s">
        <v>34</v>
      </c>
      <c r="N111" s="2" t="s">
        <v>34</v>
      </c>
      <c r="O111" s="2" t="s">
        <v>34</v>
      </c>
      <c r="P111" s="3">
        <v>42491</v>
      </c>
      <c r="Q111" s="3">
        <v>42582</v>
      </c>
      <c r="R111" s="2" t="s">
        <v>754</v>
      </c>
      <c r="S111" s="2" t="s">
        <v>35</v>
      </c>
    </row>
    <row r="112" spans="1:19" hidden="1" x14ac:dyDescent="0.25">
      <c r="A112" s="2" t="s">
        <v>1934</v>
      </c>
      <c r="B112" s="2" t="s">
        <v>31</v>
      </c>
      <c r="C112" s="2" t="s">
        <v>32</v>
      </c>
      <c r="D112" s="2" t="s">
        <v>755</v>
      </c>
      <c r="E112" s="2">
        <v>2432</v>
      </c>
      <c r="F112" s="2">
        <v>29.7014</v>
      </c>
      <c r="G112" s="2">
        <v>-84.860966000000005</v>
      </c>
      <c r="H112" s="2" t="s">
        <v>34</v>
      </c>
      <c r="I112" s="2" t="s">
        <v>46</v>
      </c>
      <c r="J112" s="2" t="s">
        <v>34</v>
      </c>
      <c r="K112" s="2" t="s">
        <v>34</v>
      </c>
      <c r="L112" s="2" t="s">
        <v>34</v>
      </c>
      <c r="M112" s="2" t="s">
        <v>34</v>
      </c>
      <c r="N112" s="2" t="s">
        <v>34</v>
      </c>
      <c r="O112" s="2" t="s">
        <v>34</v>
      </c>
      <c r="P112" s="3">
        <v>42491</v>
      </c>
      <c r="Q112" s="3">
        <v>42582</v>
      </c>
      <c r="R112" s="2" t="s">
        <v>756</v>
      </c>
      <c r="S112" s="2" t="s">
        <v>35</v>
      </c>
    </row>
    <row r="113" spans="1:19" hidden="1" x14ac:dyDescent="0.25">
      <c r="A113" s="2" t="s">
        <v>1935</v>
      </c>
      <c r="B113" s="2" t="s">
        <v>31</v>
      </c>
      <c r="C113" s="2" t="s">
        <v>32</v>
      </c>
      <c r="D113" s="2" t="s">
        <v>757</v>
      </c>
      <c r="E113" s="2">
        <v>2479</v>
      </c>
      <c r="F113" s="2">
        <v>29.694633</v>
      </c>
      <c r="G113" s="2">
        <v>-84.886066</v>
      </c>
      <c r="H113" s="2" t="s">
        <v>34</v>
      </c>
      <c r="I113" s="2" t="s">
        <v>46</v>
      </c>
      <c r="J113" s="2" t="s">
        <v>34</v>
      </c>
      <c r="K113" s="2" t="s">
        <v>34</v>
      </c>
      <c r="L113" s="2" t="s">
        <v>34</v>
      </c>
      <c r="M113" s="2" t="s">
        <v>34</v>
      </c>
      <c r="N113" s="2" t="s">
        <v>34</v>
      </c>
      <c r="O113" s="2" t="s">
        <v>34</v>
      </c>
      <c r="P113" s="3">
        <v>42491</v>
      </c>
      <c r="Q113" s="3">
        <v>42582</v>
      </c>
      <c r="R113" s="2" t="s">
        <v>758</v>
      </c>
      <c r="S113" s="2" t="s">
        <v>35</v>
      </c>
    </row>
    <row r="114" spans="1:19" hidden="1" x14ac:dyDescent="0.25">
      <c r="A114" s="2" t="s">
        <v>1936</v>
      </c>
      <c r="B114" s="2" t="s">
        <v>31</v>
      </c>
      <c r="C114" s="2" t="s">
        <v>32</v>
      </c>
      <c r="D114" s="2" t="s">
        <v>759</v>
      </c>
      <c r="E114" s="2">
        <v>2576</v>
      </c>
      <c r="F114" s="2">
        <v>29.686416000000001</v>
      </c>
      <c r="G114" s="2">
        <v>-84.874049999999997</v>
      </c>
      <c r="H114" s="2" t="s">
        <v>34</v>
      </c>
      <c r="I114" s="2" t="s">
        <v>46</v>
      </c>
      <c r="J114" s="2" t="s">
        <v>34</v>
      </c>
      <c r="K114" s="2" t="s">
        <v>34</v>
      </c>
      <c r="L114" s="2" t="s">
        <v>34</v>
      </c>
      <c r="M114" s="2" t="s">
        <v>34</v>
      </c>
      <c r="N114" s="2" t="s">
        <v>34</v>
      </c>
      <c r="O114" s="2" t="s">
        <v>34</v>
      </c>
      <c r="P114" s="3">
        <v>42491</v>
      </c>
      <c r="Q114" s="3">
        <v>42582</v>
      </c>
      <c r="R114" s="2" t="s">
        <v>760</v>
      </c>
      <c r="S114" s="2" t="s">
        <v>35</v>
      </c>
    </row>
    <row r="115" spans="1:19" hidden="1" x14ac:dyDescent="0.25">
      <c r="A115" s="2" t="s">
        <v>1937</v>
      </c>
      <c r="B115" s="2" t="s">
        <v>31</v>
      </c>
      <c r="C115" s="2" t="s">
        <v>32</v>
      </c>
      <c r="D115" s="2" t="s">
        <v>761</v>
      </c>
      <c r="E115" s="2">
        <v>2630</v>
      </c>
      <c r="F115" s="2">
        <v>29.681432999999998</v>
      </c>
      <c r="G115" s="2">
        <v>-84.858016000000006</v>
      </c>
      <c r="H115" s="2" t="s">
        <v>34</v>
      </c>
      <c r="I115" s="2" t="s">
        <v>46</v>
      </c>
      <c r="J115" s="2" t="s">
        <v>34</v>
      </c>
      <c r="K115" s="2" t="s">
        <v>34</v>
      </c>
      <c r="L115" s="2" t="s">
        <v>34</v>
      </c>
      <c r="M115" s="2" t="s">
        <v>34</v>
      </c>
      <c r="N115" s="2" t="s">
        <v>34</v>
      </c>
      <c r="O115" s="2" t="s">
        <v>34</v>
      </c>
      <c r="P115" s="3">
        <v>42491</v>
      </c>
      <c r="Q115" s="3">
        <v>42582</v>
      </c>
      <c r="R115" s="2" t="s">
        <v>762</v>
      </c>
      <c r="S115" s="2" t="s">
        <v>35</v>
      </c>
    </row>
    <row r="116" spans="1:19" hidden="1" x14ac:dyDescent="0.25">
      <c r="A116" s="2" t="s">
        <v>1938</v>
      </c>
      <c r="B116" s="2" t="s">
        <v>31</v>
      </c>
      <c r="C116" s="2" t="s">
        <v>32</v>
      </c>
      <c r="D116" s="2" t="s">
        <v>763</v>
      </c>
      <c r="E116" s="2">
        <v>2660</v>
      </c>
      <c r="F116" s="2">
        <v>29.67625</v>
      </c>
      <c r="G116" s="2">
        <v>-84.864716000000001</v>
      </c>
      <c r="H116" s="2" t="s">
        <v>34</v>
      </c>
      <c r="I116" s="2" t="s">
        <v>46</v>
      </c>
      <c r="J116" s="2" t="s">
        <v>34</v>
      </c>
      <c r="K116" s="2" t="s">
        <v>34</v>
      </c>
      <c r="L116" s="2" t="s">
        <v>34</v>
      </c>
      <c r="M116" s="2" t="s">
        <v>34</v>
      </c>
      <c r="N116" s="2" t="s">
        <v>34</v>
      </c>
      <c r="O116" s="2" t="s">
        <v>34</v>
      </c>
      <c r="P116" s="3">
        <v>42491</v>
      </c>
      <c r="Q116" s="3">
        <v>42582</v>
      </c>
      <c r="R116" s="2" t="s">
        <v>764</v>
      </c>
      <c r="S116" s="2" t="s">
        <v>35</v>
      </c>
    </row>
    <row r="117" spans="1:19" hidden="1" x14ac:dyDescent="0.25">
      <c r="A117" s="2" t="s">
        <v>1939</v>
      </c>
      <c r="B117" s="2" t="s">
        <v>31</v>
      </c>
      <c r="C117" s="2" t="s">
        <v>32</v>
      </c>
      <c r="D117" s="2" t="s">
        <v>765</v>
      </c>
      <c r="E117" s="2">
        <v>2670</v>
      </c>
      <c r="F117" s="2">
        <v>29.674499999999998</v>
      </c>
      <c r="G117" s="2">
        <v>-84.862250000000003</v>
      </c>
      <c r="H117" s="2" t="s">
        <v>34</v>
      </c>
      <c r="I117" s="2" t="s">
        <v>46</v>
      </c>
      <c r="J117" s="2" t="s">
        <v>34</v>
      </c>
      <c r="K117" s="2" t="s">
        <v>34</v>
      </c>
      <c r="L117" s="2" t="s">
        <v>34</v>
      </c>
      <c r="M117" s="2" t="s">
        <v>34</v>
      </c>
      <c r="N117" s="2" t="s">
        <v>34</v>
      </c>
      <c r="O117" s="2" t="s">
        <v>34</v>
      </c>
      <c r="P117" s="3">
        <v>42491</v>
      </c>
      <c r="Q117" s="3">
        <v>42582</v>
      </c>
      <c r="R117" s="2" t="s">
        <v>766</v>
      </c>
      <c r="S117" s="2" t="s">
        <v>35</v>
      </c>
    </row>
    <row r="118" spans="1:19" hidden="1" x14ac:dyDescent="0.25">
      <c r="A118" s="2" t="s">
        <v>1940</v>
      </c>
      <c r="B118" s="2" t="s">
        <v>31</v>
      </c>
      <c r="C118" s="2" t="s">
        <v>32</v>
      </c>
      <c r="D118" s="2" t="s">
        <v>767</v>
      </c>
      <c r="E118" s="2">
        <v>2703</v>
      </c>
      <c r="F118" s="2">
        <v>29.755082999999999</v>
      </c>
      <c r="G118" s="2">
        <v>-84.826999999999998</v>
      </c>
      <c r="H118" s="2" t="s">
        <v>34</v>
      </c>
      <c r="I118" s="2" t="s">
        <v>46</v>
      </c>
      <c r="J118" s="2" t="s">
        <v>34</v>
      </c>
      <c r="K118" s="2" t="s">
        <v>34</v>
      </c>
      <c r="L118" s="2" t="s">
        <v>34</v>
      </c>
      <c r="M118" s="2" t="s">
        <v>34</v>
      </c>
      <c r="N118" s="2" t="s">
        <v>34</v>
      </c>
      <c r="O118" s="2" t="s">
        <v>34</v>
      </c>
      <c r="P118" s="3">
        <v>42491</v>
      </c>
      <c r="Q118" s="3">
        <v>42582</v>
      </c>
      <c r="R118" s="2" t="s">
        <v>768</v>
      </c>
      <c r="S118" s="2" t="s">
        <v>35</v>
      </c>
    </row>
    <row r="119" spans="1:19" hidden="1" x14ac:dyDescent="0.25">
      <c r="A119" s="2" t="s">
        <v>1941</v>
      </c>
      <c r="B119" s="2" t="s">
        <v>31</v>
      </c>
      <c r="C119" s="2" t="s">
        <v>32</v>
      </c>
      <c r="D119" s="2" t="s">
        <v>769</v>
      </c>
      <c r="E119" s="2">
        <v>2723</v>
      </c>
      <c r="F119" s="2">
        <v>29.743950000000002</v>
      </c>
      <c r="G119" s="2">
        <v>-84.843050000000005</v>
      </c>
      <c r="H119" s="2" t="s">
        <v>34</v>
      </c>
      <c r="I119" s="2" t="s">
        <v>46</v>
      </c>
      <c r="J119" s="2" t="s">
        <v>34</v>
      </c>
      <c r="K119" s="2" t="s">
        <v>34</v>
      </c>
      <c r="L119" s="2" t="s">
        <v>34</v>
      </c>
      <c r="M119" s="2" t="s">
        <v>34</v>
      </c>
      <c r="N119" s="2" t="s">
        <v>34</v>
      </c>
      <c r="O119" s="2" t="s">
        <v>34</v>
      </c>
      <c r="P119" s="3">
        <v>42491</v>
      </c>
      <c r="Q119" s="3">
        <v>42582</v>
      </c>
      <c r="R119" s="2" t="s">
        <v>770</v>
      </c>
      <c r="S119" s="2" t="s">
        <v>35</v>
      </c>
    </row>
    <row r="120" spans="1:19" hidden="1" x14ac:dyDescent="0.25">
      <c r="A120" s="2" t="s">
        <v>1942</v>
      </c>
      <c r="B120" s="2" t="s">
        <v>31</v>
      </c>
      <c r="C120" s="2" t="s">
        <v>32</v>
      </c>
      <c r="D120" s="2" t="s">
        <v>771</v>
      </c>
      <c r="E120" s="2">
        <v>2729</v>
      </c>
      <c r="F120" s="2">
        <v>29.7424</v>
      </c>
      <c r="G120" s="2">
        <v>-84.845600000000005</v>
      </c>
      <c r="H120" s="2" t="s">
        <v>34</v>
      </c>
      <c r="I120" s="2" t="s">
        <v>46</v>
      </c>
      <c r="J120" s="2" t="s">
        <v>34</v>
      </c>
      <c r="K120" s="2" t="s">
        <v>34</v>
      </c>
      <c r="L120" s="2" t="s">
        <v>34</v>
      </c>
      <c r="M120" s="2" t="s">
        <v>34</v>
      </c>
      <c r="N120" s="2" t="s">
        <v>34</v>
      </c>
      <c r="O120" s="2" t="s">
        <v>34</v>
      </c>
      <c r="P120" s="3">
        <v>42491</v>
      </c>
      <c r="Q120" s="3">
        <v>42582</v>
      </c>
      <c r="R120" s="2" t="s">
        <v>772</v>
      </c>
      <c r="S120" s="2" t="s">
        <v>35</v>
      </c>
    </row>
    <row r="121" spans="1:19" hidden="1" x14ac:dyDescent="0.25">
      <c r="A121" s="2" t="s">
        <v>1943</v>
      </c>
      <c r="B121" s="2" t="s">
        <v>31</v>
      </c>
      <c r="C121" s="2" t="s">
        <v>32</v>
      </c>
      <c r="D121" s="2" t="s">
        <v>773</v>
      </c>
      <c r="E121" s="2">
        <v>2789</v>
      </c>
      <c r="F121" s="2">
        <v>29.730333000000002</v>
      </c>
      <c r="G121" s="2">
        <v>-84.826015999999996</v>
      </c>
      <c r="H121" s="2" t="s">
        <v>34</v>
      </c>
      <c r="I121" s="2" t="s">
        <v>46</v>
      </c>
      <c r="J121" s="2" t="s">
        <v>34</v>
      </c>
      <c r="K121" s="2" t="s">
        <v>34</v>
      </c>
      <c r="L121" s="2" t="s">
        <v>34</v>
      </c>
      <c r="M121" s="2" t="s">
        <v>34</v>
      </c>
      <c r="N121" s="2" t="s">
        <v>34</v>
      </c>
      <c r="O121" s="2" t="s">
        <v>34</v>
      </c>
      <c r="P121" s="3">
        <v>42491</v>
      </c>
      <c r="Q121" s="3">
        <v>42582</v>
      </c>
      <c r="R121" s="2" t="s">
        <v>774</v>
      </c>
      <c r="S121" s="2" t="s">
        <v>35</v>
      </c>
    </row>
    <row r="122" spans="1:19" hidden="1" x14ac:dyDescent="0.25">
      <c r="A122" s="2" t="s">
        <v>1944</v>
      </c>
      <c r="B122" s="2" t="s">
        <v>31</v>
      </c>
      <c r="C122" s="2" t="s">
        <v>32</v>
      </c>
      <c r="D122" s="2" t="s">
        <v>775</v>
      </c>
      <c r="E122" s="2">
        <v>2793</v>
      </c>
      <c r="F122" s="2">
        <v>29.728933000000001</v>
      </c>
      <c r="G122" s="2">
        <v>-84.830699999999993</v>
      </c>
      <c r="H122" s="2" t="s">
        <v>34</v>
      </c>
      <c r="I122" s="2" t="s">
        <v>46</v>
      </c>
      <c r="J122" s="2" t="s">
        <v>34</v>
      </c>
      <c r="K122" s="2" t="s">
        <v>34</v>
      </c>
      <c r="L122" s="2" t="s">
        <v>34</v>
      </c>
      <c r="M122" s="2" t="s">
        <v>34</v>
      </c>
      <c r="N122" s="2" t="s">
        <v>34</v>
      </c>
      <c r="O122" s="2" t="s">
        <v>34</v>
      </c>
      <c r="P122" s="3">
        <v>42491</v>
      </c>
      <c r="Q122" s="3">
        <v>42582</v>
      </c>
      <c r="R122" s="2" t="s">
        <v>776</v>
      </c>
      <c r="S122" s="2" t="s">
        <v>35</v>
      </c>
    </row>
    <row r="123" spans="1:19" hidden="1" x14ac:dyDescent="0.25">
      <c r="A123" s="2" t="s">
        <v>1945</v>
      </c>
      <c r="B123" s="2" t="s">
        <v>31</v>
      </c>
      <c r="C123" s="2" t="s">
        <v>32</v>
      </c>
      <c r="D123" s="2" t="s">
        <v>777</v>
      </c>
      <c r="E123" s="2">
        <v>2798</v>
      </c>
      <c r="F123" s="2">
        <v>29.729616</v>
      </c>
      <c r="G123" s="2">
        <v>-84.822132999999994</v>
      </c>
      <c r="H123" s="2" t="s">
        <v>34</v>
      </c>
      <c r="I123" s="2" t="s">
        <v>46</v>
      </c>
      <c r="J123" s="2" t="s">
        <v>34</v>
      </c>
      <c r="K123" s="2" t="s">
        <v>34</v>
      </c>
      <c r="L123" s="2" t="s">
        <v>34</v>
      </c>
      <c r="M123" s="2" t="s">
        <v>34</v>
      </c>
      <c r="N123" s="2" t="s">
        <v>34</v>
      </c>
      <c r="O123" s="2" t="s">
        <v>34</v>
      </c>
      <c r="P123" s="3">
        <v>42491</v>
      </c>
      <c r="Q123" s="3">
        <v>42582</v>
      </c>
      <c r="R123" s="2" t="s">
        <v>778</v>
      </c>
      <c r="S123" s="2" t="s">
        <v>35</v>
      </c>
    </row>
    <row r="124" spans="1:19" hidden="1" x14ac:dyDescent="0.25">
      <c r="A124" s="2" t="s">
        <v>1946</v>
      </c>
      <c r="B124" s="2" t="s">
        <v>31</v>
      </c>
      <c r="C124" s="2" t="s">
        <v>32</v>
      </c>
      <c r="D124" s="2" t="s">
        <v>779</v>
      </c>
      <c r="E124" s="2">
        <v>2842</v>
      </c>
      <c r="F124" s="2">
        <v>29.713633000000002</v>
      </c>
      <c r="G124" s="2">
        <v>-84.848782999999997</v>
      </c>
      <c r="H124" s="2" t="s">
        <v>34</v>
      </c>
      <c r="I124" s="2" t="s">
        <v>46</v>
      </c>
      <c r="J124" s="2" t="s">
        <v>34</v>
      </c>
      <c r="K124" s="2" t="s">
        <v>34</v>
      </c>
      <c r="L124" s="2" t="s">
        <v>34</v>
      </c>
      <c r="M124" s="2" t="s">
        <v>34</v>
      </c>
      <c r="N124" s="2" t="s">
        <v>34</v>
      </c>
      <c r="O124" s="2" t="s">
        <v>34</v>
      </c>
      <c r="P124" s="3">
        <v>42491</v>
      </c>
      <c r="Q124" s="3">
        <v>42582</v>
      </c>
      <c r="R124" s="2" t="s">
        <v>780</v>
      </c>
      <c r="S124" s="2" t="s">
        <v>35</v>
      </c>
    </row>
    <row r="125" spans="1:19" hidden="1" x14ac:dyDescent="0.25">
      <c r="A125" s="2" t="s">
        <v>1947</v>
      </c>
      <c r="B125" s="2" t="s">
        <v>31</v>
      </c>
      <c r="C125" s="2" t="s">
        <v>32</v>
      </c>
      <c r="D125" s="2" t="s">
        <v>781</v>
      </c>
      <c r="E125" s="2">
        <v>2861</v>
      </c>
      <c r="F125" s="2">
        <v>29.709365999999999</v>
      </c>
      <c r="G125" s="2">
        <v>-84.849100000000007</v>
      </c>
      <c r="H125" s="2" t="s">
        <v>34</v>
      </c>
      <c r="I125" s="2" t="s">
        <v>46</v>
      </c>
      <c r="J125" s="2" t="s">
        <v>34</v>
      </c>
      <c r="K125" s="2" t="s">
        <v>34</v>
      </c>
      <c r="L125" s="2" t="s">
        <v>34</v>
      </c>
      <c r="M125" s="2" t="s">
        <v>34</v>
      </c>
      <c r="N125" s="2" t="s">
        <v>34</v>
      </c>
      <c r="O125" s="2" t="s">
        <v>34</v>
      </c>
      <c r="P125" s="3">
        <v>42491</v>
      </c>
      <c r="Q125" s="3">
        <v>42582</v>
      </c>
      <c r="R125" s="2" t="s">
        <v>782</v>
      </c>
      <c r="S125" s="2" t="s">
        <v>35</v>
      </c>
    </row>
    <row r="126" spans="1:19" hidden="1" x14ac:dyDescent="0.25">
      <c r="A126" s="2" t="s">
        <v>1948</v>
      </c>
      <c r="B126" s="2" t="s">
        <v>31</v>
      </c>
      <c r="C126" s="2" t="s">
        <v>32</v>
      </c>
      <c r="D126" s="2" t="s">
        <v>783</v>
      </c>
      <c r="E126" s="2">
        <v>2888</v>
      </c>
      <c r="F126" s="2">
        <v>29.705316</v>
      </c>
      <c r="G126" s="2">
        <v>-84.844233000000003</v>
      </c>
      <c r="H126" s="2" t="s">
        <v>34</v>
      </c>
      <c r="I126" s="2" t="s">
        <v>46</v>
      </c>
      <c r="J126" s="2" t="s">
        <v>34</v>
      </c>
      <c r="K126" s="2" t="s">
        <v>34</v>
      </c>
      <c r="L126" s="2" t="s">
        <v>34</v>
      </c>
      <c r="M126" s="2" t="s">
        <v>34</v>
      </c>
      <c r="N126" s="2" t="s">
        <v>34</v>
      </c>
      <c r="O126" s="2" t="s">
        <v>34</v>
      </c>
      <c r="P126" s="3">
        <v>42491</v>
      </c>
      <c r="Q126" s="3">
        <v>42582</v>
      </c>
      <c r="R126" s="2" t="s">
        <v>784</v>
      </c>
      <c r="S126" s="2" t="s">
        <v>35</v>
      </c>
    </row>
    <row r="127" spans="1:19" hidden="1" x14ac:dyDescent="0.25">
      <c r="A127" s="2" t="s">
        <v>1949</v>
      </c>
      <c r="B127" s="2" t="s">
        <v>31</v>
      </c>
      <c r="C127" s="2" t="s">
        <v>32</v>
      </c>
      <c r="D127" s="2" t="s">
        <v>785</v>
      </c>
      <c r="E127" s="2">
        <v>2894</v>
      </c>
      <c r="F127" s="2">
        <v>29.703533</v>
      </c>
      <c r="G127" s="2">
        <v>-84.832666000000003</v>
      </c>
      <c r="H127" s="2" t="s">
        <v>34</v>
      </c>
      <c r="I127" s="2" t="s">
        <v>46</v>
      </c>
      <c r="J127" s="2" t="s">
        <v>34</v>
      </c>
      <c r="K127" s="2" t="s">
        <v>34</v>
      </c>
      <c r="L127" s="2" t="s">
        <v>34</v>
      </c>
      <c r="M127" s="2" t="s">
        <v>34</v>
      </c>
      <c r="N127" s="2" t="s">
        <v>34</v>
      </c>
      <c r="O127" s="2" t="s">
        <v>34</v>
      </c>
      <c r="P127" s="3">
        <v>42491</v>
      </c>
      <c r="Q127" s="3">
        <v>42582</v>
      </c>
      <c r="R127" s="2" t="s">
        <v>786</v>
      </c>
      <c r="S127" s="2" t="s">
        <v>35</v>
      </c>
    </row>
    <row r="128" spans="1:19" hidden="1" x14ac:dyDescent="0.25">
      <c r="A128" s="2" t="s">
        <v>1950</v>
      </c>
      <c r="B128" s="2" t="s">
        <v>31</v>
      </c>
      <c r="C128" s="2" t="s">
        <v>32</v>
      </c>
      <c r="D128" s="2" t="s">
        <v>787</v>
      </c>
      <c r="E128" s="2">
        <v>2902</v>
      </c>
      <c r="F128" s="2">
        <v>29.704816000000001</v>
      </c>
      <c r="G128" s="2">
        <v>-84.847399999999993</v>
      </c>
      <c r="H128" s="2" t="s">
        <v>34</v>
      </c>
      <c r="I128" s="2" t="s">
        <v>46</v>
      </c>
      <c r="J128" s="2" t="s">
        <v>34</v>
      </c>
      <c r="K128" s="2" t="s">
        <v>34</v>
      </c>
      <c r="L128" s="2" t="s">
        <v>34</v>
      </c>
      <c r="M128" s="2" t="s">
        <v>34</v>
      </c>
      <c r="N128" s="2" t="s">
        <v>34</v>
      </c>
      <c r="O128" s="2" t="s">
        <v>34</v>
      </c>
      <c r="P128" s="3">
        <v>42491</v>
      </c>
      <c r="Q128" s="3">
        <v>42582</v>
      </c>
      <c r="R128" s="2" t="s">
        <v>788</v>
      </c>
      <c r="S128" s="2" t="s">
        <v>35</v>
      </c>
    </row>
    <row r="129" spans="1:19" hidden="1" x14ac:dyDescent="0.25">
      <c r="A129" s="2" t="s">
        <v>1951</v>
      </c>
      <c r="B129" s="2" t="s">
        <v>31</v>
      </c>
      <c r="C129" s="2" t="s">
        <v>32</v>
      </c>
      <c r="D129" s="2" t="s">
        <v>789</v>
      </c>
      <c r="E129" s="2">
        <v>2910</v>
      </c>
      <c r="F129" s="2">
        <v>29.703033000000001</v>
      </c>
      <c r="G129" s="2">
        <v>-84.838233000000002</v>
      </c>
      <c r="H129" s="2" t="s">
        <v>34</v>
      </c>
      <c r="I129" s="2" t="s">
        <v>46</v>
      </c>
      <c r="J129" s="2" t="s">
        <v>34</v>
      </c>
      <c r="K129" s="2" t="s">
        <v>34</v>
      </c>
      <c r="L129" s="2" t="s">
        <v>34</v>
      </c>
      <c r="M129" s="2" t="s">
        <v>34</v>
      </c>
      <c r="N129" s="2" t="s">
        <v>34</v>
      </c>
      <c r="O129" s="2" t="s">
        <v>34</v>
      </c>
      <c r="P129" s="3">
        <v>42491</v>
      </c>
      <c r="Q129" s="3">
        <v>42582</v>
      </c>
      <c r="R129" s="2" t="s">
        <v>790</v>
      </c>
      <c r="S129" s="2" t="s">
        <v>35</v>
      </c>
    </row>
    <row r="130" spans="1:19" hidden="1" x14ac:dyDescent="0.25">
      <c r="A130" s="2" t="s">
        <v>1952</v>
      </c>
      <c r="B130" s="2" t="s">
        <v>31</v>
      </c>
      <c r="C130" s="2" t="s">
        <v>32</v>
      </c>
      <c r="D130" s="2" t="s">
        <v>791</v>
      </c>
      <c r="E130" s="2">
        <v>2911</v>
      </c>
      <c r="F130" s="2">
        <v>29.703733</v>
      </c>
      <c r="G130" s="2">
        <v>-84.835800000000006</v>
      </c>
      <c r="H130" s="2" t="s">
        <v>34</v>
      </c>
      <c r="I130" s="2" t="s">
        <v>46</v>
      </c>
      <c r="J130" s="2" t="s">
        <v>34</v>
      </c>
      <c r="K130" s="2" t="s">
        <v>34</v>
      </c>
      <c r="L130" s="2" t="s">
        <v>34</v>
      </c>
      <c r="M130" s="2" t="s">
        <v>34</v>
      </c>
      <c r="N130" s="2" t="s">
        <v>34</v>
      </c>
      <c r="O130" s="2" t="s">
        <v>34</v>
      </c>
      <c r="P130" s="3">
        <v>42491</v>
      </c>
      <c r="Q130" s="3">
        <v>42582</v>
      </c>
      <c r="R130" s="2" t="s">
        <v>792</v>
      </c>
      <c r="S130" s="2" t="s">
        <v>35</v>
      </c>
    </row>
    <row r="131" spans="1:19" hidden="1" x14ac:dyDescent="0.25">
      <c r="A131" s="2" t="s">
        <v>1953</v>
      </c>
      <c r="B131" s="2" t="s">
        <v>31</v>
      </c>
      <c r="C131" s="2" t="s">
        <v>32</v>
      </c>
      <c r="D131" s="2" t="s">
        <v>793</v>
      </c>
      <c r="E131" s="2">
        <v>2926</v>
      </c>
      <c r="F131" s="2">
        <v>29.702266000000002</v>
      </c>
      <c r="G131" s="2">
        <v>-84.849232999999998</v>
      </c>
      <c r="H131" s="2" t="s">
        <v>34</v>
      </c>
      <c r="I131" s="2" t="s">
        <v>46</v>
      </c>
      <c r="J131" s="2" t="s">
        <v>34</v>
      </c>
      <c r="K131" s="2" t="s">
        <v>34</v>
      </c>
      <c r="L131" s="2" t="s">
        <v>34</v>
      </c>
      <c r="M131" s="2" t="s">
        <v>34</v>
      </c>
      <c r="N131" s="2" t="s">
        <v>34</v>
      </c>
      <c r="O131" s="2" t="s">
        <v>34</v>
      </c>
      <c r="P131" s="3">
        <v>42491</v>
      </c>
      <c r="Q131" s="3">
        <v>42582</v>
      </c>
      <c r="R131" s="2" t="s">
        <v>794</v>
      </c>
      <c r="S131" s="2" t="s">
        <v>35</v>
      </c>
    </row>
    <row r="132" spans="1:19" hidden="1" x14ac:dyDescent="0.25">
      <c r="A132" s="2" t="s">
        <v>1954</v>
      </c>
      <c r="B132" s="2" t="s">
        <v>31</v>
      </c>
      <c r="C132" s="2" t="s">
        <v>32</v>
      </c>
      <c r="D132" s="2" t="s">
        <v>795</v>
      </c>
      <c r="E132" s="2">
        <v>2938</v>
      </c>
      <c r="F132" s="2">
        <v>29.702133</v>
      </c>
      <c r="G132" s="2">
        <v>-84.829365999999993</v>
      </c>
      <c r="H132" s="2" t="s">
        <v>34</v>
      </c>
      <c r="I132" s="2" t="s">
        <v>46</v>
      </c>
      <c r="J132" s="2" t="s">
        <v>34</v>
      </c>
      <c r="K132" s="2" t="s">
        <v>34</v>
      </c>
      <c r="L132" s="2" t="s">
        <v>34</v>
      </c>
      <c r="M132" s="2" t="s">
        <v>34</v>
      </c>
      <c r="N132" s="2" t="s">
        <v>34</v>
      </c>
      <c r="O132" s="2" t="s">
        <v>34</v>
      </c>
      <c r="P132" s="3">
        <v>42491</v>
      </c>
      <c r="Q132" s="3">
        <v>42582</v>
      </c>
      <c r="R132" s="2" t="s">
        <v>796</v>
      </c>
      <c r="S132" s="2" t="s">
        <v>35</v>
      </c>
    </row>
    <row r="133" spans="1:19" hidden="1" x14ac:dyDescent="0.25">
      <c r="A133" s="2" t="s">
        <v>1955</v>
      </c>
      <c r="B133" s="2" t="s">
        <v>31</v>
      </c>
      <c r="C133" s="2" t="s">
        <v>32</v>
      </c>
      <c r="D133" s="2" t="s">
        <v>797</v>
      </c>
      <c r="E133" s="2">
        <v>2957</v>
      </c>
      <c r="F133" s="2">
        <v>29.701650000000001</v>
      </c>
      <c r="G133" s="2">
        <v>-84.832915999999997</v>
      </c>
      <c r="H133" s="2" t="s">
        <v>34</v>
      </c>
      <c r="I133" s="2" t="s">
        <v>46</v>
      </c>
      <c r="J133" s="2" t="s">
        <v>34</v>
      </c>
      <c r="K133" s="2" t="s">
        <v>34</v>
      </c>
      <c r="L133" s="2" t="s">
        <v>34</v>
      </c>
      <c r="M133" s="2" t="s">
        <v>34</v>
      </c>
      <c r="N133" s="2" t="s">
        <v>34</v>
      </c>
      <c r="O133" s="2" t="s">
        <v>34</v>
      </c>
      <c r="P133" s="3">
        <v>42491</v>
      </c>
      <c r="Q133" s="3">
        <v>42582</v>
      </c>
      <c r="R133" s="2" t="s">
        <v>798</v>
      </c>
      <c r="S133" s="2" t="s">
        <v>35</v>
      </c>
    </row>
    <row r="134" spans="1:19" hidden="1" x14ac:dyDescent="0.25">
      <c r="A134" s="2" t="s">
        <v>1956</v>
      </c>
      <c r="B134" s="2" t="s">
        <v>31</v>
      </c>
      <c r="C134" s="2" t="s">
        <v>32</v>
      </c>
      <c r="D134" s="2" t="s">
        <v>799</v>
      </c>
      <c r="E134" s="2">
        <v>2960</v>
      </c>
      <c r="F134" s="2">
        <v>29.701415999999998</v>
      </c>
      <c r="G134" s="2">
        <v>-84.827682999999993</v>
      </c>
      <c r="H134" s="2" t="s">
        <v>34</v>
      </c>
      <c r="I134" s="2" t="s">
        <v>46</v>
      </c>
      <c r="J134" s="2" t="s">
        <v>34</v>
      </c>
      <c r="K134" s="2" t="s">
        <v>34</v>
      </c>
      <c r="L134" s="2" t="s">
        <v>34</v>
      </c>
      <c r="M134" s="2" t="s">
        <v>34</v>
      </c>
      <c r="N134" s="2" t="s">
        <v>34</v>
      </c>
      <c r="O134" s="2" t="s">
        <v>34</v>
      </c>
      <c r="P134" s="3">
        <v>42491</v>
      </c>
      <c r="Q134" s="3">
        <v>42582</v>
      </c>
      <c r="R134" s="2" t="s">
        <v>800</v>
      </c>
      <c r="S134" s="2" t="s">
        <v>35</v>
      </c>
    </row>
    <row r="135" spans="1:19" hidden="1" x14ac:dyDescent="0.25">
      <c r="A135" s="2" t="s">
        <v>1957</v>
      </c>
      <c r="B135" s="2" t="s">
        <v>31</v>
      </c>
      <c r="C135" s="2" t="s">
        <v>32</v>
      </c>
      <c r="D135" s="2" t="s">
        <v>801</v>
      </c>
      <c r="E135" s="2">
        <v>3004</v>
      </c>
      <c r="F135" s="2">
        <v>29.70035</v>
      </c>
      <c r="G135" s="2">
        <v>-84.812882999999999</v>
      </c>
      <c r="H135" s="2" t="s">
        <v>34</v>
      </c>
      <c r="I135" s="2" t="s">
        <v>46</v>
      </c>
      <c r="J135" s="2" t="s">
        <v>34</v>
      </c>
      <c r="K135" s="2" t="s">
        <v>34</v>
      </c>
      <c r="L135" s="2" t="s">
        <v>34</v>
      </c>
      <c r="M135" s="2" t="s">
        <v>34</v>
      </c>
      <c r="N135" s="2" t="s">
        <v>34</v>
      </c>
      <c r="O135" s="2" t="s">
        <v>34</v>
      </c>
      <c r="P135" s="3">
        <v>42491</v>
      </c>
      <c r="Q135" s="3">
        <v>42582</v>
      </c>
      <c r="R135" s="2" t="s">
        <v>802</v>
      </c>
      <c r="S135" s="2" t="s">
        <v>35</v>
      </c>
    </row>
    <row r="136" spans="1:19" hidden="1" x14ac:dyDescent="0.25">
      <c r="A136" s="2" t="s">
        <v>1958</v>
      </c>
      <c r="B136" s="2" t="s">
        <v>31</v>
      </c>
      <c r="C136" s="2" t="s">
        <v>32</v>
      </c>
      <c r="D136" s="2" t="s">
        <v>803</v>
      </c>
      <c r="E136" s="2">
        <v>3010</v>
      </c>
      <c r="F136" s="2">
        <v>29.695450000000001</v>
      </c>
      <c r="G136" s="2">
        <v>-84.811982999999998</v>
      </c>
      <c r="H136" s="2" t="s">
        <v>34</v>
      </c>
      <c r="I136" s="2" t="s">
        <v>46</v>
      </c>
      <c r="J136" s="2" t="s">
        <v>34</v>
      </c>
      <c r="K136" s="2" t="s">
        <v>34</v>
      </c>
      <c r="L136" s="2" t="s">
        <v>34</v>
      </c>
      <c r="M136" s="2" t="s">
        <v>34</v>
      </c>
      <c r="N136" s="2" t="s">
        <v>34</v>
      </c>
      <c r="O136" s="2" t="s">
        <v>34</v>
      </c>
      <c r="P136" s="3">
        <v>42491</v>
      </c>
      <c r="Q136" s="3">
        <v>42582</v>
      </c>
      <c r="R136" s="2" t="s">
        <v>804</v>
      </c>
      <c r="S136" s="2" t="s">
        <v>35</v>
      </c>
    </row>
    <row r="137" spans="1:19" hidden="1" x14ac:dyDescent="0.25">
      <c r="A137" s="2" t="s">
        <v>1959</v>
      </c>
      <c r="B137" s="2" t="s">
        <v>31</v>
      </c>
      <c r="C137" s="2" t="s">
        <v>32</v>
      </c>
      <c r="D137" s="2" t="s">
        <v>805</v>
      </c>
      <c r="E137" s="2">
        <v>3071</v>
      </c>
      <c r="F137" s="2">
        <v>29.673515999999999</v>
      </c>
      <c r="G137" s="2">
        <v>-84.855316000000002</v>
      </c>
      <c r="H137" s="2" t="s">
        <v>34</v>
      </c>
      <c r="I137" s="2" t="s">
        <v>46</v>
      </c>
      <c r="J137" s="2" t="s">
        <v>34</v>
      </c>
      <c r="K137" s="2" t="s">
        <v>34</v>
      </c>
      <c r="L137" s="2" t="s">
        <v>34</v>
      </c>
      <c r="M137" s="2" t="s">
        <v>34</v>
      </c>
      <c r="N137" s="2" t="s">
        <v>34</v>
      </c>
      <c r="O137" s="2" t="s">
        <v>34</v>
      </c>
      <c r="P137" s="3">
        <v>42491</v>
      </c>
      <c r="Q137" s="3">
        <v>42582</v>
      </c>
      <c r="R137" s="2" t="s">
        <v>806</v>
      </c>
      <c r="S137" s="2" t="s">
        <v>35</v>
      </c>
    </row>
    <row r="138" spans="1:19" hidden="1" x14ac:dyDescent="0.25">
      <c r="A138" s="2" t="s">
        <v>1960</v>
      </c>
      <c r="B138" s="2" t="s">
        <v>31</v>
      </c>
      <c r="C138" s="2" t="s">
        <v>32</v>
      </c>
      <c r="D138" s="2" t="s">
        <v>807</v>
      </c>
      <c r="E138" s="2">
        <v>3088</v>
      </c>
      <c r="F138" s="2">
        <v>29.7393</v>
      </c>
      <c r="G138" s="2">
        <v>-84.814216000000002</v>
      </c>
      <c r="H138" s="2" t="s">
        <v>34</v>
      </c>
      <c r="I138" s="2" t="s">
        <v>46</v>
      </c>
      <c r="J138" s="2" t="s">
        <v>34</v>
      </c>
      <c r="K138" s="2" t="s">
        <v>34</v>
      </c>
      <c r="L138" s="2" t="s">
        <v>34</v>
      </c>
      <c r="M138" s="2" t="s">
        <v>34</v>
      </c>
      <c r="N138" s="2" t="s">
        <v>34</v>
      </c>
      <c r="O138" s="2" t="s">
        <v>34</v>
      </c>
      <c r="P138" s="3">
        <v>42491</v>
      </c>
      <c r="Q138" s="3">
        <v>42582</v>
      </c>
      <c r="R138" s="2" t="s">
        <v>808</v>
      </c>
      <c r="S138" s="2" t="s">
        <v>35</v>
      </c>
    </row>
    <row r="139" spans="1:19" hidden="1" x14ac:dyDescent="0.25">
      <c r="A139" s="2" t="s">
        <v>1961</v>
      </c>
      <c r="B139" s="2" t="s">
        <v>31</v>
      </c>
      <c r="C139" s="2" t="s">
        <v>32</v>
      </c>
      <c r="D139" s="2" t="s">
        <v>809</v>
      </c>
      <c r="E139" s="2">
        <v>3106</v>
      </c>
      <c r="F139" s="2">
        <v>29.736232999999999</v>
      </c>
      <c r="G139" s="2">
        <v>-84.812516000000002</v>
      </c>
      <c r="H139" s="2" t="s">
        <v>34</v>
      </c>
      <c r="I139" s="2" t="s">
        <v>46</v>
      </c>
      <c r="J139" s="2" t="s">
        <v>34</v>
      </c>
      <c r="K139" s="2" t="s">
        <v>34</v>
      </c>
      <c r="L139" s="2" t="s">
        <v>34</v>
      </c>
      <c r="M139" s="2" t="s">
        <v>34</v>
      </c>
      <c r="N139" s="2" t="s">
        <v>34</v>
      </c>
      <c r="O139" s="2" t="s">
        <v>34</v>
      </c>
      <c r="P139" s="3">
        <v>42491</v>
      </c>
      <c r="Q139" s="3">
        <v>42582</v>
      </c>
      <c r="R139" s="2" t="s">
        <v>810</v>
      </c>
      <c r="S139" s="2" t="s">
        <v>35</v>
      </c>
    </row>
    <row r="140" spans="1:19" hidden="1" x14ac:dyDescent="0.25">
      <c r="A140" s="2" t="s">
        <v>1962</v>
      </c>
      <c r="B140" s="2" t="s">
        <v>31</v>
      </c>
      <c r="C140" s="2" t="s">
        <v>32</v>
      </c>
      <c r="D140" s="2" t="s">
        <v>811</v>
      </c>
      <c r="E140" s="2">
        <v>3217</v>
      </c>
      <c r="F140" s="2">
        <v>29.705615999999999</v>
      </c>
      <c r="G140" s="2">
        <v>-84.797782999999995</v>
      </c>
      <c r="H140" s="2" t="s">
        <v>34</v>
      </c>
      <c r="I140" s="2" t="s">
        <v>46</v>
      </c>
      <c r="J140" s="2" t="s">
        <v>34</v>
      </c>
      <c r="K140" s="2" t="s">
        <v>34</v>
      </c>
      <c r="L140" s="2" t="s">
        <v>34</v>
      </c>
      <c r="M140" s="2" t="s">
        <v>34</v>
      </c>
      <c r="N140" s="2" t="s">
        <v>34</v>
      </c>
      <c r="O140" s="2" t="s">
        <v>34</v>
      </c>
      <c r="P140" s="3">
        <v>42491</v>
      </c>
      <c r="Q140" s="3">
        <v>42582</v>
      </c>
      <c r="R140" s="2" t="s">
        <v>812</v>
      </c>
      <c r="S140" s="2" t="s">
        <v>35</v>
      </c>
    </row>
    <row r="141" spans="1:19" hidden="1" x14ac:dyDescent="0.25">
      <c r="A141" s="2" t="s">
        <v>1963</v>
      </c>
      <c r="B141" s="2" t="s">
        <v>31</v>
      </c>
      <c r="C141" s="2" t="s">
        <v>32</v>
      </c>
      <c r="D141" s="2" t="s">
        <v>813</v>
      </c>
      <c r="E141" s="2">
        <v>3243</v>
      </c>
      <c r="F141" s="2">
        <v>29.704332999999998</v>
      </c>
      <c r="G141" s="2">
        <v>-84.796899999999994</v>
      </c>
      <c r="H141" s="2" t="s">
        <v>34</v>
      </c>
      <c r="I141" s="2" t="s">
        <v>46</v>
      </c>
      <c r="J141" s="2" t="s">
        <v>34</v>
      </c>
      <c r="K141" s="2" t="s">
        <v>34</v>
      </c>
      <c r="L141" s="2" t="s">
        <v>34</v>
      </c>
      <c r="M141" s="2" t="s">
        <v>34</v>
      </c>
      <c r="N141" s="2" t="s">
        <v>34</v>
      </c>
      <c r="O141" s="2" t="s">
        <v>34</v>
      </c>
      <c r="P141" s="3">
        <v>42491</v>
      </c>
      <c r="Q141" s="3">
        <v>42582</v>
      </c>
      <c r="R141" s="2" t="s">
        <v>814</v>
      </c>
      <c r="S141" s="2" t="s">
        <v>35</v>
      </c>
    </row>
    <row r="142" spans="1:19" hidden="1" x14ac:dyDescent="0.25">
      <c r="A142" s="2" t="s">
        <v>1964</v>
      </c>
      <c r="B142" s="2" t="s">
        <v>31</v>
      </c>
      <c r="C142" s="2" t="s">
        <v>32</v>
      </c>
      <c r="D142" s="2" t="s">
        <v>815</v>
      </c>
      <c r="E142" s="2">
        <v>3264</v>
      </c>
      <c r="F142" s="2">
        <v>29.698483</v>
      </c>
      <c r="G142" s="2">
        <v>-84.808899999999994</v>
      </c>
      <c r="H142" s="2" t="s">
        <v>34</v>
      </c>
      <c r="I142" s="2" t="s">
        <v>46</v>
      </c>
      <c r="J142" s="2" t="s">
        <v>34</v>
      </c>
      <c r="K142" s="2" t="s">
        <v>34</v>
      </c>
      <c r="L142" s="2" t="s">
        <v>34</v>
      </c>
      <c r="M142" s="2" t="s">
        <v>34</v>
      </c>
      <c r="N142" s="2" t="s">
        <v>34</v>
      </c>
      <c r="O142" s="2" t="s">
        <v>34</v>
      </c>
      <c r="P142" s="3">
        <v>42491</v>
      </c>
      <c r="Q142" s="3">
        <v>42582</v>
      </c>
      <c r="R142" s="2" t="s">
        <v>816</v>
      </c>
      <c r="S142" s="2" t="s">
        <v>35</v>
      </c>
    </row>
    <row r="143" spans="1:19" hidden="1" x14ac:dyDescent="0.25">
      <c r="A143" s="2" t="s">
        <v>1965</v>
      </c>
      <c r="B143" s="2" t="s">
        <v>31</v>
      </c>
      <c r="C143" s="2" t="s">
        <v>32</v>
      </c>
      <c r="D143" s="2" t="s">
        <v>817</v>
      </c>
      <c r="E143" s="2">
        <v>3275</v>
      </c>
      <c r="F143" s="2">
        <v>29.697649999999999</v>
      </c>
      <c r="G143" s="2">
        <v>-84.808733000000004</v>
      </c>
      <c r="H143" s="2" t="s">
        <v>34</v>
      </c>
      <c r="I143" s="2" t="s">
        <v>46</v>
      </c>
      <c r="J143" s="2" t="s">
        <v>34</v>
      </c>
      <c r="K143" s="2" t="s">
        <v>34</v>
      </c>
      <c r="L143" s="2" t="s">
        <v>34</v>
      </c>
      <c r="M143" s="2" t="s">
        <v>34</v>
      </c>
      <c r="N143" s="2" t="s">
        <v>34</v>
      </c>
      <c r="O143" s="2" t="s">
        <v>34</v>
      </c>
      <c r="P143" s="3">
        <v>42491</v>
      </c>
      <c r="Q143" s="3">
        <v>42582</v>
      </c>
      <c r="R143" s="2" t="s">
        <v>818</v>
      </c>
      <c r="S143" s="2" t="s">
        <v>35</v>
      </c>
    </row>
    <row r="144" spans="1:19" hidden="1" x14ac:dyDescent="0.25">
      <c r="A144" s="2" t="s">
        <v>1966</v>
      </c>
      <c r="B144" s="2" t="s">
        <v>31</v>
      </c>
      <c r="C144" s="2" t="s">
        <v>32</v>
      </c>
      <c r="D144" s="2" t="s">
        <v>819</v>
      </c>
      <c r="E144" s="2">
        <v>3287</v>
      </c>
      <c r="F144" s="2">
        <v>29.69605</v>
      </c>
      <c r="G144" s="2">
        <v>-84.807366000000002</v>
      </c>
      <c r="H144" s="2" t="s">
        <v>34</v>
      </c>
      <c r="I144" s="2" t="s">
        <v>46</v>
      </c>
      <c r="J144" s="2" t="s">
        <v>34</v>
      </c>
      <c r="K144" s="2" t="s">
        <v>34</v>
      </c>
      <c r="L144" s="2" t="s">
        <v>34</v>
      </c>
      <c r="M144" s="2" t="s">
        <v>34</v>
      </c>
      <c r="N144" s="2" t="s">
        <v>34</v>
      </c>
      <c r="O144" s="2" t="s">
        <v>34</v>
      </c>
      <c r="P144" s="3">
        <v>42491</v>
      </c>
      <c r="Q144" s="3">
        <v>42582</v>
      </c>
      <c r="R144" s="2" t="s">
        <v>820</v>
      </c>
      <c r="S144" s="2" t="s">
        <v>35</v>
      </c>
    </row>
    <row r="145" spans="1:19" hidden="1" x14ac:dyDescent="0.25">
      <c r="A145" s="2" t="s">
        <v>1967</v>
      </c>
      <c r="B145" s="2" t="s">
        <v>31</v>
      </c>
      <c r="C145" s="2" t="s">
        <v>32</v>
      </c>
      <c r="D145" s="2" t="s">
        <v>821</v>
      </c>
      <c r="E145" s="2">
        <v>3288</v>
      </c>
      <c r="F145" s="2">
        <v>29.696232999999999</v>
      </c>
      <c r="G145" s="2">
        <v>-84.805815999999993</v>
      </c>
      <c r="H145" s="2" t="s">
        <v>34</v>
      </c>
      <c r="I145" s="2" t="s">
        <v>46</v>
      </c>
      <c r="J145" s="2" t="s">
        <v>34</v>
      </c>
      <c r="K145" s="2" t="s">
        <v>34</v>
      </c>
      <c r="L145" s="2" t="s">
        <v>34</v>
      </c>
      <c r="M145" s="2" t="s">
        <v>34</v>
      </c>
      <c r="N145" s="2" t="s">
        <v>34</v>
      </c>
      <c r="O145" s="2" t="s">
        <v>34</v>
      </c>
      <c r="P145" s="3">
        <v>42491</v>
      </c>
      <c r="Q145" s="3">
        <v>42582</v>
      </c>
      <c r="R145" s="2" t="s">
        <v>822</v>
      </c>
      <c r="S145" s="2" t="s">
        <v>35</v>
      </c>
    </row>
    <row r="146" spans="1:19" hidden="1" x14ac:dyDescent="0.25">
      <c r="A146" s="2" t="s">
        <v>1968</v>
      </c>
      <c r="B146" s="2" t="s">
        <v>31</v>
      </c>
      <c r="C146" s="2" t="s">
        <v>32</v>
      </c>
      <c r="D146" s="2" t="s">
        <v>823</v>
      </c>
      <c r="E146" s="2">
        <v>3296</v>
      </c>
      <c r="F146" s="2">
        <v>29.694182999999999</v>
      </c>
      <c r="G146" s="2">
        <v>-84.805733000000004</v>
      </c>
      <c r="H146" s="2" t="s">
        <v>34</v>
      </c>
      <c r="I146" s="2" t="s">
        <v>46</v>
      </c>
      <c r="J146" s="2" t="s">
        <v>34</v>
      </c>
      <c r="K146" s="2" t="s">
        <v>34</v>
      </c>
      <c r="L146" s="2" t="s">
        <v>34</v>
      </c>
      <c r="M146" s="2" t="s">
        <v>34</v>
      </c>
      <c r="N146" s="2" t="s">
        <v>34</v>
      </c>
      <c r="O146" s="2" t="s">
        <v>34</v>
      </c>
      <c r="P146" s="3">
        <v>42491</v>
      </c>
      <c r="Q146" s="3">
        <v>42582</v>
      </c>
      <c r="R146" s="2" t="s">
        <v>824</v>
      </c>
      <c r="S146" s="2" t="s">
        <v>35</v>
      </c>
    </row>
    <row r="147" spans="1:19" hidden="1" x14ac:dyDescent="0.25">
      <c r="A147" s="2" t="s">
        <v>1969</v>
      </c>
      <c r="B147" s="2" t="s">
        <v>31</v>
      </c>
      <c r="C147" s="2" t="s">
        <v>32</v>
      </c>
      <c r="D147" s="2" t="s">
        <v>825</v>
      </c>
      <c r="E147" s="2">
        <v>3302</v>
      </c>
      <c r="F147" s="2">
        <v>29.690850000000001</v>
      </c>
      <c r="G147" s="2">
        <v>-84.806349999999995</v>
      </c>
      <c r="H147" s="2" t="s">
        <v>34</v>
      </c>
      <c r="I147" s="2" t="s">
        <v>46</v>
      </c>
      <c r="J147" s="2" t="s">
        <v>34</v>
      </c>
      <c r="K147" s="2" t="s">
        <v>34</v>
      </c>
      <c r="L147" s="2" t="s">
        <v>34</v>
      </c>
      <c r="M147" s="2" t="s">
        <v>34</v>
      </c>
      <c r="N147" s="2" t="s">
        <v>34</v>
      </c>
      <c r="O147" s="2" t="s">
        <v>34</v>
      </c>
      <c r="P147" s="3">
        <v>42491</v>
      </c>
      <c r="Q147" s="3">
        <v>42582</v>
      </c>
      <c r="R147" s="2" t="s">
        <v>826</v>
      </c>
      <c r="S147" s="2" t="s">
        <v>35</v>
      </c>
    </row>
    <row r="148" spans="1:19" hidden="1" x14ac:dyDescent="0.25">
      <c r="A148" s="2" t="s">
        <v>1970</v>
      </c>
      <c r="B148" s="2" t="s">
        <v>31</v>
      </c>
      <c r="C148" s="2" t="s">
        <v>32</v>
      </c>
      <c r="D148" s="2" t="s">
        <v>827</v>
      </c>
      <c r="E148" s="2">
        <v>3320</v>
      </c>
      <c r="F148" s="2">
        <v>29.690116</v>
      </c>
      <c r="G148" s="2">
        <v>-84.798550000000006</v>
      </c>
      <c r="H148" s="2" t="s">
        <v>34</v>
      </c>
      <c r="I148" s="2" t="s">
        <v>46</v>
      </c>
      <c r="J148" s="2" t="s">
        <v>34</v>
      </c>
      <c r="K148" s="2" t="s">
        <v>34</v>
      </c>
      <c r="L148" s="2" t="s">
        <v>34</v>
      </c>
      <c r="M148" s="2" t="s">
        <v>34</v>
      </c>
      <c r="N148" s="2" t="s">
        <v>34</v>
      </c>
      <c r="O148" s="2" t="s">
        <v>34</v>
      </c>
      <c r="P148" s="3">
        <v>42491</v>
      </c>
      <c r="Q148" s="3">
        <v>42582</v>
      </c>
      <c r="R148" s="2" t="s">
        <v>828</v>
      </c>
      <c r="S148" s="2" t="s">
        <v>35</v>
      </c>
    </row>
    <row r="149" spans="1:19" hidden="1" x14ac:dyDescent="0.25">
      <c r="A149" s="2" t="s">
        <v>1971</v>
      </c>
      <c r="B149" s="2" t="s">
        <v>31</v>
      </c>
      <c r="C149" s="2" t="s">
        <v>32</v>
      </c>
      <c r="D149" s="2" t="s">
        <v>829</v>
      </c>
      <c r="E149" s="2">
        <v>3324</v>
      </c>
      <c r="F149" s="2">
        <v>29.6875</v>
      </c>
      <c r="G149" s="2">
        <v>-84.806700000000006</v>
      </c>
      <c r="H149" s="2" t="s">
        <v>34</v>
      </c>
      <c r="I149" s="2" t="s">
        <v>46</v>
      </c>
      <c r="J149" s="2" t="s">
        <v>34</v>
      </c>
      <c r="K149" s="2" t="s">
        <v>34</v>
      </c>
      <c r="L149" s="2" t="s">
        <v>34</v>
      </c>
      <c r="M149" s="2" t="s">
        <v>34</v>
      </c>
      <c r="N149" s="2" t="s">
        <v>34</v>
      </c>
      <c r="O149" s="2" t="s">
        <v>34</v>
      </c>
      <c r="P149" s="3">
        <v>42491</v>
      </c>
      <c r="Q149" s="3">
        <v>42582</v>
      </c>
      <c r="R149" s="2" t="s">
        <v>830</v>
      </c>
      <c r="S149" s="2" t="s">
        <v>35</v>
      </c>
    </row>
    <row r="150" spans="1:19" hidden="1" x14ac:dyDescent="0.25">
      <c r="A150" s="2" t="s">
        <v>1972</v>
      </c>
      <c r="B150" s="2" t="s">
        <v>31</v>
      </c>
      <c r="C150" s="2" t="s">
        <v>32</v>
      </c>
      <c r="D150" s="2" t="s">
        <v>831</v>
      </c>
      <c r="E150" s="2">
        <v>3350</v>
      </c>
      <c r="F150" s="2">
        <v>29.7742</v>
      </c>
      <c r="G150" s="2">
        <v>-84.772666000000001</v>
      </c>
      <c r="H150" s="2" t="s">
        <v>34</v>
      </c>
      <c r="I150" s="2" t="s">
        <v>46</v>
      </c>
      <c r="J150" s="2" t="s">
        <v>34</v>
      </c>
      <c r="K150" s="2" t="s">
        <v>34</v>
      </c>
      <c r="L150" s="2" t="s">
        <v>34</v>
      </c>
      <c r="M150" s="2" t="s">
        <v>34</v>
      </c>
      <c r="N150" s="2" t="s">
        <v>34</v>
      </c>
      <c r="O150" s="2" t="s">
        <v>34</v>
      </c>
      <c r="P150" s="3">
        <v>42491</v>
      </c>
      <c r="Q150" s="3">
        <v>42582</v>
      </c>
      <c r="R150" s="2" t="s">
        <v>832</v>
      </c>
      <c r="S150" s="2" t="s">
        <v>35</v>
      </c>
    </row>
    <row r="151" spans="1:19" hidden="1" x14ac:dyDescent="0.25">
      <c r="A151" s="2" t="s">
        <v>1973</v>
      </c>
      <c r="B151" s="2" t="s">
        <v>31</v>
      </c>
      <c r="C151" s="2" t="s">
        <v>32</v>
      </c>
      <c r="D151" s="2" t="s">
        <v>833</v>
      </c>
      <c r="E151" s="2">
        <v>3354</v>
      </c>
      <c r="F151" s="2">
        <v>29.77355</v>
      </c>
      <c r="G151" s="2">
        <v>-84.768632999999994</v>
      </c>
      <c r="H151" s="2" t="s">
        <v>34</v>
      </c>
      <c r="I151" s="2" t="s">
        <v>46</v>
      </c>
      <c r="J151" s="2" t="s">
        <v>34</v>
      </c>
      <c r="K151" s="2" t="s">
        <v>34</v>
      </c>
      <c r="L151" s="2" t="s">
        <v>34</v>
      </c>
      <c r="M151" s="2" t="s">
        <v>34</v>
      </c>
      <c r="N151" s="2" t="s">
        <v>34</v>
      </c>
      <c r="O151" s="2" t="s">
        <v>34</v>
      </c>
      <c r="P151" s="3">
        <v>42491</v>
      </c>
      <c r="Q151" s="3">
        <v>42582</v>
      </c>
      <c r="R151" s="2" t="s">
        <v>834</v>
      </c>
      <c r="S151" s="2" t="s">
        <v>35</v>
      </c>
    </row>
    <row r="152" spans="1:19" hidden="1" x14ac:dyDescent="0.25">
      <c r="A152" s="2" t="s">
        <v>1974</v>
      </c>
      <c r="B152" s="2" t="s">
        <v>31</v>
      </c>
      <c r="C152" s="2" t="s">
        <v>44</v>
      </c>
      <c r="D152" s="2" t="s">
        <v>835</v>
      </c>
      <c r="E152" s="2">
        <v>1</v>
      </c>
      <c r="F152" s="2">
        <v>29.692916</v>
      </c>
      <c r="G152" s="2">
        <v>-85.121583000000001</v>
      </c>
      <c r="H152" s="2" t="s">
        <v>46</v>
      </c>
      <c r="I152" s="2" t="s">
        <v>46</v>
      </c>
      <c r="J152" s="2" t="s">
        <v>34</v>
      </c>
      <c r="K152" s="2" t="s">
        <v>34</v>
      </c>
      <c r="L152" s="2" t="s">
        <v>34</v>
      </c>
      <c r="M152" s="2" t="s">
        <v>34</v>
      </c>
      <c r="N152" s="2" t="s">
        <v>34</v>
      </c>
      <c r="O152" s="2" t="s">
        <v>34</v>
      </c>
      <c r="P152" s="3">
        <v>42005</v>
      </c>
      <c r="Q152" s="3">
        <v>42258</v>
      </c>
      <c r="R152" s="2" t="s">
        <v>836</v>
      </c>
      <c r="S152" s="2" t="s">
        <v>35</v>
      </c>
    </row>
    <row r="153" spans="1:19" hidden="1" x14ac:dyDescent="0.25">
      <c r="A153" s="2" t="s">
        <v>1975</v>
      </c>
      <c r="B153" s="2" t="s">
        <v>31</v>
      </c>
      <c r="C153" s="2" t="s">
        <v>44</v>
      </c>
      <c r="D153" s="2" t="s">
        <v>837</v>
      </c>
      <c r="E153" s="2">
        <v>1</v>
      </c>
      <c r="F153" s="2">
        <v>29.664950000000001</v>
      </c>
      <c r="G153" s="2">
        <v>-85.055350000000004</v>
      </c>
      <c r="H153" s="2" t="s">
        <v>34</v>
      </c>
      <c r="I153" s="2" t="s">
        <v>34</v>
      </c>
      <c r="J153" s="2" t="s">
        <v>34</v>
      </c>
      <c r="K153" s="2" t="s">
        <v>34</v>
      </c>
      <c r="L153" s="2" t="s">
        <v>34</v>
      </c>
      <c r="M153" s="2" t="s">
        <v>34</v>
      </c>
      <c r="N153" s="2" t="s">
        <v>34</v>
      </c>
      <c r="O153" s="2" t="s">
        <v>34</v>
      </c>
      <c r="P153" s="3">
        <v>42156</v>
      </c>
      <c r="Q153" s="3">
        <v>43830</v>
      </c>
      <c r="R153" s="2" t="s">
        <v>838</v>
      </c>
      <c r="S153" s="2" t="s">
        <v>35</v>
      </c>
    </row>
    <row r="154" spans="1:19" hidden="1" x14ac:dyDescent="0.25">
      <c r="A154" s="2" t="s">
        <v>1976</v>
      </c>
      <c r="B154" s="2" t="s">
        <v>31</v>
      </c>
      <c r="C154" s="2" t="s">
        <v>44</v>
      </c>
      <c r="D154" s="2" t="s">
        <v>835</v>
      </c>
      <c r="E154" s="2">
        <v>1</v>
      </c>
      <c r="F154" s="2">
        <v>29.692916</v>
      </c>
      <c r="G154" s="2">
        <v>-85.121583000000001</v>
      </c>
      <c r="H154" s="2" t="s">
        <v>46</v>
      </c>
      <c r="I154" s="2" t="s">
        <v>46</v>
      </c>
      <c r="J154" s="2" t="s">
        <v>34</v>
      </c>
      <c r="K154" s="2" t="s">
        <v>46</v>
      </c>
      <c r="L154" s="2" t="s">
        <v>34</v>
      </c>
      <c r="M154" s="2" t="s">
        <v>34</v>
      </c>
      <c r="N154" s="2" t="s">
        <v>34</v>
      </c>
      <c r="O154" s="2" t="s">
        <v>34</v>
      </c>
      <c r="P154" s="3">
        <v>42248</v>
      </c>
      <c r="Q154" s="3">
        <v>44104</v>
      </c>
      <c r="R154" s="2" t="s">
        <v>836</v>
      </c>
      <c r="S154" s="2" t="s">
        <v>35</v>
      </c>
    </row>
    <row r="155" spans="1:19" hidden="1" x14ac:dyDescent="0.25">
      <c r="A155" s="2" t="s">
        <v>1977</v>
      </c>
      <c r="B155" s="2" t="s">
        <v>31</v>
      </c>
      <c r="C155" s="2" t="s">
        <v>44</v>
      </c>
      <c r="D155" s="2" t="s">
        <v>835</v>
      </c>
      <c r="E155" s="2">
        <v>1</v>
      </c>
      <c r="F155" s="2">
        <v>29.691932999999999</v>
      </c>
      <c r="G155" s="2">
        <v>-85.109233000000003</v>
      </c>
      <c r="H155" s="2" t="s">
        <v>46</v>
      </c>
      <c r="I155" s="2" t="s">
        <v>46</v>
      </c>
      <c r="J155" s="2" t="s">
        <v>46</v>
      </c>
      <c r="K155" s="2" t="s">
        <v>46</v>
      </c>
      <c r="L155" s="2" t="s">
        <v>34</v>
      </c>
      <c r="M155" s="2" t="s">
        <v>34</v>
      </c>
      <c r="N155" s="2" t="s">
        <v>34</v>
      </c>
      <c r="O155" s="2" t="s">
        <v>34</v>
      </c>
      <c r="P155" s="3">
        <v>42248</v>
      </c>
      <c r="Q155" s="3">
        <v>73050</v>
      </c>
      <c r="R155" s="2" t="s">
        <v>836</v>
      </c>
      <c r="S155" s="2" t="s">
        <v>35</v>
      </c>
    </row>
    <row r="156" spans="1:19" hidden="1" x14ac:dyDescent="0.25">
      <c r="A156" s="2" t="s">
        <v>1978</v>
      </c>
      <c r="B156" s="2" t="s">
        <v>31</v>
      </c>
      <c r="C156" s="2" t="s">
        <v>44</v>
      </c>
      <c r="D156" s="2" t="s">
        <v>839</v>
      </c>
      <c r="E156" s="2">
        <v>1</v>
      </c>
      <c r="F156" s="2">
        <v>29.692482999999999</v>
      </c>
      <c r="G156" s="2">
        <v>-85.108766000000003</v>
      </c>
      <c r="H156" s="2" t="s">
        <v>34</v>
      </c>
      <c r="I156" s="2" t="s">
        <v>34</v>
      </c>
      <c r="J156" s="2" t="s">
        <v>46</v>
      </c>
      <c r="K156" s="2" t="s">
        <v>34</v>
      </c>
      <c r="L156" s="2" t="s">
        <v>34</v>
      </c>
      <c r="M156" s="2" t="s">
        <v>34</v>
      </c>
      <c r="N156" s="2" t="s">
        <v>34</v>
      </c>
      <c r="O156" s="2" t="s">
        <v>34</v>
      </c>
      <c r="P156" s="3">
        <v>43101</v>
      </c>
      <c r="Q156" s="3">
        <v>44773</v>
      </c>
      <c r="R156" s="2" t="s">
        <v>840</v>
      </c>
      <c r="S156" s="2" t="s">
        <v>35</v>
      </c>
    </row>
    <row r="157" spans="1:19" hidden="1" x14ac:dyDescent="0.25">
      <c r="A157" s="2" t="s">
        <v>1979</v>
      </c>
      <c r="B157" s="2" t="s">
        <v>31</v>
      </c>
      <c r="C157" s="2" t="s">
        <v>44</v>
      </c>
      <c r="D157" s="2" t="s">
        <v>841</v>
      </c>
      <c r="E157" s="2">
        <v>2</v>
      </c>
      <c r="F157" s="2">
        <v>29.692782999999999</v>
      </c>
      <c r="G157" s="2">
        <v>-85.089950000000002</v>
      </c>
      <c r="H157" s="2" t="s">
        <v>46</v>
      </c>
      <c r="I157" s="2" t="s">
        <v>46</v>
      </c>
      <c r="J157" s="2" t="s">
        <v>34</v>
      </c>
      <c r="K157" s="2" t="s">
        <v>46</v>
      </c>
      <c r="L157" s="2" t="s">
        <v>34</v>
      </c>
      <c r="M157" s="2" t="s">
        <v>34</v>
      </c>
      <c r="N157" s="2" t="s">
        <v>34</v>
      </c>
      <c r="O157" s="2" t="s">
        <v>34</v>
      </c>
      <c r="P157" s="3">
        <v>42005</v>
      </c>
      <c r="Q157" s="3">
        <v>73050</v>
      </c>
      <c r="R157" s="2" t="s">
        <v>842</v>
      </c>
      <c r="S157" s="2" t="s">
        <v>35</v>
      </c>
    </row>
    <row r="158" spans="1:19" hidden="1" x14ac:dyDescent="0.25">
      <c r="A158" s="2" t="s">
        <v>1980</v>
      </c>
      <c r="B158" s="2" t="s">
        <v>31</v>
      </c>
      <c r="C158" s="2" t="s">
        <v>44</v>
      </c>
      <c r="D158" s="2" t="s">
        <v>837</v>
      </c>
      <c r="E158" s="2">
        <v>2</v>
      </c>
      <c r="F158" s="2">
        <v>29.663900000000002</v>
      </c>
      <c r="G158" s="2">
        <v>-85.054400000000001</v>
      </c>
      <c r="H158" s="2" t="s">
        <v>34</v>
      </c>
      <c r="I158" s="2" t="s">
        <v>34</v>
      </c>
      <c r="J158" s="2" t="s">
        <v>34</v>
      </c>
      <c r="K158" s="2" t="s">
        <v>34</v>
      </c>
      <c r="L158" s="2" t="s">
        <v>34</v>
      </c>
      <c r="M158" s="2" t="s">
        <v>34</v>
      </c>
      <c r="N158" s="2" t="s">
        <v>34</v>
      </c>
      <c r="O158" s="2" t="s">
        <v>34</v>
      </c>
      <c r="P158" s="3">
        <v>42156</v>
      </c>
      <c r="Q158" s="3">
        <v>43830</v>
      </c>
      <c r="R158" s="2" t="s">
        <v>843</v>
      </c>
      <c r="S158" s="2" t="s">
        <v>35</v>
      </c>
    </row>
    <row r="159" spans="1:19" hidden="1" x14ac:dyDescent="0.25">
      <c r="A159" s="2" t="s">
        <v>1981</v>
      </c>
      <c r="B159" s="2" t="s">
        <v>31</v>
      </c>
      <c r="C159" s="2" t="s">
        <v>44</v>
      </c>
      <c r="D159" s="2" t="s">
        <v>844</v>
      </c>
      <c r="E159" s="2">
        <v>3</v>
      </c>
      <c r="F159" s="2">
        <v>29.678415999999999</v>
      </c>
      <c r="G159" s="2">
        <v>-85.058499999999995</v>
      </c>
      <c r="H159" s="2" t="s">
        <v>46</v>
      </c>
      <c r="I159" s="2" t="s">
        <v>46</v>
      </c>
      <c r="J159" s="2" t="s">
        <v>34</v>
      </c>
      <c r="K159" s="2" t="s">
        <v>46</v>
      </c>
      <c r="L159" s="2" t="s">
        <v>34</v>
      </c>
      <c r="M159" s="2" t="s">
        <v>34</v>
      </c>
      <c r="N159" s="2" t="s">
        <v>34</v>
      </c>
      <c r="O159" s="2" t="s">
        <v>34</v>
      </c>
      <c r="P159" s="3">
        <v>42005</v>
      </c>
      <c r="Q159" s="3">
        <v>44480</v>
      </c>
      <c r="R159" s="2" t="s">
        <v>845</v>
      </c>
      <c r="S159" s="2" t="s">
        <v>35</v>
      </c>
    </row>
    <row r="160" spans="1:19" hidden="1" x14ac:dyDescent="0.25">
      <c r="A160" s="2" t="s">
        <v>1982</v>
      </c>
      <c r="B160" s="2" t="s">
        <v>31</v>
      </c>
      <c r="C160" s="2" t="s">
        <v>44</v>
      </c>
      <c r="D160" s="2" t="s">
        <v>837</v>
      </c>
      <c r="E160" s="2">
        <v>3</v>
      </c>
      <c r="F160" s="2">
        <v>29.663450000000001</v>
      </c>
      <c r="G160" s="2">
        <v>-85.054479999999998</v>
      </c>
      <c r="H160" s="2" t="s">
        <v>34</v>
      </c>
      <c r="I160" s="2" t="s">
        <v>34</v>
      </c>
      <c r="J160" s="2" t="s">
        <v>34</v>
      </c>
      <c r="K160" s="2" t="s">
        <v>34</v>
      </c>
      <c r="L160" s="2" t="s">
        <v>34</v>
      </c>
      <c r="M160" s="2" t="s">
        <v>34</v>
      </c>
      <c r="N160" s="2" t="s">
        <v>34</v>
      </c>
      <c r="O160" s="2" t="s">
        <v>34</v>
      </c>
      <c r="P160" s="3">
        <v>42156</v>
      </c>
      <c r="Q160" s="3">
        <v>43830</v>
      </c>
      <c r="R160" s="2" t="s">
        <v>846</v>
      </c>
      <c r="S160" s="2" t="s">
        <v>35</v>
      </c>
    </row>
    <row r="161" spans="1:19" hidden="1" x14ac:dyDescent="0.25">
      <c r="A161" s="2" t="s">
        <v>1983</v>
      </c>
      <c r="B161" s="2" t="s">
        <v>31</v>
      </c>
      <c r="C161" s="2" t="s">
        <v>44</v>
      </c>
      <c r="D161" s="2" t="s">
        <v>847</v>
      </c>
      <c r="E161" s="2">
        <v>4</v>
      </c>
      <c r="F161" s="2">
        <v>29.687083000000001</v>
      </c>
      <c r="G161" s="2">
        <v>-85.033416000000003</v>
      </c>
      <c r="H161" s="2" t="s">
        <v>46</v>
      </c>
      <c r="I161" s="2" t="s">
        <v>46</v>
      </c>
      <c r="J161" s="2" t="s">
        <v>46</v>
      </c>
      <c r="K161" s="2" t="s">
        <v>46</v>
      </c>
      <c r="L161" s="2" t="s">
        <v>34</v>
      </c>
      <c r="M161" s="2" t="s">
        <v>34</v>
      </c>
      <c r="N161" s="2" t="s">
        <v>34</v>
      </c>
      <c r="O161" s="2" t="s">
        <v>34</v>
      </c>
      <c r="P161" s="3">
        <v>42005</v>
      </c>
      <c r="Q161" s="3">
        <v>73050</v>
      </c>
      <c r="R161" s="2" t="s">
        <v>848</v>
      </c>
      <c r="S161" s="2" t="s">
        <v>35</v>
      </c>
    </row>
    <row r="162" spans="1:19" hidden="1" x14ac:dyDescent="0.25">
      <c r="A162" s="2" t="s">
        <v>1984</v>
      </c>
      <c r="B162" s="2" t="s">
        <v>31</v>
      </c>
      <c r="C162" s="2" t="s">
        <v>44</v>
      </c>
      <c r="D162" s="2" t="s">
        <v>837</v>
      </c>
      <c r="E162" s="2">
        <v>4</v>
      </c>
      <c r="F162" s="2">
        <v>29.663070000000001</v>
      </c>
      <c r="G162" s="2">
        <v>-85.053780000000003</v>
      </c>
      <c r="H162" s="2" t="s">
        <v>34</v>
      </c>
      <c r="I162" s="2" t="s">
        <v>34</v>
      </c>
      <c r="J162" s="2" t="s">
        <v>34</v>
      </c>
      <c r="K162" s="2" t="s">
        <v>34</v>
      </c>
      <c r="L162" s="2" t="s">
        <v>34</v>
      </c>
      <c r="M162" s="2" t="s">
        <v>34</v>
      </c>
      <c r="N162" s="2" t="s">
        <v>34</v>
      </c>
      <c r="O162" s="2" t="s">
        <v>34</v>
      </c>
      <c r="P162" s="3">
        <v>42156</v>
      </c>
      <c r="Q162" s="3">
        <v>43830</v>
      </c>
      <c r="R162" s="2" t="s">
        <v>849</v>
      </c>
      <c r="S162" s="2" t="s">
        <v>35</v>
      </c>
    </row>
    <row r="163" spans="1:19" hidden="1" x14ac:dyDescent="0.25">
      <c r="A163" s="2" t="s">
        <v>1985</v>
      </c>
      <c r="B163" s="2" t="s">
        <v>31</v>
      </c>
      <c r="C163" s="2" t="s">
        <v>44</v>
      </c>
      <c r="D163" s="2" t="s">
        <v>850</v>
      </c>
      <c r="E163" s="2">
        <v>4</v>
      </c>
      <c r="F163" s="2">
        <v>29.683616000000001</v>
      </c>
      <c r="G163" s="2">
        <v>-85.039900000000003</v>
      </c>
      <c r="H163" s="2" t="s">
        <v>34</v>
      </c>
      <c r="I163" s="2" t="s">
        <v>34</v>
      </c>
      <c r="J163" s="2" t="s">
        <v>46</v>
      </c>
      <c r="K163" s="2" t="s">
        <v>34</v>
      </c>
      <c r="L163" s="2" t="s">
        <v>34</v>
      </c>
      <c r="M163" s="2" t="s">
        <v>34</v>
      </c>
      <c r="N163" s="2" t="s">
        <v>34</v>
      </c>
      <c r="O163" s="2" t="s">
        <v>34</v>
      </c>
      <c r="P163" s="3">
        <v>43101</v>
      </c>
      <c r="Q163" s="3">
        <v>44773</v>
      </c>
      <c r="R163" s="2" t="s">
        <v>851</v>
      </c>
      <c r="S163" s="2" t="s">
        <v>35</v>
      </c>
    </row>
    <row r="164" spans="1:19" hidden="1" x14ac:dyDescent="0.25">
      <c r="A164" s="2" t="s">
        <v>1986</v>
      </c>
      <c r="B164" s="2" t="s">
        <v>31</v>
      </c>
      <c r="C164" s="2" t="s">
        <v>44</v>
      </c>
      <c r="D164" s="2" t="s">
        <v>852</v>
      </c>
      <c r="E164" s="2">
        <v>5</v>
      </c>
      <c r="F164" s="2">
        <v>29.620332999999999</v>
      </c>
      <c r="G164" s="2">
        <v>-85.041499999999999</v>
      </c>
      <c r="H164" s="2" t="s">
        <v>46</v>
      </c>
      <c r="I164" s="2" t="s">
        <v>46</v>
      </c>
      <c r="J164" s="2" t="s">
        <v>34</v>
      </c>
      <c r="K164" s="2" t="s">
        <v>34</v>
      </c>
      <c r="L164" s="2" t="s">
        <v>34</v>
      </c>
      <c r="M164" s="2" t="s">
        <v>34</v>
      </c>
      <c r="N164" s="2" t="s">
        <v>34</v>
      </c>
      <c r="O164" s="2" t="s">
        <v>34</v>
      </c>
      <c r="P164" s="3">
        <v>42005</v>
      </c>
      <c r="Q164" s="3">
        <v>42258</v>
      </c>
      <c r="R164" s="2" t="s">
        <v>853</v>
      </c>
      <c r="S164" s="2" t="s">
        <v>35</v>
      </c>
    </row>
    <row r="165" spans="1:19" hidden="1" x14ac:dyDescent="0.25">
      <c r="A165" s="2" t="s">
        <v>1987</v>
      </c>
      <c r="B165" s="2" t="s">
        <v>31</v>
      </c>
      <c r="C165" s="2" t="s">
        <v>44</v>
      </c>
      <c r="D165" s="2" t="s">
        <v>837</v>
      </c>
      <c r="E165" s="2">
        <v>5</v>
      </c>
      <c r="F165" s="2">
        <v>29.662479999999999</v>
      </c>
      <c r="G165" s="2">
        <v>-85.053420000000003</v>
      </c>
      <c r="H165" s="2" t="s">
        <v>34</v>
      </c>
      <c r="I165" s="2" t="s">
        <v>34</v>
      </c>
      <c r="J165" s="2" t="s">
        <v>34</v>
      </c>
      <c r="K165" s="2" t="s">
        <v>34</v>
      </c>
      <c r="L165" s="2" t="s">
        <v>34</v>
      </c>
      <c r="M165" s="2" t="s">
        <v>34</v>
      </c>
      <c r="N165" s="2" t="s">
        <v>34</v>
      </c>
      <c r="O165" s="2" t="s">
        <v>34</v>
      </c>
      <c r="P165" s="3">
        <v>42156</v>
      </c>
      <c r="Q165" s="3">
        <v>43830</v>
      </c>
      <c r="R165" s="2" t="s">
        <v>854</v>
      </c>
      <c r="S165" s="2" t="s">
        <v>35</v>
      </c>
    </row>
    <row r="166" spans="1:19" hidden="1" x14ac:dyDescent="0.25">
      <c r="A166" s="2" t="s">
        <v>1988</v>
      </c>
      <c r="B166" s="2" t="s">
        <v>31</v>
      </c>
      <c r="C166" s="2" t="s">
        <v>44</v>
      </c>
      <c r="D166" s="2" t="s">
        <v>855</v>
      </c>
      <c r="E166" s="2">
        <v>5</v>
      </c>
      <c r="F166" s="2">
        <v>29.699332999999999</v>
      </c>
      <c r="G166" s="2">
        <v>-85.149315999999999</v>
      </c>
      <c r="H166" s="2" t="s">
        <v>46</v>
      </c>
      <c r="I166" s="2" t="s">
        <v>46</v>
      </c>
      <c r="J166" s="2" t="s">
        <v>34</v>
      </c>
      <c r="K166" s="2" t="s">
        <v>46</v>
      </c>
      <c r="L166" s="2" t="s">
        <v>34</v>
      </c>
      <c r="M166" s="2" t="s">
        <v>34</v>
      </c>
      <c r="N166" s="2" t="s">
        <v>34</v>
      </c>
      <c r="O166" s="2" t="s">
        <v>34</v>
      </c>
      <c r="P166" s="3">
        <v>42248</v>
      </c>
      <c r="Q166" s="3">
        <v>73050</v>
      </c>
      <c r="R166" s="2" t="s">
        <v>856</v>
      </c>
      <c r="S166" s="2" t="s">
        <v>35</v>
      </c>
    </row>
    <row r="167" spans="1:19" hidden="1" x14ac:dyDescent="0.25">
      <c r="A167" s="2" t="s">
        <v>1989</v>
      </c>
      <c r="B167" s="2" t="s">
        <v>31</v>
      </c>
      <c r="C167" s="2" t="s">
        <v>44</v>
      </c>
      <c r="D167" s="2" t="s">
        <v>857</v>
      </c>
      <c r="E167" s="2">
        <v>60</v>
      </c>
      <c r="F167" s="2">
        <v>29.688966000000001</v>
      </c>
      <c r="G167" s="2">
        <v>-85.210982999999999</v>
      </c>
      <c r="H167" s="2" t="s">
        <v>34</v>
      </c>
      <c r="I167" s="2" t="s">
        <v>46</v>
      </c>
      <c r="J167" s="2" t="s">
        <v>34</v>
      </c>
      <c r="K167" s="2" t="s">
        <v>34</v>
      </c>
      <c r="L167" s="2" t="s">
        <v>34</v>
      </c>
      <c r="M167" s="2" t="s">
        <v>34</v>
      </c>
      <c r="N167" s="2" t="s">
        <v>34</v>
      </c>
      <c r="O167" s="2" t="s">
        <v>34</v>
      </c>
      <c r="P167" s="3">
        <v>42491</v>
      </c>
      <c r="Q167" s="3">
        <v>42582</v>
      </c>
      <c r="R167" s="2" t="s">
        <v>858</v>
      </c>
      <c r="S167" s="2" t="s">
        <v>35</v>
      </c>
    </row>
    <row r="168" spans="1:19" hidden="1" x14ac:dyDescent="0.25">
      <c r="A168" s="2" t="s">
        <v>1990</v>
      </c>
      <c r="B168" s="2" t="s">
        <v>31</v>
      </c>
      <c r="C168" s="2" t="s">
        <v>44</v>
      </c>
      <c r="D168" s="2" t="s">
        <v>859</v>
      </c>
      <c r="E168" s="2">
        <v>73</v>
      </c>
      <c r="F168" s="2">
        <v>29.694116000000001</v>
      </c>
      <c r="G168" s="2">
        <v>-85.182665999999998</v>
      </c>
      <c r="H168" s="2" t="s">
        <v>34</v>
      </c>
      <c r="I168" s="2" t="s">
        <v>46</v>
      </c>
      <c r="J168" s="2" t="s">
        <v>34</v>
      </c>
      <c r="K168" s="2" t="s">
        <v>34</v>
      </c>
      <c r="L168" s="2" t="s">
        <v>34</v>
      </c>
      <c r="M168" s="2" t="s">
        <v>34</v>
      </c>
      <c r="N168" s="2" t="s">
        <v>34</v>
      </c>
      <c r="O168" s="2" t="s">
        <v>34</v>
      </c>
      <c r="P168" s="3">
        <v>42491</v>
      </c>
      <c r="Q168" s="3">
        <v>42582</v>
      </c>
      <c r="R168" s="2" t="s">
        <v>860</v>
      </c>
      <c r="S168" s="2" t="s">
        <v>35</v>
      </c>
    </row>
    <row r="169" spans="1:19" hidden="1" x14ac:dyDescent="0.25">
      <c r="A169" s="2" t="s">
        <v>1991</v>
      </c>
      <c r="B169" s="2" t="s">
        <v>31</v>
      </c>
      <c r="C169" s="2" t="s">
        <v>44</v>
      </c>
      <c r="D169" s="2" t="s">
        <v>861</v>
      </c>
      <c r="E169" s="2">
        <v>98</v>
      </c>
      <c r="F169" s="2">
        <v>29.693300000000001</v>
      </c>
      <c r="G169" s="2">
        <v>-85.180499999999995</v>
      </c>
      <c r="H169" s="2" t="s">
        <v>34</v>
      </c>
      <c r="I169" s="2" t="s">
        <v>46</v>
      </c>
      <c r="J169" s="2" t="s">
        <v>34</v>
      </c>
      <c r="K169" s="2" t="s">
        <v>34</v>
      </c>
      <c r="L169" s="2" t="s">
        <v>34</v>
      </c>
      <c r="M169" s="2" t="s">
        <v>34</v>
      </c>
      <c r="N169" s="2" t="s">
        <v>34</v>
      </c>
      <c r="O169" s="2" t="s">
        <v>34</v>
      </c>
      <c r="P169" s="3">
        <v>42491</v>
      </c>
      <c r="Q169" s="3">
        <v>42582</v>
      </c>
      <c r="R169" s="2" t="s">
        <v>862</v>
      </c>
      <c r="S169" s="2" t="s">
        <v>35</v>
      </c>
    </row>
    <row r="170" spans="1:19" hidden="1" x14ac:dyDescent="0.25">
      <c r="A170" s="2" t="s">
        <v>1992</v>
      </c>
      <c r="B170" s="2" t="s">
        <v>31</v>
      </c>
      <c r="C170" s="2" t="s">
        <v>44</v>
      </c>
      <c r="D170" s="2" t="s">
        <v>863</v>
      </c>
      <c r="E170" s="2">
        <v>109</v>
      </c>
      <c r="F170" s="2">
        <v>29.692665999999999</v>
      </c>
      <c r="G170" s="2">
        <v>-85.197699999999998</v>
      </c>
      <c r="H170" s="2" t="s">
        <v>34</v>
      </c>
      <c r="I170" s="2" t="s">
        <v>46</v>
      </c>
      <c r="J170" s="2" t="s">
        <v>34</v>
      </c>
      <c r="K170" s="2" t="s">
        <v>34</v>
      </c>
      <c r="L170" s="2" t="s">
        <v>34</v>
      </c>
      <c r="M170" s="2" t="s">
        <v>34</v>
      </c>
      <c r="N170" s="2" t="s">
        <v>34</v>
      </c>
      <c r="O170" s="2" t="s">
        <v>34</v>
      </c>
      <c r="P170" s="3">
        <v>42491</v>
      </c>
      <c r="Q170" s="3">
        <v>42582</v>
      </c>
      <c r="R170" s="2" t="s">
        <v>864</v>
      </c>
      <c r="S170" s="2" t="s">
        <v>35</v>
      </c>
    </row>
    <row r="171" spans="1:19" hidden="1" x14ac:dyDescent="0.25">
      <c r="A171" s="2" t="s">
        <v>1993</v>
      </c>
      <c r="B171" s="2" t="s">
        <v>31</v>
      </c>
      <c r="C171" s="2" t="s">
        <v>44</v>
      </c>
      <c r="D171" s="2" t="s">
        <v>865</v>
      </c>
      <c r="E171" s="2">
        <v>155</v>
      </c>
      <c r="F171" s="2">
        <v>29.687249999999999</v>
      </c>
      <c r="G171" s="2">
        <v>-85.172633000000005</v>
      </c>
      <c r="H171" s="2" t="s">
        <v>34</v>
      </c>
      <c r="I171" s="2" t="s">
        <v>46</v>
      </c>
      <c r="J171" s="2" t="s">
        <v>34</v>
      </c>
      <c r="K171" s="2" t="s">
        <v>34</v>
      </c>
      <c r="L171" s="2" t="s">
        <v>34</v>
      </c>
      <c r="M171" s="2" t="s">
        <v>34</v>
      </c>
      <c r="N171" s="2" t="s">
        <v>34</v>
      </c>
      <c r="O171" s="2" t="s">
        <v>34</v>
      </c>
      <c r="P171" s="3">
        <v>42491</v>
      </c>
      <c r="Q171" s="3">
        <v>42582</v>
      </c>
      <c r="R171" s="2" t="s">
        <v>866</v>
      </c>
      <c r="S171" s="2" t="s">
        <v>35</v>
      </c>
    </row>
    <row r="172" spans="1:19" hidden="1" x14ac:dyDescent="0.25">
      <c r="A172" s="2" t="s">
        <v>1994</v>
      </c>
      <c r="B172" s="2" t="s">
        <v>31</v>
      </c>
      <c r="C172" s="2" t="s">
        <v>44</v>
      </c>
      <c r="D172" s="2" t="s">
        <v>867</v>
      </c>
      <c r="E172" s="2">
        <v>215</v>
      </c>
      <c r="F172" s="2">
        <v>29.706382999999999</v>
      </c>
      <c r="G172" s="2">
        <v>-85.134249999999994</v>
      </c>
      <c r="H172" s="2" t="s">
        <v>34</v>
      </c>
      <c r="I172" s="2" t="s">
        <v>46</v>
      </c>
      <c r="J172" s="2" t="s">
        <v>34</v>
      </c>
      <c r="K172" s="2" t="s">
        <v>34</v>
      </c>
      <c r="L172" s="2" t="s">
        <v>34</v>
      </c>
      <c r="M172" s="2" t="s">
        <v>34</v>
      </c>
      <c r="N172" s="2" t="s">
        <v>34</v>
      </c>
      <c r="O172" s="2" t="s">
        <v>34</v>
      </c>
      <c r="P172" s="3">
        <v>42491</v>
      </c>
      <c r="Q172" s="3">
        <v>42582</v>
      </c>
      <c r="R172" s="2" t="s">
        <v>868</v>
      </c>
      <c r="S172" s="2" t="s">
        <v>35</v>
      </c>
    </row>
    <row r="173" spans="1:19" hidden="1" x14ac:dyDescent="0.25">
      <c r="A173" s="2" t="s">
        <v>1995</v>
      </c>
      <c r="B173" s="2" t="s">
        <v>31</v>
      </c>
      <c r="C173" s="2" t="s">
        <v>44</v>
      </c>
      <c r="D173" s="2" t="s">
        <v>869</v>
      </c>
      <c r="E173" s="2">
        <v>263</v>
      </c>
      <c r="F173" s="2">
        <v>29.702449999999999</v>
      </c>
      <c r="G173" s="2">
        <v>-85.16</v>
      </c>
      <c r="H173" s="2" t="s">
        <v>34</v>
      </c>
      <c r="I173" s="2" t="s">
        <v>46</v>
      </c>
      <c r="J173" s="2" t="s">
        <v>34</v>
      </c>
      <c r="K173" s="2" t="s">
        <v>34</v>
      </c>
      <c r="L173" s="2" t="s">
        <v>34</v>
      </c>
      <c r="M173" s="2" t="s">
        <v>34</v>
      </c>
      <c r="N173" s="2" t="s">
        <v>34</v>
      </c>
      <c r="O173" s="2" t="s">
        <v>34</v>
      </c>
      <c r="P173" s="3">
        <v>42491</v>
      </c>
      <c r="Q173" s="3">
        <v>42582</v>
      </c>
      <c r="R173" s="2" t="s">
        <v>870</v>
      </c>
      <c r="S173" s="2" t="s">
        <v>35</v>
      </c>
    </row>
    <row r="174" spans="1:19" hidden="1" x14ac:dyDescent="0.25">
      <c r="A174" s="2" t="s">
        <v>1996</v>
      </c>
      <c r="B174" s="2" t="s">
        <v>31</v>
      </c>
      <c r="C174" s="2" t="s">
        <v>44</v>
      </c>
      <c r="D174" s="2" t="s">
        <v>871</v>
      </c>
      <c r="E174" s="2">
        <v>268</v>
      </c>
      <c r="F174" s="2">
        <v>29.699566000000001</v>
      </c>
      <c r="G174" s="2">
        <v>-85.149565999999993</v>
      </c>
      <c r="H174" s="2" t="s">
        <v>34</v>
      </c>
      <c r="I174" s="2" t="s">
        <v>46</v>
      </c>
      <c r="J174" s="2" t="s">
        <v>34</v>
      </c>
      <c r="K174" s="2" t="s">
        <v>34</v>
      </c>
      <c r="L174" s="2" t="s">
        <v>34</v>
      </c>
      <c r="M174" s="2" t="s">
        <v>34</v>
      </c>
      <c r="N174" s="2" t="s">
        <v>34</v>
      </c>
      <c r="O174" s="2" t="s">
        <v>34</v>
      </c>
      <c r="P174" s="3">
        <v>42491</v>
      </c>
      <c r="Q174" s="3">
        <v>42582</v>
      </c>
      <c r="R174" s="2" t="s">
        <v>872</v>
      </c>
      <c r="S174" s="2" t="s">
        <v>35</v>
      </c>
    </row>
    <row r="175" spans="1:19" hidden="1" x14ac:dyDescent="0.25">
      <c r="A175" s="2" t="s">
        <v>1997</v>
      </c>
      <c r="B175" s="2" t="s">
        <v>31</v>
      </c>
      <c r="C175" s="2" t="s">
        <v>44</v>
      </c>
      <c r="D175" s="2" t="s">
        <v>873</v>
      </c>
      <c r="E175" s="2">
        <v>284</v>
      </c>
      <c r="F175" s="2">
        <v>29.698982999999998</v>
      </c>
      <c r="G175" s="2">
        <v>-85.126149999999996</v>
      </c>
      <c r="H175" s="2" t="s">
        <v>34</v>
      </c>
      <c r="I175" s="2" t="s">
        <v>46</v>
      </c>
      <c r="J175" s="2" t="s">
        <v>34</v>
      </c>
      <c r="K175" s="2" t="s">
        <v>34</v>
      </c>
      <c r="L175" s="2" t="s">
        <v>34</v>
      </c>
      <c r="M175" s="2" t="s">
        <v>34</v>
      </c>
      <c r="N175" s="2" t="s">
        <v>34</v>
      </c>
      <c r="O175" s="2" t="s">
        <v>34</v>
      </c>
      <c r="P175" s="3">
        <v>42491</v>
      </c>
      <c r="Q175" s="3">
        <v>42582</v>
      </c>
      <c r="R175" s="2" t="s">
        <v>874</v>
      </c>
      <c r="S175" s="2" t="s">
        <v>35</v>
      </c>
    </row>
    <row r="176" spans="1:19" hidden="1" x14ac:dyDescent="0.25">
      <c r="A176" s="2" t="s">
        <v>1998</v>
      </c>
      <c r="B176" s="2" t="s">
        <v>31</v>
      </c>
      <c r="C176" s="2" t="s">
        <v>44</v>
      </c>
      <c r="D176" s="2" t="s">
        <v>875</v>
      </c>
      <c r="E176" s="2">
        <v>288</v>
      </c>
      <c r="F176" s="2">
        <v>29.695633000000001</v>
      </c>
      <c r="G176" s="2">
        <v>-85.143349999999998</v>
      </c>
      <c r="H176" s="2" t="s">
        <v>34</v>
      </c>
      <c r="I176" s="2" t="s">
        <v>46</v>
      </c>
      <c r="J176" s="2" t="s">
        <v>34</v>
      </c>
      <c r="K176" s="2" t="s">
        <v>34</v>
      </c>
      <c r="L176" s="2" t="s">
        <v>34</v>
      </c>
      <c r="M176" s="2" t="s">
        <v>34</v>
      </c>
      <c r="N176" s="2" t="s">
        <v>34</v>
      </c>
      <c r="O176" s="2" t="s">
        <v>34</v>
      </c>
      <c r="P176" s="3">
        <v>42491</v>
      </c>
      <c r="Q176" s="3">
        <v>42582</v>
      </c>
      <c r="R176" s="2" t="s">
        <v>876</v>
      </c>
      <c r="S176" s="2" t="s">
        <v>35</v>
      </c>
    </row>
    <row r="177" spans="1:19" hidden="1" x14ac:dyDescent="0.25">
      <c r="A177" s="2" t="s">
        <v>1999</v>
      </c>
      <c r="B177" s="2" t="s">
        <v>31</v>
      </c>
      <c r="C177" s="2" t="s">
        <v>44</v>
      </c>
      <c r="D177" s="2" t="s">
        <v>877</v>
      </c>
      <c r="E177" s="2">
        <v>310</v>
      </c>
      <c r="F177" s="2">
        <v>29.693650000000002</v>
      </c>
      <c r="G177" s="2">
        <v>-85.126232999999999</v>
      </c>
      <c r="H177" s="2" t="s">
        <v>34</v>
      </c>
      <c r="I177" s="2" t="s">
        <v>46</v>
      </c>
      <c r="J177" s="2" t="s">
        <v>34</v>
      </c>
      <c r="K177" s="2" t="s">
        <v>34</v>
      </c>
      <c r="L177" s="2" t="s">
        <v>34</v>
      </c>
      <c r="M177" s="2" t="s">
        <v>34</v>
      </c>
      <c r="N177" s="2" t="s">
        <v>34</v>
      </c>
      <c r="O177" s="2" t="s">
        <v>34</v>
      </c>
      <c r="P177" s="3">
        <v>42491</v>
      </c>
      <c r="Q177" s="3">
        <v>42582</v>
      </c>
      <c r="R177" s="2" t="s">
        <v>878</v>
      </c>
      <c r="S177" s="2" t="s">
        <v>35</v>
      </c>
    </row>
    <row r="178" spans="1:19" hidden="1" x14ac:dyDescent="0.25">
      <c r="A178" s="2" t="s">
        <v>2000</v>
      </c>
      <c r="B178" s="2" t="s">
        <v>31</v>
      </c>
      <c r="C178" s="2" t="s">
        <v>44</v>
      </c>
      <c r="D178" s="2" t="s">
        <v>879</v>
      </c>
      <c r="E178" s="2">
        <v>324</v>
      </c>
      <c r="F178" s="2">
        <v>29.68845</v>
      </c>
      <c r="G178" s="2">
        <v>-85.149416000000002</v>
      </c>
      <c r="H178" s="2" t="s">
        <v>34</v>
      </c>
      <c r="I178" s="2" t="s">
        <v>46</v>
      </c>
      <c r="J178" s="2" t="s">
        <v>34</v>
      </c>
      <c r="K178" s="2" t="s">
        <v>34</v>
      </c>
      <c r="L178" s="2" t="s">
        <v>34</v>
      </c>
      <c r="M178" s="2" t="s">
        <v>34</v>
      </c>
      <c r="N178" s="2" t="s">
        <v>34</v>
      </c>
      <c r="O178" s="2" t="s">
        <v>34</v>
      </c>
      <c r="P178" s="3">
        <v>42491</v>
      </c>
      <c r="Q178" s="3">
        <v>42582</v>
      </c>
      <c r="R178" s="2" t="s">
        <v>880</v>
      </c>
      <c r="S178" s="2" t="s">
        <v>35</v>
      </c>
    </row>
    <row r="179" spans="1:19" hidden="1" x14ac:dyDescent="0.25">
      <c r="A179" s="2" t="s">
        <v>2001</v>
      </c>
      <c r="B179" s="2" t="s">
        <v>31</v>
      </c>
      <c r="C179" s="2" t="s">
        <v>44</v>
      </c>
      <c r="D179" s="2" t="s">
        <v>881</v>
      </c>
      <c r="E179" s="2">
        <v>332</v>
      </c>
      <c r="F179" s="2">
        <v>29.687249999999999</v>
      </c>
      <c r="G179" s="2">
        <v>-85.152632999999994</v>
      </c>
      <c r="H179" s="2" t="s">
        <v>34</v>
      </c>
      <c r="I179" s="2" t="s">
        <v>46</v>
      </c>
      <c r="J179" s="2" t="s">
        <v>34</v>
      </c>
      <c r="K179" s="2" t="s">
        <v>34</v>
      </c>
      <c r="L179" s="2" t="s">
        <v>34</v>
      </c>
      <c r="M179" s="2" t="s">
        <v>34</v>
      </c>
      <c r="N179" s="2" t="s">
        <v>34</v>
      </c>
      <c r="O179" s="2" t="s">
        <v>34</v>
      </c>
      <c r="P179" s="3">
        <v>42491</v>
      </c>
      <c r="Q179" s="3">
        <v>42582</v>
      </c>
      <c r="R179" s="2" t="s">
        <v>882</v>
      </c>
      <c r="S179" s="2" t="s">
        <v>35</v>
      </c>
    </row>
    <row r="180" spans="1:19" hidden="1" x14ac:dyDescent="0.25">
      <c r="A180" s="2" t="s">
        <v>2002</v>
      </c>
      <c r="B180" s="2" t="s">
        <v>31</v>
      </c>
      <c r="C180" s="2" t="s">
        <v>44</v>
      </c>
      <c r="D180" s="2" t="s">
        <v>883</v>
      </c>
      <c r="E180" s="2">
        <v>333</v>
      </c>
      <c r="F180" s="2">
        <v>29.6875</v>
      </c>
      <c r="G180" s="2">
        <v>-85.150482999999994</v>
      </c>
      <c r="H180" s="2" t="s">
        <v>34</v>
      </c>
      <c r="I180" s="2" t="s">
        <v>46</v>
      </c>
      <c r="J180" s="2" t="s">
        <v>34</v>
      </c>
      <c r="K180" s="2" t="s">
        <v>34</v>
      </c>
      <c r="L180" s="2" t="s">
        <v>34</v>
      </c>
      <c r="M180" s="2" t="s">
        <v>34</v>
      </c>
      <c r="N180" s="2" t="s">
        <v>34</v>
      </c>
      <c r="O180" s="2" t="s">
        <v>34</v>
      </c>
      <c r="P180" s="3">
        <v>42491</v>
      </c>
      <c r="Q180" s="3">
        <v>42582</v>
      </c>
      <c r="R180" s="2" t="s">
        <v>884</v>
      </c>
      <c r="S180" s="2" t="s">
        <v>35</v>
      </c>
    </row>
    <row r="181" spans="1:19" hidden="1" x14ac:dyDescent="0.25">
      <c r="A181" s="2" t="s">
        <v>2003</v>
      </c>
      <c r="B181" s="2" t="s">
        <v>31</v>
      </c>
      <c r="C181" s="2" t="s">
        <v>44</v>
      </c>
      <c r="D181" s="2" t="s">
        <v>885</v>
      </c>
      <c r="E181" s="2">
        <v>359</v>
      </c>
      <c r="F181" s="2">
        <v>29.673950000000001</v>
      </c>
      <c r="G181" s="2">
        <v>-85.147649999999999</v>
      </c>
      <c r="H181" s="2" t="s">
        <v>34</v>
      </c>
      <c r="I181" s="2" t="s">
        <v>46</v>
      </c>
      <c r="J181" s="2" t="s">
        <v>34</v>
      </c>
      <c r="K181" s="2" t="s">
        <v>34</v>
      </c>
      <c r="L181" s="2" t="s">
        <v>34</v>
      </c>
      <c r="M181" s="2" t="s">
        <v>34</v>
      </c>
      <c r="N181" s="2" t="s">
        <v>34</v>
      </c>
      <c r="O181" s="2" t="s">
        <v>34</v>
      </c>
      <c r="P181" s="3">
        <v>42491</v>
      </c>
      <c r="Q181" s="3">
        <v>42582</v>
      </c>
      <c r="R181" s="2" t="s">
        <v>886</v>
      </c>
      <c r="S181" s="2" t="s">
        <v>35</v>
      </c>
    </row>
    <row r="182" spans="1:19" hidden="1" x14ac:dyDescent="0.25">
      <c r="A182" s="2" t="s">
        <v>2004</v>
      </c>
      <c r="B182" s="2" t="s">
        <v>31</v>
      </c>
      <c r="C182" s="2" t="s">
        <v>44</v>
      </c>
      <c r="D182" s="2" t="s">
        <v>887</v>
      </c>
      <c r="E182" s="2">
        <v>375</v>
      </c>
      <c r="F182" s="2">
        <v>29.672865999999999</v>
      </c>
      <c r="G182" s="2">
        <v>-85.136915999999999</v>
      </c>
      <c r="H182" s="2" t="s">
        <v>34</v>
      </c>
      <c r="I182" s="2" t="s">
        <v>46</v>
      </c>
      <c r="J182" s="2" t="s">
        <v>34</v>
      </c>
      <c r="K182" s="2" t="s">
        <v>34</v>
      </c>
      <c r="L182" s="2" t="s">
        <v>34</v>
      </c>
      <c r="M182" s="2" t="s">
        <v>34</v>
      </c>
      <c r="N182" s="2" t="s">
        <v>34</v>
      </c>
      <c r="O182" s="2" t="s">
        <v>34</v>
      </c>
      <c r="P182" s="3">
        <v>42491</v>
      </c>
      <c r="Q182" s="3">
        <v>42582</v>
      </c>
      <c r="R182" s="2" t="s">
        <v>888</v>
      </c>
      <c r="S182" s="2" t="s">
        <v>35</v>
      </c>
    </row>
    <row r="183" spans="1:19" hidden="1" x14ac:dyDescent="0.25">
      <c r="A183" s="2" t="s">
        <v>2005</v>
      </c>
      <c r="B183" s="2" t="s">
        <v>31</v>
      </c>
      <c r="C183" s="2" t="s">
        <v>44</v>
      </c>
      <c r="D183" s="2" t="s">
        <v>889</v>
      </c>
      <c r="E183" s="2">
        <v>409</v>
      </c>
      <c r="F183" s="2">
        <v>29.711832999999999</v>
      </c>
      <c r="G183" s="2">
        <v>-85.112949999999998</v>
      </c>
      <c r="H183" s="2" t="s">
        <v>34</v>
      </c>
      <c r="I183" s="2" t="s">
        <v>46</v>
      </c>
      <c r="J183" s="2" t="s">
        <v>34</v>
      </c>
      <c r="K183" s="2" t="s">
        <v>34</v>
      </c>
      <c r="L183" s="2" t="s">
        <v>34</v>
      </c>
      <c r="M183" s="2" t="s">
        <v>34</v>
      </c>
      <c r="N183" s="2" t="s">
        <v>34</v>
      </c>
      <c r="O183" s="2" t="s">
        <v>34</v>
      </c>
      <c r="P183" s="3">
        <v>42491</v>
      </c>
      <c r="Q183" s="3">
        <v>42582</v>
      </c>
      <c r="R183" s="2" t="s">
        <v>890</v>
      </c>
      <c r="S183" s="2" t="s">
        <v>35</v>
      </c>
    </row>
    <row r="184" spans="1:19" hidden="1" x14ac:dyDescent="0.25">
      <c r="A184" s="2" t="s">
        <v>2006</v>
      </c>
      <c r="B184" s="2" t="s">
        <v>31</v>
      </c>
      <c r="C184" s="2" t="s">
        <v>44</v>
      </c>
      <c r="D184" s="2" t="s">
        <v>891</v>
      </c>
      <c r="E184" s="2">
        <v>497</v>
      </c>
      <c r="F184" s="2">
        <v>29.695533000000001</v>
      </c>
      <c r="G184" s="2">
        <v>-85.103049999999996</v>
      </c>
      <c r="H184" s="2" t="s">
        <v>34</v>
      </c>
      <c r="I184" s="2" t="s">
        <v>46</v>
      </c>
      <c r="J184" s="2" t="s">
        <v>34</v>
      </c>
      <c r="K184" s="2" t="s">
        <v>34</v>
      </c>
      <c r="L184" s="2" t="s">
        <v>34</v>
      </c>
      <c r="M184" s="2" t="s">
        <v>34</v>
      </c>
      <c r="N184" s="2" t="s">
        <v>34</v>
      </c>
      <c r="O184" s="2" t="s">
        <v>34</v>
      </c>
      <c r="P184" s="3">
        <v>42491</v>
      </c>
      <c r="Q184" s="3">
        <v>42582</v>
      </c>
      <c r="R184" s="2" t="s">
        <v>892</v>
      </c>
      <c r="S184" s="2" t="s">
        <v>35</v>
      </c>
    </row>
    <row r="185" spans="1:19" hidden="1" x14ac:dyDescent="0.25">
      <c r="A185" s="2" t="s">
        <v>2007</v>
      </c>
      <c r="B185" s="2" t="s">
        <v>31</v>
      </c>
      <c r="C185" s="2" t="s">
        <v>44</v>
      </c>
      <c r="D185" s="2" t="s">
        <v>893</v>
      </c>
      <c r="E185" s="2">
        <v>508</v>
      </c>
      <c r="F185" s="2">
        <v>29.693883</v>
      </c>
      <c r="G185" s="2">
        <v>-85.115300000000005</v>
      </c>
      <c r="H185" s="2" t="s">
        <v>34</v>
      </c>
      <c r="I185" s="2" t="s">
        <v>46</v>
      </c>
      <c r="J185" s="2" t="s">
        <v>34</v>
      </c>
      <c r="K185" s="2" t="s">
        <v>34</v>
      </c>
      <c r="L185" s="2" t="s">
        <v>34</v>
      </c>
      <c r="M185" s="2" t="s">
        <v>34</v>
      </c>
      <c r="N185" s="2" t="s">
        <v>34</v>
      </c>
      <c r="O185" s="2" t="s">
        <v>34</v>
      </c>
      <c r="P185" s="3">
        <v>42491</v>
      </c>
      <c r="Q185" s="3">
        <v>42582</v>
      </c>
      <c r="R185" s="2" t="s">
        <v>894</v>
      </c>
      <c r="S185" s="2" t="s">
        <v>35</v>
      </c>
    </row>
    <row r="186" spans="1:19" hidden="1" x14ac:dyDescent="0.25">
      <c r="A186" s="2" t="s">
        <v>2008</v>
      </c>
      <c r="B186" s="2" t="s">
        <v>31</v>
      </c>
      <c r="C186" s="2" t="s">
        <v>44</v>
      </c>
      <c r="D186" s="2" t="s">
        <v>895</v>
      </c>
      <c r="E186" s="2">
        <v>510</v>
      </c>
      <c r="F186" s="2">
        <v>29.691915999999999</v>
      </c>
      <c r="G186" s="2">
        <v>-85.109882999999996</v>
      </c>
      <c r="H186" s="2" t="s">
        <v>34</v>
      </c>
      <c r="I186" s="2" t="s">
        <v>46</v>
      </c>
      <c r="J186" s="2" t="s">
        <v>34</v>
      </c>
      <c r="K186" s="2" t="s">
        <v>34</v>
      </c>
      <c r="L186" s="2" t="s">
        <v>34</v>
      </c>
      <c r="M186" s="2" t="s">
        <v>34</v>
      </c>
      <c r="N186" s="2" t="s">
        <v>34</v>
      </c>
      <c r="O186" s="2" t="s">
        <v>34</v>
      </c>
      <c r="P186" s="3">
        <v>42491</v>
      </c>
      <c r="Q186" s="3">
        <v>42582</v>
      </c>
      <c r="R186" s="2" t="s">
        <v>896</v>
      </c>
      <c r="S186" s="2" t="s">
        <v>35</v>
      </c>
    </row>
    <row r="187" spans="1:19" hidden="1" x14ac:dyDescent="0.25">
      <c r="A187" s="2" t="s">
        <v>2009</v>
      </c>
      <c r="B187" s="2" t="s">
        <v>31</v>
      </c>
      <c r="C187" s="2" t="s">
        <v>44</v>
      </c>
      <c r="D187" s="2" t="s">
        <v>897</v>
      </c>
      <c r="E187" s="2">
        <v>520</v>
      </c>
      <c r="F187" s="2">
        <v>29.692533000000001</v>
      </c>
      <c r="G187" s="2">
        <v>-85.122100000000003</v>
      </c>
      <c r="H187" s="2" t="s">
        <v>34</v>
      </c>
      <c r="I187" s="2" t="s">
        <v>46</v>
      </c>
      <c r="J187" s="2" t="s">
        <v>34</v>
      </c>
      <c r="K187" s="2" t="s">
        <v>34</v>
      </c>
      <c r="L187" s="2" t="s">
        <v>34</v>
      </c>
      <c r="M187" s="2" t="s">
        <v>34</v>
      </c>
      <c r="N187" s="2" t="s">
        <v>34</v>
      </c>
      <c r="O187" s="2" t="s">
        <v>34</v>
      </c>
      <c r="P187" s="3">
        <v>42491</v>
      </c>
      <c r="Q187" s="3">
        <v>42582</v>
      </c>
      <c r="R187" s="2" t="s">
        <v>898</v>
      </c>
      <c r="S187" s="2" t="s">
        <v>35</v>
      </c>
    </row>
    <row r="188" spans="1:19" hidden="1" x14ac:dyDescent="0.25">
      <c r="A188" s="2" t="s">
        <v>2010</v>
      </c>
      <c r="B188" s="2" t="s">
        <v>31</v>
      </c>
      <c r="C188" s="2" t="s">
        <v>44</v>
      </c>
      <c r="D188" s="2" t="s">
        <v>899</v>
      </c>
      <c r="E188" s="2">
        <v>547</v>
      </c>
      <c r="F188" s="2">
        <v>29.692933</v>
      </c>
      <c r="G188" s="2">
        <v>-85.089016000000001</v>
      </c>
      <c r="H188" s="2" t="s">
        <v>34</v>
      </c>
      <c r="I188" s="2" t="s">
        <v>46</v>
      </c>
      <c r="J188" s="2" t="s">
        <v>34</v>
      </c>
      <c r="K188" s="2" t="s">
        <v>34</v>
      </c>
      <c r="L188" s="2" t="s">
        <v>34</v>
      </c>
      <c r="M188" s="2" t="s">
        <v>34</v>
      </c>
      <c r="N188" s="2" t="s">
        <v>34</v>
      </c>
      <c r="O188" s="2" t="s">
        <v>34</v>
      </c>
      <c r="P188" s="3">
        <v>42491</v>
      </c>
      <c r="Q188" s="3">
        <v>42582</v>
      </c>
      <c r="R188" s="2" t="s">
        <v>900</v>
      </c>
      <c r="S188" s="2" t="s">
        <v>35</v>
      </c>
    </row>
    <row r="189" spans="1:19" hidden="1" x14ac:dyDescent="0.25">
      <c r="A189" s="2" t="s">
        <v>2011</v>
      </c>
      <c r="B189" s="2" t="s">
        <v>31</v>
      </c>
      <c r="C189" s="2" t="s">
        <v>44</v>
      </c>
      <c r="D189" s="2" t="s">
        <v>901</v>
      </c>
      <c r="E189" s="2">
        <v>553</v>
      </c>
      <c r="F189" s="2">
        <v>29.692983000000002</v>
      </c>
      <c r="G189" s="2">
        <v>-85.089250000000007</v>
      </c>
      <c r="H189" s="2" t="s">
        <v>34</v>
      </c>
      <c r="I189" s="2" t="s">
        <v>46</v>
      </c>
      <c r="J189" s="2" t="s">
        <v>34</v>
      </c>
      <c r="K189" s="2" t="s">
        <v>34</v>
      </c>
      <c r="L189" s="2" t="s">
        <v>34</v>
      </c>
      <c r="M189" s="2" t="s">
        <v>34</v>
      </c>
      <c r="N189" s="2" t="s">
        <v>34</v>
      </c>
      <c r="O189" s="2" t="s">
        <v>34</v>
      </c>
      <c r="P189" s="3">
        <v>42491</v>
      </c>
      <c r="Q189" s="3">
        <v>42582</v>
      </c>
      <c r="R189" s="2" t="s">
        <v>902</v>
      </c>
      <c r="S189" s="2" t="s">
        <v>35</v>
      </c>
    </row>
    <row r="190" spans="1:19" hidden="1" x14ac:dyDescent="0.25">
      <c r="A190" s="2" t="s">
        <v>2012</v>
      </c>
      <c r="B190" s="2" t="s">
        <v>31</v>
      </c>
      <c r="C190" s="2" t="s">
        <v>44</v>
      </c>
      <c r="D190" s="2" t="s">
        <v>903</v>
      </c>
      <c r="E190" s="2">
        <v>554</v>
      </c>
      <c r="F190" s="2">
        <v>29.6876</v>
      </c>
      <c r="G190" s="2">
        <v>-85.088815999999994</v>
      </c>
      <c r="H190" s="2" t="s">
        <v>34</v>
      </c>
      <c r="I190" s="2" t="s">
        <v>46</v>
      </c>
      <c r="J190" s="2" t="s">
        <v>34</v>
      </c>
      <c r="K190" s="2" t="s">
        <v>34</v>
      </c>
      <c r="L190" s="2" t="s">
        <v>34</v>
      </c>
      <c r="M190" s="2" t="s">
        <v>34</v>
      </c>
      <c r="N190" s="2" t="s">
        <v>34</v>
      </c>
      <c r="O190" s="2" t="s">
        <v>34</v>
      </c>
      <c r="P190" s="3">
        <v>42491</v>
      </c>
      <c r="Q190" s="3">
        <v>42582</v>
      </c>
      <c r="R190" s="2" t="s">
        <v>904</v>
      </c>
      <c r="S190" s="2" t="s">
        <v>35</v>
      </c>
    </row>
    <row r="191" spans="1:19" hidden="1" x14ac:dyDescent="0.25">
      <c r="A191" s="2" t="s">
        <v>2013</v>
      </c>
      <c r="B191" s="2" t="s">
        <v>31</v>
      </c>
      <c r="C191" s="2" t="s">
        <v>44</v>
      </c>
      <c r="D191" s="2" t="s">
        <v>905</v>
      </c>
      <c r="E191" s="2">
        <v>556</v>
      </c>
      <c r="F191" s="2">
        <v>29.683733</v>
      </c>
      <c r="G191" s="2">
        <v>-85.084665999999999</v>
      </c>
      <c r="H191" s="2" t="s">
        <v>34</v>
      </c>
      <c r="I191" s="2" t="s">
        <v>46</v>
      </c>
      <c r="J191" s="2" t="s">
        <v>34</v>
      </c>
      <c r="K191" s="2" t="s">
        <v>34</v>
      </c>
      <c r="L191" s="2" t="s">
        <v>34</v>
      </c>
      <c r="M191" s="2" t="s">
        <v>34</v>
      </c>
      <c r="N191" s="2" t="s">
        <v>34</v>
      </c>
      <c r="O191" s="2" t="s">
        <v>34</v>
      </c>
      <c r="P191" s="3">
        <v>42491</v>
      </c>
      <c r="Q191" s="3">
        <v>42582</v>
      </c>
      <c r="R191" s="2" t="s">
        <v>906</v>
      </c>
      <c r="S191" s="2" t="s">
        <v>35</v>
      </c>
    </row>
    <row r="192" spans="1:19" hidden="1" x14ac:dyDescent="0.25">
      <c r="A192" s="2" t="s">
        <v>2014</v>
      </c>
      <c r="B192" s="2" t="s">
        <v>31</v>
      </c>
      <c r="C192" s="2" t="s">
        <v>44</v>
      </c>
      <c r="D192" s="2" t="s">
        <v>907</v>
      </c>
      <c r="E192" s="2">
        <v>562</v>
      </c>
      <c r="F192" s="2">
        <v>29.715032999999998</v>
      </c>
      <c r="G192" s="2">
        <v>-85.070965999999999</v>
      </c>
      <c r="H192" s="2" t="s">
        <v>34</v>
      </c>
      <c r="I192" s="2" t="s">
        <v>46</v>
      </c>
      <c r="J192" s="2" t="s">
        <v>34</v>
      </c>
      <c r="K192" s="2" t="s">
        <v>34</v>
      </c>
      <c r="L192" s="2" t="s">
        <v>34</v>
      </c>
      <c r="M192" s="2" t="s">
        <v>34</v>
      </c>
      <c r="N192" s="2" t="s">
        <v>34</v>
      </c>
      <c r="O192" s="2" t="s">
        <v>34</v>
      </c>
      <c r="P192" s="3">
        <v>42491</v>
      </c>
      <c r="Q192" s="3">
        <v>42582</v>
      </c>
      <c r="R192" s="2" t="s">
        <v>908</v>
      </c>
      <c r="S192" s="2" t="s">
        <v>35</v>
      </c>
    </row>
    <row r="193" spans="1:19" hidden="1" x14ac:dyDescent="0.25">
      <c r="A193" s="2" t="s">
        <v>2015</v>
      </c>
      <c r="B193" s="2" t="s">
        <v>31</v>
      </c>
      <c r="C193" s="2" t="s">
        <v>44</v>
      </c>
      <c r="D193" s="2" t="s">
        <v>909</v>
      </c>
      <c r="E193" s="2">
        <v>567</v>
      </c>
      <c r="F193" s="2">
        <v>29.714549999999999</v>
      </c>
      <c r="G193" s="2">
        <v>-85.077516000000003</v>
      </c>
      <c r="H193" s="2" t="s">
        <v>34</v>
      </c>
      <c r="I193" s="2" t="s">
        <v>46</v>
      </c>
      <c r="J193" s="2" t="s">
        <v>34</v>
      </c>
      <c r="K193" s="2" t="s">
        <v>34</v>
      </c>
      <c r="L193" s="2" t="s">
        <v>34</v>
      </c>
      <c r="M193" s="2" t="s">
        <v>34</v>
      </c>
      <c r="N193" s="2" t="s">
        <v>34</v>
      </c>
      <c r="O193" s="2" t="s">
        <v>34</v>
      </c>
      <c r="P193" s="3">
        <v>42491</v>
      </c>
      <c r="Q193" s="3">
        <v>42582</v>
      </c>
      <c r="R193" s="2" t="s">
        <v>910</v>
      </c>
      <c r="S193" s="2" t="s">
        <v>35</v>
      </c>
    </row>
    <row r="194" spans="1:19" hidden="1" x14ac:dyDescent="0.25">
      <c r="A194" s="2" t="s">
        <v>2016</v>
      </c>
      <c r="B194" s="2" t="s">
        <v>31</v>
      </c>
      <c r="C194" s="2" t="s">
        <v>44</v>
      </c>
      <c r="D194" s="2" t="s">
        <v>911</v>
      </c>
      <c r="E194" s="2">
        <v>604</v>
      </c>
      <c r="F194" s="2">
        <v>29.703983000000001</v>
      </c>
      <c r="G194" s="2">
        <v>-85.006084999999999</v>
      </c>
      <c r="H194" s="2" t="s">
        <v>34</v>
      </c>
      <c r="I194" s="2" t="s">
        <v>46</v>
      </c>
      <c r="J194" s="2" t="s">
        <v>34</v>
      </c>
      <c r="K194" s="2" t="s">
        <v>34</v>
      </c>
      <c r="L194" s="2" t="s">
        <v>34</v>
      </c>
      <c r="M194" s="2" t="s">
        <v>34</v>
      </c>
      <c r="N194" s="2" t="s">
        <v>34</v>
      </c>
      <c r="O194" s="2" t="s">
        <v>34</v>
      </c>
      <c r="P194" s="3">
        <v>42491</v>
      </c>
      <c r="Q194" s="3">
        <v>42582</v>
      </c>
      <c r="R194" s="2" t="s">
        <v>912</v>
      </c>
      <c r="S194" s="2" t="s">
        <v>35</v>
      </c>
    </row>
    <row r="195" spans="1:19" hidden="1" x14ac:dyDescent="0.25">
      <c r="A195" s="2" t="s">
        <v>2017</v>
      </c>
      <c r="B195" s="2" t="s">
        <v>31</v>
      </c>
      <c r="C195" s="2" t="s">
        <v>44</v>
      </c>
      <c r="D195" s="2" t="s">
        <v>913</v>
      </c>
      <c r="E195" s="2">
        <v>710</v>
      </c>
      <c r="F195" s="2">
        <v>29.677050000000001</v>
      </c>
      <c r="G195" s="2">
        <v>-85.054965999999993</v>
      </c>
      <c r="H195" s="2" t="s">
        <v>34</v>
      </c>
      <c r="I195" s="2" t="s">
        <v>46</v>
      </c>
      <c r="J195" s="2" t="s">
        <v>34</v>
      </c>
      <c r="K195" s="2" t="s">
        <v>34</v>
      </c>
      <c r="L195" s="2" t="s">
        <v>34</v>
      </c>
      <c r="M195" s="2" t="s">
        <v>34</v>
      </c>
      <c r="N195" s="2" t="s">
        <v>34</v>
      </c>
      <c r="O195" s="2" t="s">
        <v>34</v>
      </c>
      <c r="P195" s="3">
        <v>42491</v>
      </c>
      <c r="Q195" s="3">
        <v>42582</v>
      </c>
      <c r="R195" s="2" t="s">
        <v>914</v>
      </c>
      <c r="S195" s="2" t="s">
        <v>35</v>
      </c>
    </row>
    <row r="196" spans="1:19" hidden="1" x14ac:dyDescent="0.25">
      <c r="A196" s="2" t="s">
        <v>2018</v>
      </c>
      <c r="B196" s="2" t="s">
        <v>31</v>
      </c>
      <c r="C196" s="2" t="s">
        <v>44</v>
      </c>
      <c r="D196" s="2" t="s">
        <v>915</v>
      </c>
      <c r="E196" s="2">
        <v>716</v>
      </c>
      <c r="F196" s="2">
        <v>29.675833000000001</v>
      </c>
      <c r="G196" s="2">
        <v>-85.069132999999994</v>
      </c>
      <c r="H196" s="2" t="s">
        <v>34</v>
      </c>
      <c r="I196" s="2" t="s">
        <v>46</v>
      </c>
      <c r="J196" s="2" t="s">
        <v>34</v>
      </c>
      <c r="K196" s="2" t="s">
        <v>34</v>
      </c>
      <c r="L196" s="2" t="s">
        <v>34</v>
      </c>
      <c r="M196" s="2" t="s">
        <v>34</v>
      </c>
      <c r="N196" s="2" t="s">
        <v>34</v>
      </c>
      <c r="O196" s="2" t="s">
        <v>34</v>
      </c>
      <c r="P196" s="3">
        <v>42491</v>
      </c>
      <c r="Q196" s="3">
        <v>42582</v>
      </c>
      <c r="R196" s="2" t="s">
        <v>916</v>
      </c>
      <c r="S196" s="2" t="s">
        <v>35</v>
      </c>
    </row>
    <row r="197" spans="1:19" hidden="1" x14ac:dyDescent="0.25">
      <c r="A197" s="2" t="s">
        <v>2019</v>
      </c>
      <c r="B197" s="2" t="s">
        <v>31</v>
      </c>
      <c r="C197" s="2" t="s">
        <v>44</v>
      </c>
      <c r="D197" s="2" t="s">
        <v>917</v>
      </c>
      <c r="E197" s="2">
        <v>726</v>
      </c>
      <c r="F197" s="2">
        <v>29.673915999999998</v>
      </c>
      <c r="G197" s="2">
        <v>-85.069115999999994</v>
      </c>
      <c r="H197" s="2" t="s">
        <v>34</v>
      </c>
      <c r="I197" s="2" t="s">
        <v>46</v>
      </c>
      <c r="J197" s="2" t="s">
        <v>34</v>
      </c>
      <c r="K197" s="2" t="s">
        <v>34</v>
      </c>
      <c r="L197" s="2" t="s">
        <v>34</v>
      </c>
      <c r="M197" s="2" t="s">
        <v>34</v>
      </c>
      <c r="N197" s="2" t="s">
        <v>34</v>
      </c>
      <c r="O197" s="2" t="s">
        <v>34</v>
      </c>
      <c r="P197" s="3">
        <v>42491</v>
      </c>
      <c r="Q197" s="3">
        <v>42582</v>
      </c>
      <c r="R197" s="2" t="s">
        <v>918</v>
      </c>
      <c r="S197" s="2" t="s">
        <v>35</v>
      </c>
    </row>
    <row r="198" spans="1:19" hidden="1" x14ac:dyDescent="0.25">
      <c r="A198" s="2" t="s">
        <v>2020</v>
      </c>
      <c r="B198" s="2" t="s">
        <v>31</v>
      </c>
      <c r="C198" s="2" t="s">
        <v>44</v>
      </c>
      <c r="D198" s="2" t="s">
        <v>919</v>
      </c>
      <c r="E198" s="2">
        <v>727</v>
      </c>
      <c r="F198" s="2">
        <v>29.673432999999999</v>
      </c>
      <c r="G198" s="2">
        <v>-85.065866</v>
      </c>
      <c r="H198" s="2" t="s">
        <v>34</v>
      </c>
      <c r="I198" s="2" t="s">
        <v>46</v>
      </c>
      <c r="J198" s="2" t="s">
        <v>34</v>
      </c>
      <c r="K198" s="2" t="s">
        <v>34</v>
      </c>
      <c r="L198" s="2" t="s">
        <v>34</v>
      </c>
      <c r="M198" s="2" t="s">
        <v>34</v>
      </c>
      <c r="N198" s="2" t="s">
        <v>34</v>
      </c>
      <c r="O198" s="2" t="s">
        <v>34</v>
      </c>
      <c r="P198" s="3">
        <v>42491</v>
      </c>
      <c r="Q198" s="3">
        <v>42582</v>
      </c>
      <c r="R198" s="2" t="s">
        <v>920</v>
      </c>
      <c r="S198" s="2" t="s">
        <v>35</v>
      </c>
    </row>
    <row r="199" spans="1:19" hidden="1" x14ac:dyDescent="0.25">
      <c r="A199" s="2" t="s">
        <v>2021</v>
      </c>
      <c r="B199" s="2" t="s">
        <v>31</v>
      </c>
      <c r="C199" s="2" t="s">
        <v>44</v>
      </c>
      <c r="D199" s="2" t="s">
        <v>921</v>
      </c>
      <c r="E199" s="2">
        <v>762</v>
      </c>
      <c r="F199" s="2">
        <v>29.671665999999998</v>
      </c>
      <c r="G199" s="2">
        <v>-85.065866</v>
      </c>
      <c r="H199" s="2" t="s">
        <v>34</v>
      </c>
      <c r="I199" s="2" t="s">
        <v>46</v>
      </c>
      <c r="J199" s="2" t="s">
        <v>34</v>
      </c>
      <c r="K199" s="2" t="s">
        <v>34</v>
      </c>
      <c r="L199" s="2" t="s">
        <v>34</v>
      </c>
      <c r="M199" s="2" t="s">
        <v>34</v>
      </c>
      <c r="N199" s="2" t="s">
        <v>34</v>
      </c>
      <c r="O199" s="2" t="s">
        <v>34</v>
      </c>
      <c r="P199" s="3">
        <v>42491</v>
      </c>
      <c r="Q199" s="3">
        <v>42582</v>
      </c>
      <c r="R199" s="2" t="s">
        <v>922</v>
      </c>
      <c r="S199" s="2" t="s">
        <v>35</v>
      </c>
    </row>
    <row r="200" spans="1:19" hidden="1" x14ac:dyDescent="0.25">
      <c r="A200" s="2" t="s">
        <v>2022</v>
      </c>
      <c r="B200" s="2" t="s">
        <v>31</v>
      </c>
      <c r="C200" s="2" t="s">
        <v>44</v>
      </c>
      <c r="D200" s="2" t="s">
        <v>923</v>
      </c>
      <c r="E200" s="2">
        <v>763</v>
      </c>
      <c r="F200" s="2">
        <v>29.672083000000001</v>
      </c>
      <c r="G200" s="2">
        <v>-85.064166</v>
      </c>
      <c r="H200" s="2" t="s">
        <v>34</v>
      </c>
      <c r="I200" s="2" t="s">
        <v>46</v>
      </c>
      <c r="J200" s="2" t="s">
        <v>34</v>
      </c>
      <c r="K200" s="2" t="s">
        <v>34</v>
      </c>
      <c r="L200" s="2" t="s">
        <v>34</v>
      </c>
      <c r="M200" s="2" t="s">
        <v>34</v>
      </c>
      <c r="N200" s="2" t="s">
        <v>34</v>
      </c>
      <c r="O200" s="2" t="s">
        <v>34</v>
      </c>
      <c r="P200" s="3">
        <v>42491</v>
      </c>
      <c r="Q200" s="3">
        <v>42582</v>
      </c>
      <c r="R200" s="2" t="s">
        <v>924</v>
      </c>
      <c r="S200" s="2" t="s">
        <v>35</v>
      </c>
    </row>
    <row r="201" spans="1:19" hidden="1" x14ac:dyDescent="0.25">
      <c r="A201" s="2" t="s">
        <v>2023</v>
      </c>
      <c r="B201" s="2" t="s">
        <v>31</v>
      </c>
      <c r="C201" s="2" t="s">
        <v>44</v>
      </c>
      <c r="D201" s="2" t="s">
        <v>925</v>
      </c>
      <c r="E201" s="2">
        <v>788</v>
      </c>
      <c r="F201" s="2">
        <v>29.665716</v>
      </c>
      <c r="G201" s="2">
        <v>-85.063265999999999</v>
      </c>
      <c r="H201" s="2" t="s">
        <v>34</v>
      </c>
      <c r="I201" s="2" t="s">
        <v>46</v>
      </c>
      <c r="J201" s="2" t="s">
        <v>34</v>
      </c>
      <c r="K201" s="2" t="s">
        <v>34</v>
      </c>
      <c r="L201" s="2" t="s">
        <v>34</v>
      </c>
      <c r="M201" s="2" t="s">
        <v>34</v>
      </c>
      <c r="N201" s="2" t="s">
        <v>34</v>
      </c>
      <c r="O201" s="2" t="s">
        <v>34</v>
      </c>
      <c r="P201" s="3">
        <v>42491</v>
      </c>
      <c r="Q201" s="3">
        <v>42582</v>
      </c>
      <c r="R201" s="2" t="s">
        <v>926</v>
      </c>
      <c r="S201" s="2" t="s">
        <v>35</v>
      </c>
    </row>
    <row r="202" spans="1:19" hidden="1" x14ac:dyDescent="0.25">
      <c r="A202" s="2" t="s">
        <v>2024</v>
      </c>
      <c r="B202" s="2" t="s">
        <v>31</v>
      </c>
      <c r="C202" s="2" t="s">
        <v>44</v>
      </c>
      <c r="D202" s="2" t="s">
        <v>927</v>
      </c>
      <c r="E202" s="2">
        <v>817</v>
      </c>
      <c r="F202" s="2">
        <v>29.658715999999998</v>
      </c>
      <c r="G202" s="2">
        <v>-85.080150000000003</v>
      </c>
      <c r="H202" s="2" t="s">
        <v>34</v>
      </c>
      <c r="I202" s="2" t="s">
        <v>46</v>
      </c>
      <c r="J202" s="2" t="s">
        <v>34</v>
      </c>
      <c r="K202" s="2" t="s">
        <v>34</v>
      </c>
      <c r="L202" s="2" t="s">
        <v>34</v>
      </c>
      <c r="M202" s="2" t="s">
        <v>34</v>
      </c>
      <c r="N202" s="2" t="s">
        <v>34</v>
      </c>
      <c r="O202" s="2" t="s">
        <v>34</v>
      </c>
      <c r="P202" s="3">
        <v>42491</v>
      </c>
      <c r="Q202" s="3">
        <v>42582</v>
      </c>
      <c r="R202" s="2" t="s">
        <v>928</v>
      </c>
      <c r="S202" s="2" t="s">
        <v>35</v>
      </c>
    </row>
    <row r="203" spans="1:19" hidden="1" x14ac:dyDescent="0.25">
      <c r="A203" s="2" t="s">
        <v>2025</v>
      </c>
      <c r="B203" s="2" t="s">
        <v>31</v>
      </c>
      <c r="C203" s="2" t="s">
        <v>44</v>
      </c>
      <c r="D203" s="2" t="s">
        <v>929</v>
      </c>
      <c r="E203" s="2">
        <v>886</v>
      </c>
      <c r="F203" s="2">
        <v>29.653616</v>
      </c>
      <c r="G203" s="2">
        <v>-85.050150000000002</v>
      </c>
      <c r="H203" s="2" t="s">
        <v>34</v>
      </c>
      <c r="I203" s="2" t="s">
        <v>46</v>
      </c>
      <c r="J203" s="2" t="s">
        <v>34</v>
      </c>
      <c r="K203" s="2" t="s">
        <v>34</v>
      </c>
      <c r="L203" s="2" t="s">
        <v>34</v>
      </c>
      <c r="M203" s="2" t="s">
        <v>34</v>
      </c>
      <c r="N203" s="2" t="s">
        <v>34</v>
      </c>
      <c r="O203" s="2" t="s">
        <v>34</v>
      </c>
      <c r="P203" s="3">
        <v>42491</v>
      </c>
      <c r="Q203" s="3">
        <v>42582</v>
      </c>
      <c r="R203" s="2" t="s">
        <v>930</v>
      </c>
      <c r="S203" s="2" t="s">
        <v>35</v>
      </c>
    </row>
    <row r="204" spans="1:19" hidden="1" x14ac:dyDescent="0.25">
      <c r="A204" s="2" t="s">
        <v>2026</v>
      </c>
      <c r="B204" s="2" t="s">
        <v>31</v>
      </c>
      <c r="C204" s="2" t="s">
        <v>44</v>
      </c>
      <c r="D204" s="2" t="s">
        <v>931</v>
      </c>
      <c r="E204" s="2">
        <v>905</v>
      </c>
      <c r="F204" s="2">
        <v>29.651115999999998</v>
      </c>
      <c r="G204" s="2">
        <v>-85.075866000000005</v>
      </c>
      <c r="H204" s="2" t="s">
        <v>34</v>
      </c>
      <c r="I204" s="2" t="s">
        <v>46</v>
      </c>
      <c r="J204" s="2" t="s">
        <v>34</v>
      </c>
      <c r="K204" s="2" t="s">
        <v>34</v>
      </c>
      <c r="L204" s="2" t="s">
        <v>34</v>
      </c>
      <c r="M204" s="2" t="s">
        <v>34</v>
      </c>
      <c r="N204" s="2" t="s">
        <v>34</v>
      </c>
      <c r="O204" s="2" t="s">
        <v>34</v>
      </c>
      <c r="P204" s="3">
        <v>42491</v>
      </c>
      <c r="Q204" s="3">
        <v>42582</v>
      </c>
      <c r="R204" s="2" t="s">
        <v>932</v>
      </c>
      <c r="S204" s="2" t="s">
        <v>35</v>
      </c>
    </row>
    <row r="205" spans="1:19" hidden="1" x14ac:dyDescent="0.25">
      <c r="A205" s="2" t="s">
        <v>2027</v>
      </c>
      <c r="B205" s="2" t="s">
        <v>31</v>
      </c>
      <c r="C205" s="2" t="s">
        <v>44</v>
      </c>
      <c r="D205" s="2" t="s">
        <v>933</v>
      </c>
      <c r="E205" s="2">
        <v>934</v>
      </c>
      <c r="F205" s="2">
        <v>29.646100000000001</v>
      </c>
      <c r="G205" s="2">
        <v>-85.050899999999999</v>
      </c>
      <c r="H205" s="2" t="s">
        <v>34</v>
      </c>
      <c r="I205" s="2" t="s">
        <v>46</v>
      </c>
      <c r="J205" s="2" t="s">
        <v>34</v>
      </c>
      <c r="K205" s="2" t="s">
        <v>34</v>
      </c>
      <c r="L205" s="2" t="s">
        <v>34</v>
      </c>
      <c r="M205" s="2" t="s">
        <v>34</v>
      </c>
      <c r="N205" s="2" t="s">
        <v>34</v>
      </c>
      <c r="O205" s="2" t="s">
        <v>34</v>
      </c>
      <c r="P205" s="3">
        <v>42491</v>
      </c>
      <c r="Q205" s="3">
        <v>42582</v>
      </c>
      <c r="R205" s="2" t="s">
        <v>934</v>
      </c>
      <c r="S205" s="2" t="s">
        <v>35</v>
      </c>
    </row>
    <row r="206" spans="1:19" hidden="1" x14ac:dyDescent="0.25">
      <c r="A206" s="2" t="s">
        <v>2028</v>
      </c>
      <c r="B206" s="2" t="s">
        <v>31</v>
      </c>
      <c r="C206" s="2" t="s">
        <v>44</v>
      </c>
      <c r="D206" s="2" t="s">
        <v>935</v>
      </c>
      <c r="E206" s="2">
        <v>964</v>
      </c>
      <c r="F206" s="2">
        <v>29.639900000000001</v>
      </c>
      <c r="G206" s="2">
        <v>-85.051965999999993</v>
      </c>
      <c r="H206" s="2" t="s">
        <v>34</v>
      </c>
      <c r="I206" s="2" t="s">
        <v>46</v>
      </c>
      <c r="J206" s="2" t="s">
        <v>34</v>
      </c>
      <c r="K206" s="2" t="s">
        <v>34</v>
      </c>
      <c r="L206" s="2" t="s">
        <v>34</v>
      </c>
      <c r="M206" s="2" t="s">
        <v>34</v>
      </c>
      <c r="N206" s="2" t="s">
        <v>34</v>
      </c>
      <c r="O206" s="2" t="s">
        <v>34</v>
      </c>
      <c r="P206" s="3">
        <v>42491</v>
      </c>
      <c r="Q206" s="3">
        <v>42582</v>
      </c>
      <c r="R206" s="2" t="s">
        <v>936</v>
      </c>
      <c r="S206" s="2" t="s">
        <v>35</v>
      </c>
    </row>
    <row r="207" spans="1:19" hidden="1" x14ac:dyDescent="0.25">
      <c r="A207" s="2" t="s">
        <v>2029</v>
      </c>
      <c r="B207" s="2" t="s">
        <v>31</v>
      </c>
      <c r="C207" s="2" t="s">
        <v>44</v>
      </c>
      <c r="D207" s="2" t="s">
        <v>937</v>
      </c>
      <c r="E207" s="2">
        <v>973</v>
      </c>
      <c r="F207" s="2">
        <v>29.637166000000001</v>
      </c>
      <c r="G207" s="2">
        <v>-85.050183000000004</v>
      </c>
      <c r="H207" s="2" t="s">
        <v>34</v>
      </c>
      <c r="I207" s="2" t="s">
        <v>46</v>
      </c>
      <c r="J207" s="2" t="s">
        <v>34</v>
      </c>
      <c r="K207" s="2" t="s">
        <v>34</v>
      </c>
      <c r="L207" s="2" t="s">
        <v>34</v>
      </c>
      <c r="M207" s="2" t="s">
        <v>34</v>
      </c>
      <c r="N207" s="2" t="s">
        <v>34</v>
      </c>
      <c r="O207" s="2" t="s">
        <v>34</v>
      </c>
      <c r="P207" s="3">
        <v>42491</v>
      </c>
      <c r="Q207" s="3">
        <v>42582</v>
      </c>
      <c r="R207" s="2" t="s">
        <v>938</v>
      </c>
      <c r="S207" s="2" t="s">
        <v>35</v>
      </c>
    </row>
    <row r="208" spans="1:19" hidden="1" x14ac:dyDescent="0.25">
      <c r="A208" s="2" t="s">
        <v>2030</v>
      </c>
      <c r="B208" s="2" t="s">
        <v>31</v>
      </c>
      <c r="C208" s="2" t="s">
        <v>44</v>
      </c>
      <c r="D208" s="2" t="s">
        <v>939</v>
      </c>
      <c r="E208" s="2">
        <v>999</v>
      </c>
      <c r="F208" s="2">
        <v>29.631416000000002</v>
      </c>
      <c r="G208" s="2">
        <v>-85.047832999999997</v>
      </c>
      <c r="H208" s="2" t="s">
        <v>34</v>
      </c>
      <c r="I208" s="2" t="s">
        <v>46</v>
      </c>
      <c r="J208" s="2" t="s">
        <v>34</v>
      </c>
      <c r="K208" s="2" t="s">
        <v>34</v>
      </c>
      <c r="L208" s="2" t="s">
        <v>34</v>
      </c>
      <c r="M208" s="2" t="s">
        <v>34</v>
      </c>
      <c r="N208" s="2" t="s">
        <v>34</v>
      </c>
      <c r="O208" s="2" t="s">
        <v>34</v>
      </c>
      <c r="P208" s="3">
        <v>42491</v>
      </c>
      <c r="Q208" s="3">
        <v>42582</v>
      </c>
      <c r="R208" s="2" t="s">
        <v>940</v>
      </c>
      <c r="S208" s="2" t="s">
        <v>35</v>
      </c>
    </row>
    <row r="209" spans="1:19" hidden="1" x14ac:dyDescent="0.25">
      <c r="A209" s="2" t="s">
        <v>2031</v>
      </c>
      <c r="B209" s="2" t="s">
        <v>31</v>
      </c>
      <c r="C209" s="2" t="s">
        <v>44</v>
      </c>
      <c r="D209" s="2" t="s">
        <v>941</v>
      </c>
      <c r="E209" s="2">
        <v>1050</v>
      </c>
      <c r="F209" s="2">
        <v>29.695333000000002</v>
      </c>
      <c r="G209" s="2">
        <v>-85.039649999999995</v>
      </c>
      <c r="H209" s="2" t="s">
        <v>34</v>
      </c>
      <c r="I209" s="2" t="s">
        <v>46</v>
      </c>
      <c r="J209" s="2" t="s">
        <v>34</v>
      </c>
      <c r="K209" s="2" t="s">
        <v>34</v>
      </c>
      <c r="L209" s="2" t="s">
        <v>34</v>
      </c>
      <c r="M209" s="2" t="s">
        <v>34</v>
      </c>
      <c r="N209" s="2" t="s">
        <v>34</v>
      </c>
      <c r="O209" s="2" t="s">
        <v>34</v>
      </c>
      <c r="P209" s="3">
        <v>42491</v>
      </c>
      <c r="Q209" s="3">
        <v>42582</v>
      </c>
      <c r="R209" s="2" t="s">
        <v>942</v>
      </c>
      <c r="S209" s="2" t="s">
        <v>35</v>
      </c>
    </row>
    <row r="210" spans="1:19" hidden="1" x14ac:dyDescent="0.25">
      <c r="A210" s="2" t="s">
        <v>2032</v>
      </c>
      <c r="B210" s="2" t="s">
        <v>31</v>
      </c>
      <c r="C210" s="2" t="s">
        <v>44</v>
      </c>
      <c r="D210" s="2" t="s">
        <v>943</v>
      </c>
      <c r="E210" s="2">
        <v>1052</v>
      </c>
      <c r="F210" s="2">
        <v>29.694949999999999</v>
      </c>
      <c r="G210" s="2">
        <v>-85.034915999999996</v>
      </c>
      <c r="H210" s="2" t="s">
        <v>34</v>
      </c>
      <c r="I210" s="2" t="s">
        <v>46</v>
      </c>
      <c r="J210" s="2" t="s">
        <v>34</v>
      </c>
      <c r="K210" s="2" t="s">
        <v>34</v>
      </c>
      <c r="L210" s="2" t="s">
        <v>34</v>
      </c>
      <c r="M210" s="2" t="s">
        <v>34</v>
      </c>
      <c r="N210" s="2" t="s">
        <v>34</v>
      </c>
      <c r="O210" s="2" t="s">
        <v>34</v>
      </c>
      <c r="P210" s="3">
        <v>42491</v>
      </c>
      <c r="Q210" s="3">
        <v>42582</v>
      </c>
      <c r="R210" s="2" t="s">
        <v>944</v>
      </c>
      <c r="S210" s="2" t="s">
        <v>35</v>
      </c>
    </row>
    <row r="211" spans="1:19" hidden="1" x14ac:dyDescent="0.25">
      <c r="A211" s="2" t="s">
        <v>2033</v>
      </c>
      <c r="B211" s="2" t="s">
        <v>31</v>
      </c>
      <c r="C211" s="2" t="s">
        <v>44</v>
      </c>
      <c r="D211" s="2" t="s">
        <v>945</v>
      </c>
      <c r="E211" s="2">
        <v>1084</v>
      </c>
      <c r="F211" s="2">
        <v>29.683316000000001</v>
      </c>
      <c r="G211" s="2">
        <v>-85.024850000000001</v>
      </c>
      <c r="H211" s="2" t="s">
        <v>34</v>
      </c>
      <c r="I211" s="2" t="s">
        <v>46</v>
      </c>
      <c r="J211" s="2" t="s">
        <v>34</v>
      </c>
      <c r="K211" s="2" t="s">
        <v>34</v>
      </c>
      <c r="L211" s="2" t="s">
        <v>34</v>
      </c>
      <c r="M211" s="2" t="s">
        <v>34</v>
      </c>
      <c r="N211" s="2" t="s">
        <v>34</v>
      </c>
      <c r="O211" s="2" t="s">
        <v>34</v>
      </c>
      <c r="P211" s="3">
        <v>42491</v>
      </c>
      <c r="Q211" s="3">
        <v>42582</v>
      </c>
      <c r="R211" s="2" t="s">
        <v>946</v>
      </c>
      <c r="S211" s="2" t="s">
        <v>35</v>
      </c>
    </row>
    <row r="212" spans="1:19" hidden="1" x14ac:dyDescent="0.25">
      <c r="A212" s="2" t="s">
        <v>2034</v>
      </c>
      <c r="B212" s="2" t="s">
        <v>31</v>
      </c>
      <c r="C212" s="2" t="s">
        <v>44</v>
      </c>
      <c r="D212" s="2" t="s">
        <v>947</v>
      </c>
      <c r="E212" s="2">
        <v>1112</v>
      </c>
      <c r="F212" s="2">
        <v>29.685466000000002</v>
      </c>
      <c r="G212" s="2">
        <v>-85.037582999999998</v>
      </c>
      <c r="H212" s="2" t="s">
        <v>34</v>
      </c>
      <c r="I212" s="2" t="s">
        <v>46</v>
      </c>
      <c r="J212" s="2" t="s">
        <v>34</v>
      </c>
      <c r="K212" s="2" t="s">
        <v>34</v>
      </c>
      <c r="L212" s="2" t="s">
        <v>34</v>
      </c>
      <c r="M212" s="2" t="s">
        <v>34</v>
      </c>
      <c r="N212" s="2" t="s">
        <v>34</v>
      </c>
      <c r="O212" s="2" t="s">
        <v>34</v>
      </c>
      <c r="P212" s="3">
        <v>42491</v>
      </c>
      <c r="Q212" s="3">
        <v>42582</v>
      </c>
      <c r="R212" s="2" t="s">
        <v>948</v>
      </c>
      <c r="S212" s="2" t="s">
        <v>35</v>
      </c>
    </row>
    <row r="213" spans="1:19" hidden="1" x14ac:dyDescent="0.25">
      <c r="A213" s="2" t="s">
        <v>2035</v>
      </c>
      <c r="B213" s="2" t="s">
        <v>31</v>
      </c>
      <c r="C213" s="2" t="s">
        <v>44</v>
      </c>
      <c r="D213" s="2" t="s">
        <v>949</v>
      </c>
      <c r="E213" s="2">
        <v>1126</v>
      </c>
      <c r="F213" s="2">
        <v>29.680316000000001</v>
      </c>
      <c r="G213" s="2">
        <v>-85.038200000000003</v>
      </c>
      <c r="H213" s="2" t="s">
        <v>34</v>
      </c>
      <c r="I213" s="2" t="s">
        <v>46</v>
      </c>
      <c r="J213" s="2" t="s">
        <v>34</v>
      </c>
      <c r="K213" s="2" t="s">
        <v>34</v>
      </c>
      <c r="L213" s="2" t="s">
        <v>34</v>
      </c>
      <c r="M213" s="2" t="s">
        <v>34</v>
      </c>
      <c r="N213" s="2" t="s">
        <v>34</v>
      </c>
      <c r="O213" s="2" t="s">
        <v>34</v>
      </c>
      <c r="P213" s="3">
        <v>42491</v>
      </c>
      <c r="Q213" s="3">
        <v>42582</v>
      </c>
      <c r="R213" s="2" t="s">
        <v>950</v>
      </c>
      <c r="S213" s="2" t="s">
        <v>35</v>
      </c>
    </row>
    <row r="214" spans="1:19" hidden="1" x14ac:dyDescent="0.25">
      <c r="A214" s="2" t="s">
        <v>2036</v>
      </c>
      <c r="B214" s="2" t="s">
        <v>31</v>
      </c>
      <c r="C214" s="2" t="s">
        <v>44</v>
      </c>
      <c r="D214" s="2" t="s">
        <v>951</v>
      </c>
      <c r="E214" s="2">
        <v>1127</v>
      </c>
      <c r="F214" s="2">
        <v>29.684716000000002</v>
      </c>
      <c r="G214" s="2">
        <v>-85.037366000000006</v>
      </c>
      <c r="H214" s="2" t="s">
        <v>34</v>
      </c>
      <c r="I214" s="2" t="s">
        <v>46</v>
      </c>
      <c r="J214" s="2" t="s">
        <v>34</v>
      </c>
      <c r="K214" s="2" t="s">
        <v>34</v>
      </c>
      <c r="L214" s="2" t="s">
        <v>34</v>
      </c>
      <c r="M214" s="2" t="s">
        <v>34</v>
      </c>
      <c r="N214" s="2" t="s">
        <v>34</v>
      </c>
      <c r="O214" s="2" t="s">
        <v>34</v>
      </c>
      <c r="P214" s="3">
        <v>42491</v>
      </c>
      <c r="Q214" s="3">
        <v>42582</v>
      </c>
      <c r="R214" s="2" t="s">
        <v>952</v>
      </c>
      <c r="S214" s="2" t="s">
        <v>35</v>
      </c>
    </row>
    <row r="215" spans="1:19" hidden="1" x14ac:dyDescent="0.25">
      <c r="A215" s="2" t="s">
        <v>2037</v>
      </c>
      <c r="B215" s="2" t="s">
        <v>31</v>
      </c>
      <c r="C215" s="2" t="s">
        <v>44</v>
      </c>
      <c r="D215" s="2" t="s">
        <v>953</v>
      </c>
      <c r="E215" s="2">
        <v>1131</v>
      </c>
      <c r="F215" s="2">
        <v>29.681016</v>
      </c>
      <c r="G215" s="2">
        <v>-85.030016000000003</v>
      </c>
      <c r="H215" s="2" t="s">
        <v>34</v>
      </c>
      <c r="I215" s="2" t="s">
        <v>46</v>
      </c>
      <c r="J215" s="2" t="s">
        <v>34</v>
      </c>
      <c r="K215" s="2" t="s">
        <v>34</v>
      </c>
      <c r="L215" s="2" t="s">
        <v>34</v>
      </c>
      <c r="M215" s="2" t="s">
        <v>34</v>
      </c>
      <c r="N215" s="2" t="s">
        <v>34</v>
      </c>
      <c r="O215" s="2" t="s">
        <v>34</v>
      </c>
      <c r="P215" s="3">
        <v>42491</v>
      </c>
      <c r="Q215" s="3">
        <v>42582</v>
      </c>
      <c r="R215" s="2" t="s">
        <v>954</v>
      </c>
      <c r="S215" s="2" t="s">
        <v>35</v>
      </c>
    </row>
    <row r="216" spans="1:19" hidden="1" x14ac:dyDescent="0.25">
      <c r="A216" s="2" t="s">
        <v>2038</v>
      </c>
      <c r="B216" s="2" t="s">
        <v>31</v>
      </c>
      <c r="C216" s="2" t="s">
        <v>44</v>
      </c>
      <c r="D216" s="2" t="s">
        <v>955</v>
      </c>
      <c r="E216" s="2">
        <v>1134</v>
      </c>
      <c r="F216" s="2">
        <v>29.671433</v>
      </c>
      <c r="G216" s="2">
        <v>-85.058582999999999</v>
      </c>
      <c r="H216" s="2" t="s">
        <v>34</v>
      </c>
      <c r="I216" s="2" t="s">
        <v>46</v>
      </c>
      <c r="J216" s="2" t="s">
        <v>34</v>
      </c>
      <c r="K216" s="2" t="s">
        <v>34</v>
      </c>
      <c r="L216" s="2" t="s">
        <v>34</v>
      </c>
      <c r="M216" s="2" t="s">
        <v>34</v>
      </c>
      <c r="N216" s="2" t="s">
        <v>34</v>
      </c>
      <c r="O216" s="2" t="s">
        <v>34</v>
      </c>
      <c r="P216" s="3">
        <v>42491</v>
      </c>
      <c r="Q216" s="3">
        <v>42582</v>
      </c>
      <c r="R216" s="2" t="s">
        <v>956</v>
      </c>
      <c r="S216" s="2" t="s">
        <v>35</v>
      </c>
    </row>
    <row r="217" spans="1:19" hidden="1" x14ac:dyDescent="0.25">
      <c r="A217" s="2" t="s">
        <v>2039</v>
      </c>
      <c r="B217" s="2" t="s">
        <v>31</v>
      </c>
      <c r="C217" s="2" t="s">
        <v>44</v>
      </c>
      <c r="D217" s="2" t="s">
        <v>957</v>
      </c>
      <c r="E217" s="2">
        <v>1203</v>
      </c>
      <c r="F217" s="2">
        <v>29.648565999999999</v>
      </c>
      <c r="G217" s="2">
        <v>-85.025850000000005</v>
      </c>
      <c r="H217" s="2" t="s">
        <v>34</v>
      </c>
      <c r="I217" s="2" t="s">
        <v>46</v>
      </c>
      <c r="J217" s="2" t="s">
        <v>34</v>
      </c>
      <c r="K217" s="2" t="s">
        <v>34</v>
      </c>
      <c r="L217" s="2" t="s">
        <v>34</v>
      </c>
      <c r="M217" s="2" t="s">
        <v>34</v>
      </c>
      <c r="N217" s="2" t="s">
        <v>34</v>
      </c>
      <c r="O217" s="2" t="s">
        <v>34</v>
      </c>
      <c r="P217" s="3">
        <v>42491</v>
      </c>
      <c r="Q217" s="3">
        <v>42582</v>
      </c>
      <c r="R217" s="2" t="s">
        <v>958</v>
      </c>
      <c r="S217" s="2" t="s">
        <v>35</v>
      </c>
    </row>
    <row r="218" spans="1:19" hidden="1" x14ac:dyDescent="0.25">
      <c r="A218" s="2" t="s">
        <v>2040</v>
      </c>
      <c r="B218" s="2" t="s">
        <v>31</v>
      </c>
      <c r="C218" s="2" t="s">
        <v>44</v>
      </c>
      <c r="D218" s="2" t="s">
        <v>959</v>
      </c>
      <c r="E218" s="2">
        <v>1214</v>
      </c>
      <c r="F218" s="2">
        <v>29.642516000000001</v>
      </c>
      <c r="G218" s="2">
        <v>-85.03</v>
      </c>
      <c r="H218" s="2" t="s">
        <v>34</v>
      </c>
      <c r="I218" s="2" t="s">
        <v>46</v>
      </c>
      <c r="J218" s="2" t="s">
        <v>34</v>
      </c>
      <c r="K218" s="2" t="s">
        <v>34</v>
      </c>
      <c r="L218" s="2" t="s">
        <v>34</v>
      </c>
      <c r="M218" s="2" t="s">
        <v>34</v>
      </c>
      <c r="N218" s="2" t="s">
        <v>34</v>
      </c>
      <c r="O218" s="2" t="s">
        <v>34</v>
      </c>
      <c r="P218" s="3">
        <v>42491</v>
      </c>
      <c r="Q218" s="3">
        <v>42582</v>
      </c>
      <c r="R218" s="2" t="s">
        <v>960</v>
      </c>
      <c r="S218" s="2" t="s">
        <v>35</v>
      </c>
    </row>
    <row r="219" spans="1:19" hidden="1" x14ac:dyDescent="0.25">
      <c r="A219" s="2" t="s">
        <v>2041</v>
      </c>
      <c r="B219" s="2" t="s">
        <v>31</v>
      </c>
      <c r="C219" s="2" t="s">
        <v>44</v>
      </c>
      <c r="D219" s="2" t="s">
        <v>961</v>
      </c>
      <c r="E219" s="2">
        <v>1225</v>
      </c>
      <c r="F219" s="2">
        <v>29.642565999999999</v>
      </c>
      <c r="G219" s="2">
        <v>-85.027416000000002</v>
      </c>
      <c r="H219" s="2" t="s">
        <v>34</v>
      </c>
      <c r="I219" s="2" t="s">
        <v>46</v>
      </c>
      <c r="J219" s="2" t="s">
        <v>34</v>
      </c>
      <c r="K219" s="2" t="s">
        <v>34</v>
      </c>
      <c r="L219" s="2" t="s">
        <v>34</v>
      </c>
      <c r="M219" s="2" t="s">
        <v>34</v>
      </c>
      <c r="N219" s="2" t="s">
        <v>34</v>
      </c>
      <c r="O219" s="2" t="s">
        <v>34</v>
      </c>
      <c r="P219" s="3">
        <v>42491</v>
      </c>
      <c r="Q219" s="3">
        <v>42582</v>
      </c>
      <c r="R219" s="2" t="s">
        <v>962</v>
      </c>
      <c r="S219" s="2" t="s">
        <v>35</v>
      </c>
    </row>
    <row r="220" spans="1:19" hidden="1" x14ac:dyDescent="0.25">
      <c r="A220" s="2" t="s">
        <v>2042</v>
      </c>
      <c r="B220" s="2" t="s">
        <v>31</v>
      </c>
      <c r="C220" s="2" t="s">
        <v>44</v>
      </c>
      <c r="D220" s="2" t="s">
        <v>963</v>
      </c>
      <c r="E220" s="2">
        <v>1242</v>
      </c>
      <c r="F220" s="2">
        <v>29.630966000000001</v>
      </c>
      <c r="G220" s="2">
        <v>-85.041415999999998</v>
      </c>
      <c r="H220" s="2" t="s">
        <v>34</v>
      </c>
      <c r="I220" s="2" t="s">
        <v>46</v>
      </c>
      <c r="J220" s="2" t="s">
        <v>34</v>
      </c>
      <c r="K220" s="2" t="s">
        <v>34</v>
      </c>
      <c r="L220" s="2" t="s">
        <v>34</v>
      </c>
      <c r="M220" s="2" t="s">
        <v>34</v>
      </c>
      <c r="N220" s="2" t="s">
        <v>34</v>
      </c>
      <c r="O220" s="2" t="s">
        <v>34</v>
      </c>
      <c r="P220" s="3">
        <v>42491</v>
      </c>
      <c r="Q220" s="3">
        <v>42582</v>
      </c>
      <c r="R220" s="2" t="s">
        <v>964</v>
      </c>
      <c r="S220" s="2" t="s">
        <v>35</v>
      </c>
    </row>
    <row r="221" spans="1:19" hidden="1" x14ac:dyDescent="0.25">
      <c r="A221" s="2" t="s">
        <v>2043</v>
      </c>
      <c r="B221" s="2" t="s">
        <v>31</v>
      </c>
      <c r="C221" s="2" t="s">
        <v>44</v>
      </c>
      <c r="D221" s="2" t="s">
        <v>965</v>
      </c>
      <c r="E221" s="2">
        <v>1302</v>
      </c>
      <c r="F221" s="2">
        <v>29.666482999999999</v>
      </c>
      <c r="G221" s="2">
        <v>-85.003150000000005</v>
      </c>
      <c r="H221" s="2" t="s">
        <v>34</v>
      </c>
      <c r="I221" s="2" t="s">
        <v>46</v>
      </c>
      <c r="J221" s="2" t="s">
        <v>34</v>
      </c>
      <c r="K221" s="2" t="s">
        <v>34</v>
      </c>
      <c r="L221" s="2" t="s">
        <v>34</v>
      </c>
      <c r="M221" s="2" t="s">
        <v>34</v>
      </c>
      <c r="N221" s="2" t="s">
        <v>34</v>
      </c>
      <c r="O221" s="2" t="s">
        <v>34</v>
      </c>
      <c r="P221" s="3">
        <v>42491</v>
      </c>
      <c r="Q221" s="3">
        <v>42582</v>
      </c>
      <c r="R221" s="2" t="s">
        <v>966</v>
      </c>
      <c r="S221" s="2" t="s">
        <v>35</v>
      </c>
    </row>
    <row r="222" spans="1:19" hidden="1" x14ac:dyDescent="0.25">
      <c r="A222" s="2" t="s">
        <v>2044</v>
      </c>
      <c r="B222" s="2" t="s">
        <v>31</v>
      </c>
      <c r="C222" s="2" t="s">
        <v>44</v>
      </c>
      <c r="D222" s="2" t="s">
        <v>967</v>
      </c>
      <c r="E222" s="2">
        <v>1305</v>
      </c>
      <c r="F222" s="2">
        <v>29.664283000000001</v>
      </c>
      <c r="G222" s="2">
        <v>-84.996465999999998</v>
      </c>
      <c r="H222" s="2" t="s">
        <v>34</v>
      </c>
      <c r="I222" s="2" t="s">
        <v>46</v>
      </c>
      <c r="J222" s="2" t="s">
        <v>34</v>
      </c>
      <c r="K222" s="2" t="s">
        <v>34</v>
      </c>
      <c r="L222" s="2" t="s">
        <v>34</v>
      </c>
      <c r="M222" s="2" t="s">
        <v>34</v>
      </c>
      <c r="N222" s="2" t="s">
        <v>34</v>
      </c>
      <c r="O222" s="2" t="s">
        <v>34</v>
      </c>
      <c r="P222" s="3">
        <v>42491</v>
      </c>
      <c r="Q222" s="3">
        <v>42582</v>
      </c>
      <c r="R222" s="2" t="s">
        <v>968</v>
      </c>
      <c r="S222" s="2" t="s">
        <v>35</v>
      </c>
    </row>
    <row r="223" spans="1:19" hidden="1" x14ac:dyDescent="0.25">
      <c r="A223" s="2" t="s">
        <v>2045</v>
      </c>
      <c r="B223" s="2" t="s">
        <v>31</v>
      </c>
      <c r="C223" s="2" t="s">
        <v>44</v>
      </c>
      <c r="D223" s="2" t="s">
        <v>969</v>
      </c>
      <c r="E223" s="2">
        <v>1319</v>
      </c>
      <c r="F223" s="2">
        <v>29.623266000000001</v>
      </c>
      <c r="G223" s="2">
        <v>-84.993949999999998</v>
      </c>
      <c r="H223" s="2" t="s">
        <v>34</v>
      </c>
      <c r="I223" s="2" t="s">
        <v>46</v>
      </c>
      <c r="J223" s="2" t="s">
        <v>34</v>
      </c>
      <c r="K223" s="2" t="s">
        <v>34</v>
      </c>
      <c r="L223" s="2" t="s">
        <v>34</v>
      </c>
      <c r="M223" s="2" t="s">
        <v>34</v>
      </c>
      <c r="N223" s="2" t="s">
        <v>34</v>
      </c>
      <c r="O223" s="2" t="s">
        <v>34</v>
      </c>
      <c r="P223" s="3">
        <v>42491</v>
      </c>
      <c r="Q223" s="3">
        <v>42582</v>
      </c>
      <c r="R223" s="2" t="s">
        <v>970</v>
      </c>
      <c r="S223" s="2" t="s">
        <v>35</v>
      </c>
    </row>
    <row r="224" spans="1:19" hidden="1" x14ac:dyDescent="0.25">
      <c r="A224" s="2" t="s">
        <v>2046</v>
      </c>
      <c r="B224" s="2" t="s">
        <v>31</v>
      </c>
      <c r="C224" s="2" t="s">
        <v>44</v>
      </c>
      <c r="D224" s="2" t="s">
        <v>971</v>
      </c>
      <c r="E224" s="2">
        <v>1338</v>
      </c>
      <c r="F224" s="2">
        <v>29.618316</v>
      </c>
      <c r="G224" s="2">
        <v>-85.002049999999997</v>
      </c>
      <c r="H224" s="2" t="s">
        <v>34</v>
      </c>
      <c r="I224" s="2" t="s">
        <v>46</v>
      </c>
      <c r="J224" s="2" t="s">
        <v>34</v>
      </c>
      <c r="K224" s="2" t="s">
        <v>34</v>
      </c>
      <c r="L224" s="2" t="s">
        <v>34</v>
      </c>
      <c r="M224" s="2" t="s">
        <v>34</v>
      </c>
      <c r="N224" s="2" t="s">
        <v>34</v>
      </c>
      <c r="O224" s="2" t="s">
        <v>34</v>
      </c>
      <c r="P224" s="3">
        <v>42491</v>
      </c>
      <c r="Q224" s="3">
        <v>42582</v>
      </c>
      <c r="R224" s="2" t="s">
        <v>972</v>
      </c>
      <c r="S224" s="2" t="s">
        <v>35</v>
      </c>
    </row>
    <row r="225" spans="1:19" hidden="1" x14ac:dyDescent="0.25">
      <c r="A225" s="2" t="s">
        <v>2047</v>
      </c>
      <c r="B225" s="2" t="s">
        <v>973</v>
      </c>
      <c r="C225" s="2" t="s">
        <v>34</v>
      </c>
      <c r="D225" s="2" t="s">
        <v>974</v>
      </c>
      <c r="E225" s="2">
        <v>1</v>
      </c>
      <c r="F225" s="2">
        <v>25.627666000000001</v>
      </c>
      <c r="G225" s="2">
        <v>-80.295349999999999</v>
      </c>
      <c r="H225" s="2" t="s">
        <v>46</v>
      </c>
      <c r="I225" s="2" t="s">
        <v>46</v>
      </c>
      <c r="J225" s="2" t="s">
        <v>34</v>
      </c>
      <c r="K225" s="2" t="s">
        <v>46</v>
      </c>
      <c r="L225" s="2" t="s">
        <v>34</v>
      </c>
      <c r="M225" s="2" t="s">
        <v>34</v>
      </c>
      <c r="N225" s="2" t="s">
        <v>34</v>
      </c>
      <c r="O225" s="2" t="s">
        <v>34</v>
      </c>
      <c r="P225" s="3">
        <v>38433</v>
      </c>
      <c r="Q225" s="3">
        <v>38929</v>
      </c>
      <c r="R225" s="2" t="s">
        <v>975</v>
      </c>
      <c r="S225" s="2" t="s">
        <v>976</v>
      </c>
    </row>
    <row r="226" spans="1:19" hidden="1" x14ac:dyDescent="0.25">
      <c r="A226" s="2" t="s">
        <v>2048</v>
      </c>
      <c r="B226" s="2" t="s">
        <v>973</v>
      </c>
      <c r="C226" s="2" t="s">
        <v>34</v>
      </c>
      <c r="D226" s="2" t="s">
        <v>974</v>
      </c>
      <c r="E226" s="2">
        <v>1</v>
      </c>
      <c r="F226" s="2">
        <v>25.617332999999999</v>
      </c>
      <c r="G226" s="2">
        <v>-80.301132999999993</v>
      </c>
      <c r="H226" s="2" t="s">
        <v>46</v>
      </c>
      <c r="I226" s="2" t="s">
        <v>46</v>
      </c>
      <c r="J226" s="2" t="s">
        <v>34</v>
      </c>
      <c r="K226" s="2" t="s">
        <v>46</v>
      </c>
      <c r="L226" s="2" t="s">
        <v>34</v>
      </c>
      <c r="M226" s="2" t="s">
        <v>34</v>
      </c>
      <c r="N226" s="2" t="s">
        <v>34</v>
      </c>
      <c r="O226" s="2" t="s">
        <v>34</v>
      </c>
      <c r="P226" s="3">
        <v>38875</v>
      </c>
      <c r="Q226" s="3">
        <v>39429</v>
      </c>
      <c r="R226" s="2" t="s">
        <v>975</v>
      </c>
      <c r="S226" s="2" t="s">
        <v>976</v>
      </c>
    </row>
    <row r="227" spans="1:19" hidden="1" x14ac:dyDescent="0.25">
      <c r="A227" s="2" t="s">
        <v>2049</v>
      </c>
      <c r="B227" s="2" t="s">
        <v>973</v>
      </c>
      <c r="C227" s="2" t="s">
        <v>34</v>
      </c>
      <c r="D227" s="2" t="s">
        <v>977</v>
      </c>
      <c r="E227" s="2">
        <v>2</v>
      </c>
      <c r="F227" s="2">
        <v>25.545483000000001</v>
      </c>
      <c r="G227" s="2">
        <v>-80.313232999999997</v>
      </c>
      <c r="H227" s="2" t="s">
        <v>46</v>
      </c>
      <c r="I227" s="2" t="s">
        <v>46</v>
      </c>
      <c r="J227" s="2" t="s">
        <v>34</v>
      </c>
      <c r="K227" s="2" t="s">
        <v>46</v>
      </c>
      <c r="L227" s="2" t="s">
        <v>34</v>
      </c>
      <c r="M227" s="2" t="s">
        <v>34</v>
      </c>
      <c r="N227" s="2" t="s">
        <v>34</v>
      </c>
      <c r="O227" s="2" t="s">
        <v>34</v>
      </c>
      <c r="P227" s="3">
        <v>38433</v>
      </c>
      <c r="Q227" s="3">
        <v>39429</v>
      </c>
      <c r="R227" s="2" t="s">
        <v>978</v>
      </c>
      <c r="S227" s="2" t="s">
        <v>976</v>
      </c>
    </row>
    <row r="228" spans="1:19" hidden="1" x14ac:dyDescent="0.25">
      <c r="A228" s="2" t="s">
        <v>2050</v>
      </c>
      <c r="B228" s="2" t="s">
        <v>973</v>
      </c>
      <c r="C228" s="2" t="s">
        <v>34</v>
      </c>
      <c r="D228" s="2" t="s">
        <v>979</v>
      </c>
      <c r="E228" s="2">
        <v>3</v>
      </c>
      <c r="F228" s="2">
        <v>25.492149999999999</v>
      </c>
      <c r="G228" s="2">
        <v>-80.338099999999997</v>
      </c>
      <c r="H228" s="2" t="s">
        <v>46</v>
      </c>
      <c r="I228" s="2" t="s">
        <v>46</v>
      </c>
      <c r="J228" s="2" t="s">
        <v>34</v>
      </c>
      <c r="K228" s="2" t="s">
        <v>46</v>
      </c>
      <c r="L228" s="2" t="s">
        <v>34</v>
      </c>
      <c r="M228" s="2" t="s">
        <v>34</v>
      </c>
      <c r="N228" s="2" t="s">
        <v>34</v>
      </c>
      <c r="O228" s="2" t="s">
        <v>34</v>
      </c>
      <c r="P228" s="3">
        <v>38433</v>
      </c>
      <c r="Q228" s="3">
        <v>39429</v>
      </c>
      <c r="R228" s="2" t="s">
        <v>980</v>
      </c>
      <c r="S228" s="2" t="s">
        <v>976</v>
      </c>
    </row>
    <row r="229" spans="1:19" hidden="1" x14ac:dyDescent="0.25">
      <c r="A229" s="2" t="s">
        <v>2051</v>
      </c>
      <c r="B229" s="2" t="s">
        <v>43</v>
      </c>
      <c r="C229" s="2" t="s">
        <v>32</v>
      </c>
      <c r="D229" s="2" t="s">
        <v>981</v>
      </c>
      <c r="E229" s="2">
        <v>1</v>
      </c>
      <c r="F229" s="2">
        <v>26.527149999999999</v>
      </c>
      <c r="G229" s="2">
        <v>-81.956100000000006</v>
      </c>
      <c r="H229" s="2" t="s">
        <v>46</v>
      </c>
      <c r="I229" s="2" t="s">
        <v>46</v>
      </c>
      <c r="J229" s="2" t="s">
        <v>46</v>
      </c>
      <c r="K229" s="2" t="s">
        <v>46</v>
      </c>
      <c r="L229" s="2" t="s">
        <v>34</v>
      </c>
      <c r="M229" s="2" t="s">
        <v>34</v>
      </c>
      <c r="N229" s="2" t="s">
        <v>34</v>
      </c>
      <c r="O229" s="2" t="s">
        <v>46</v>
      </c>
      <c r="P229" s="3">
        <v>42767</v>
      </c>
      <c r="Q229" s="3">
        <v>73050</v>
      </c>
      <c r="R229" s="2" t="s">
        <v>982</v>
      </c>
      <c r="S229" s="2" t="s">
        <v>48</v>
      </c>
    </row>
    <row r="230" spans="1:19" hidden="1" x14ac:dyDescent="0.25">
      <c r="A230" s="2" t="s">
        <v>2052</v>
      </c>
      <c r="B230" s="2" t="s">
        <v>43</v>
      </c>
      <c r="C230" s="2" t="s">
        <v>32</v>
      </c>
      <c r="D230" s="2" t="s">
        <v>983</v>
      </c>
      <c r="E230" s="2">
        <v>2</v>
      </c>
      <c r="F230" s="2">
        <v>26.513400000000001</v>
      </c>
      <c r="G230" s="2">
        <v>-81.979232999999994</v>
      </c>
      <c r="H230" s="2" t="s">
        <v>46</v>
      </c>
      <c r="I230" s="2" t="s">
        <v>46</v>
      </c>
      <c r="J230" s="2" t="s">
        <v>46</v>
      </c>
      <c r="K230" s="2" t="s">
        <v>46</v>
      </c>
      <c r="L230" s="2" t="s">
        <v>34</v>
      </c>
      <c r="M230" s="2" t="s">
        <v>34</v>
      </c>
      <c r="N230" s="2" t="s">
        <v>46</v>
      </c>
      <c r="O230" s="2" t="s">
        <v>46</v>
      </c>
      <c r="P230" s="3">
        <v>42767</v>
      </c>
      <c r="Q230" s="3">
        <v>73050</v>
      </c>
      <c r="R230" s="2" t="s">
        <v>984</v>
      </c>
      <c r="S230" s="2" t="s">
        <v>48</v>
      </c>
    </row>
    <row r="231" spans="1:19" hidden="1" x14ac:dyDescent="0.25">
      <c r="A231" s="2" t="s">
        <v>2053</v>
      </c>
      <c r="B231" s="2" t="s">
        <v>43</v>
      </c>
      <c r="C231" s="2" t="s">
        <v>44</v>
      </c>
      <c r="D231" s="2" t="s">
        <v>985</v>
      </c>
      <c r="E231" s="2">
        <v>3</v>
      </c>
      <c r="F231" s="2">
        <v>26.513815999999998</v>
      </c>
      <c r="G231" s="2">
        <v>-82.032732999999993</v>
      </c>
      <c r="H231" s="2" t="s">
        <v>46</v>
      </c>
      <c r="I231" s="2" t="s">
        <v>46</v>
      </c>
      <c r="J231" s="2" t="s">
        <v>46</v>
      </c>
      <c r="K231" s="2" t="s">
        <v>46</v>
      </c>
      <c r="L231" s="2" t="s">
        <v>34</v>
      </c>
      <c r="M231" s="2" t="s">
        <v>34</v>
      </c>
      <c r="N231" s="2" t="s">
        <v>46</v>
      </c>
      <c r="O231" s="2" t="s">
        <v>46</v>
      </c>
      <c r="P231" s="3">
        <v>42767</v>
      </c>
      <c r="Q231" s="3">
        <v>73050</v>
      </c>
      <c r="R231" s="2" t="s">
        <v>986</v>
      </c>
      <c r="S231" s="2" t="s">
        <v>48</v>
      </c>
    </row>
    <row r="232" spans="1:19" hidden="1" x14ac:dyDescent="0.25">
      <c r="A232" s="2" t="s">
        <v>2054</v>
      </c>
      <c r="B232" s="2" t="s">
        <v>43</v>
      </c>
      <c r="C232" s="2" t="s">
        <v>44</v>
      </c>
      <c r="D232" s="2" t="s">
        <v>987</v>
      </c>
      <c r="E232" s="2">
        <v>4</v>
      </c>
      <c r="F232" s="2">
        <v>26.496282999999998</v>
      </c>
      <c r="G232" s="2">
        <v>-82.005600000000001</v>
      </c>
      <c r="H232" s="2" t="s">
        <v>46</v>
      </c>
      <c r="I232" s="2" t="s">
        <v>46</v>
      </c>
      <c r="J232" s="2" t="s">
        <v>46</v>
      </c>
      <c r="K232" s="2" t="s">
        <v>46</v>
      </c>
      <c r="L232" s="2" t="s">
        <v>34</v>
      </c>
      <c r="M232" s="2" t="s">
        <v>34</v>
      </c>
      <c r="N232" s="2" t="s">
        <v>34</v>
      </c>
      <c r="O232" s="2" t="s">
        <v>46</v>
      </c>
      <c r="P232" s="3">
        <v>42767</v>
      </c>
      <c r="Q232" s="3">
        <v>73050</v>
      </c>
      <c r="R232" s="2" t="s">
        <v>988</v>
      </c>
      <c r="S232" s="2" t="s">
        <v>48</v>
      </c>
    </row>
    <row r="233" spans="1:19" hidden="1" x14ac:dyDescent="0.25">
      <c r="A233" s="2" t="s">
        <v>2055</v>
      </c>
      <c r="B233" s="2" t="s">
        <v>989</v>
      </c>
      <c r="C233" s="2" t="s">
        <v>504</v>
      </c>
      <c r="D233" s="2" t="s">
        <v>990</v>
      </c>
      <c r="E233" s="2">
        <v>1</v>
      </c>
      <c r="F233" s="2">
        <v>26.68505</v>
      </c>
      <c r="G233" s="2">
        <v>-80.043565999999998</v>
      </c>
      <c r="H233" s="2" t="s">
        <v>46</v>
      </c>
      <c r="I233" s="2" t="s">
        <v>46</v>
      </c>
      <c r="J233" s="2" t="s">
        <v>46</v>
      </c>
      <c r="K233" s="2" t="s">
        <v>46</v>
      </c>
      <c r="L233" s="2" t="s">
        <v>34</v>
      </c>
      <c r="M233" s="2" t="s">
        <v>34</v>
      </c>
      <c r="N233" s="2" t="s">
        <v>34</v>
      </c>
      <c r="O233" s="2" t="s">
        <v>34</v>
      </c>
      <c r="P233" s="3">
        <v>38387</v>
      </c>
      <c r="Q233" s="3">
        <v>38874</v>
      </c>
      <c r="R233" s="2" t="s">
        <v>991</v>
      </c>
      <c r="S233" s="2" t="s">
        <v>992</v>
      </c>
    </row>
    <row r="234" spans="1:19" hidden="1" x14ac:dyDescent="0.25">
      <c r="A234" s="2" t="s">
        <v>2056</v>
      </c>
      <c r="B234" s="2" t="s">
        <v>989</v>
      </c>
      <c r="C234" s="2" t="s">
        <v>504</v>
      </c>
      <c r="D234" s="2" t="s">
        <v>990</v>
      </c>
      <c r="E234" s="2">
        <v>1</v>
      </c>
      <c r="F234" s="2">
        <v>26.669682999999999</v>
      </c>
      <c r="G234" s="2">
        <v>-80.043633</v>
      </c>
      <c r="H234" s="2" t="s">
        <v>46</v>
      </c>
      <c r="I234" s="2" t="s">
        <v>46</v>
      </c>
      <c r="J234" s="2" t="s">
        <v>46</v>
      </c>
      <c r="K234" s="2" t="s">
        <v>46</v>
      </c>
      <c r="L234" s="2" t="s">
        <v>34</v>
      </c>
      <c r="M234" s="2" t="s">
        <v>34</v>
      </c>
      <c r="N234" s="2" t="s">
        <v>34</v>
      </c>
      <c r="O234" s="2" t="s">
        <v>34</v>
      </c>
      <c r="P234" s="3">
        <v>38874</v>
      </c>
      <c r="Q234" s="3">
        <v>73050</v>
      </c>
      <c r="R234" s="2" t="s">
        <v>991</v>
      </c>
      <c r="S234" s="2" t="s">
        <v>992</v>
      </c>
    </row>
    <row r="235" spans="1:19" hidden="1" x14ac:dyDescent="0.25">
      <c r="A235" s="2" t="s">
        <v>2057</v>
      </c>
      <c r="B235" s="2" t="s">
        <v>989</v>
      </c>
      <c r="C235" s="2" t="s">
        <v>504</v>
      </c>
      <c r="D235" s="2" t="s">
        <v>993</v>
      </c>
      <c r="E235" s="2">
        <v>2</v>
      </c>
      <c r="F235" s="2">
        <v>26.647466000000001</v>
      </c>
      <c r="G235" s="2">
        <v>-80.040599999999998</v>
      </c>
      <c r="H235" s="2" t="s">
        <v>46</v>
      </c>
      <c r="I235" s="2" t="s">
        <v>46</v>
      </c>
      <c r="J235" s="2" t="s">
        <v>46</v>
      </c>
      <c r="K235" s="2" t="s">
        <v>46</v>
      </c>
      <c r="L235" s="2" t="s">
        <v>34</v>
      </c>
      <c r="M235" s="2" t="s">
        <v>34</v>
      </c>
      <c r="N235" s="2" t="s">
        <v>34</v>
      </c>
      <c r="O235" s="2" t="s">
        <v>34</v>
      </c>
      <c r="P235" s="3">
        <v>38387</v>
      </c>
      <c r="Q235" s="3">
        <v>73050</v>
      </c>
      <c r="R235" s="2" t="s">
        <v>994</v>
      </c>
      <c r="S235" s="2" t="s">
        <v>992</v>
      </c>
    </row>
    <row r="236" spans="1:19" hidden="1" x14ac:dyDescent="0.25">
      <c r="A236" s="2" t="s">
        <v>2058</v>
      </c>
      <c r="B236" s="2" t="s">
        <v>989</v>
      </c>
      <c r="C236" s="2" t="s">
        <v>504</v>
      </c>
      <c r="D236" s="2" t="s">
        <v>995</v>
      </c>
      <c r="E236" s="2">
        <v>3</v>
      </c>
      <c r="F236" s="2">
        <v>26.597515999999999</v>
      </c>
      <c r="G236" s="2">
        <v>-80.040283000000002</v>
      </c>
      <c r="H236" s="2" t="s">
        <v>46</v>
      </c>
      <c r="I236" s="2" t="s">
        <v>46</v>
      </c>
      <c r="J236" s="2" t="s">
        <v>46</v>
      </c>
      <c r="K236" s="2" t="s">
        <v>46</v>
      </c>
      <c r="L236" s="2" t="s">
        <v>34</v>
      </c>
      <c r="M236" s="2" t="s">
        <v>34</v>
      </c>
      <c r="N236" s="2" t="s">
        <v>34</v>
      </c>
      <c r="O236" s="2" t="s">
        <v>34</v>
      </c>
      <c r="P236" s="3">
        <v>38387</v>
      </c>
      <c r="Q236" s="3">
        <v>73050</v>
      </c>
      <c r="R236" s="2" t="s">
        <v>996</v>
      </c>
      <c r="S236" s="2" t="s">
        <v>992</v>
      </c>
    </row>
    <row r="237" spans="1:19" hidden="1" x14ac:dyDescent="0.25">
      <c r="A237" s="2" t="s">
        <v>2059</v>
      </c>
      <c r="B237" s="2" t="s">
        <v>989</v>
      </c>
      <c r="C237" s="2" t="s">
        <v>500</v>
      </c>
      <c r="D237" s="2" t="s">
        <v>997</v>
      </c>
      <c r="E237" s="2">
        <v>1</v>
      </c>
      <c r="F237" s="2">
        <v>26.64575</v>
      </c>
      <c r="G237" s="2">
        <v>-80.040000000000006</v>
      </c>
      <c r="H237" s="2" t="s">
        <v>46</v>
      </c>
      <c r="I237" s="2" t="s">
        <v>46</v>
      </c>
      <c r="J237" s="2" t="s">
        <v>46</v>
      </c>
      <c r="K237" s="2" t="s">
        <v>46</v>
      </c>
      <c r="L237" s="2" t="s">
        <v>34</v>
      </c>
      <c r="M237" s="2" t="s">
        <v>34</v>
      </c>
      <c r="N237" s="2" t="s">
        <v>34</v>
      </c>
      <c r="O237" s="2" t="s">
        <v>34</v>
      </c>
      <c r="P237" s="3">
        <v>38353</v>
      </c>
      <c r="Q237" s="3">
        <v>44227</v>
      </c>
      <c r="R237" s="2" t="s">
        <v>998</v>
      </c>
      <c r="S237" s="2" t="s">
        <v>992</v>
      </c>
    </row>
    <row r="238" spans="1:19" hidden="1" x14ac:dyDescent="0.25">
      <c r="A238" s="2" t="s">
        <v>2060</v>
      </c>
      <c r="B238" s="2" t="s">
        <v>989</v>
      </c>
      <c r="C238" s="2" t="s">
        <v>500</v>
      </c>
      <c r="D238" s="2" t="s">
        <v>999</v>
      </c>
      <c r="E238" s="2">
        <v>2</v>
      </c>
      <c r="F238" s="2">
        <v>26.629816000000002</v>
      </c>
      <c r="G238" s="2">
        <v>-80.040833000000006</v>
      </c>
      <c r="H238" s="2" t="s">
        <v>46</v>
      </c>
      <c r="I238" s="2" t="s">
        <v>46</v>
      </c>
      <c r="J238" s="2" t="s">
        <v>46</v>
      </c>
      <c r="K238" s="2" t="s">
        <v>46</v>
      </c>
      <c r="L238" s="2" t="s">
        <v>34</v>
      </c>
      <c r="M238" s="2" t="s">
        <v>34</v>
      </c>
      <c r="N238" s="2" t="s">
        <v>34</v>
      </c>
      <c r="O238" s="2" t="s">
        <v>34</v>
      </c>
      <c r="P238" s="3">
        <v>42248</v>
      </c>
      <c r="Q238" s="3">
        <v>42529</v>
      </c>
      <c r="R238" s="2" t="s">
        <v>1000</v>
      </c>
      <c r="S238" s="2" t="s">
        <v>992</v>
      </c>
    </row>
    <row r="239" spans="1:19" hidden="1" x14ac:dyDescent="0.25">
      <c r="A239" s="2" t="s">
        <v>2061</v>
      </c>
      <c r="B239" s="2" t="s">
        <v>989</v>
      </c>
      <c r="C239" s="2" t="s">
        <v>500</v>
      </c>
      <c r="D239" s="2" t="s">
        <v>999</v>
      </c>
      <c r="E239" s="2">
        <v>2</v>
      </c>
      <c r="F239" s="2">
        <v>26.632566000000001</v>
      </c>
      <c r="G239" s="2">
        <v>-80.040549999999996</v>
      </c>
      <c r="H239" s="2" t="s">
        <v>46</v>
      </c>
      <c r="I239" s="2" t="s">
        <v>46</v>
      </c>
      <c r="J239" s="2" t="s">
        <v>46</v>
      </c>
      <c r="K239" s="2" t="s">
        <v>46</v>
      </c>
      <c r="L239" s="2" t="s">
        <v>34</v>
      </c>
      <c r="M239" s="2" t="s">
        <v>34</v>
      </c>
      <c r="N239" s="2" t="s">
        <v>34</v>
      </c>
      <c r="O239" s="2" t="s">
        <v>34</v>
      </c>
      <c r="P239" s="3">
        <v>42529</v>
      </c>
      <c r="Q239" s="3">
        <v>73050</v>
      </c>
      <c r="R239" s="2" t="s">
        <v>1000</v>
      </c>
      <c r="S239" s="2" t="s">
        <v>992</v>
      </c>
    </row>
    <row r="240" spans="1:19" hidden="1" x14ac:dyDescent="0.25">
      <c r="A240" s="2" t="s">
        <v>2062</v>
      </c>
      <c r="B240" s="2" t="s">
        <v>989</v>
      </c>
      <c r="C240" s="2" t="s">
        <v>500</v>
      </c>
      <c r="D240" s="2" t="s">
        <v>1001</v>
      </c>
      <c r="E240" s="2">
        <v>3</v>
      </c>
      <c r="F240" s="2">
        <v>26.623999999999999</v>
      </c>
      <c r="G240" s="2">
        <v>-80.045000000000002</v>
      </c>
      <c r="H240" s="2" t="s">
        <v>46</v>
      </c>
      <c r="I240" s="2" t="s">
        <v>46</v>
      </c>
      <c r="J240" s="2" t="s">
        <v>46</v>
      </c>
      <c r="K240" s="2" t="s">
        <v>46</v>
      </c>
      <c r="L240" s="2" t="s">
        <v>34</v>
      </c>
      <c r="M240" s="2" t="s">
        <v>34</v>
      </c>
      <c r="N240" s="2" t="s">
        <v>34</v>
      </c>
      <c r="O240" s="2" t="s">
        <v>34</v>
      </c>
      <c r="P240" s="3">
        <v>38353</v>
      </c>
      <c r="Q240" s="3">
        <v>73050</v>
      </c>
      <c r="R240" s="2" t="s">
        <v>1002</v>
      </c>
      <c r="S240" s="2" t="s">
        <v>992</v>
      </c>
    </row>
    <row r="241" spans="1:19" hidden="1" x14ac:dyDescent="0.25">
      <c r="A241" s="2" t="s">
        <v>2063</v>
      </c>
      <c r="B241" s="2" t="s">
        <v>1003</v>
      </c>
      <c r="C241" s="2" t="s">
        <v>34</v>
      </c>
      <c r="D241" s="2" t="s">
        <v>1004</v>
      </c>
      <c r="E241" s="2">
        <v>1</v>
      </c>
      <c r="F241" s="2">
        <v>26.9694</v>
      </c>
      <c r="G241" s="2">
        <v>-80.128133000000005</v>
      </c>
      <c r="H241" s="2" t="s">
        <v>46</v>
      </c>
      <c r="I241" s="2" t="s">
        <v>46</v>
      </c>
      <c r="J241" s="2" t="s">
        <v>34</v>
      </c>
      <c r="K241" s="2" t="s">
        <v>46</v>
      </c>
      <c r="L241" s="2" t="s">
        <v>34</v>
      </c>
      <c r="M241" s="2" t="s">
        <v>34</v>
      </c>
      <c r="N241" s="2" t="s">
        <v>34</v>
      </c>
      <c r="O241" s="2" t="s">
        <v>34</v>
      </c>
      <c r="P241" s="3">
        <v>38353</v>
      </c>
      <c r="Q241" s="3">
        <v>73050</v>
      </c>
      <c r="R241" s="2" t="s">
        <v>1005</v>
      </c>
      <c r="S241" s="2" t="s">
        <v>1006</v>
      </c>
    </row>
    <row r="242" spans="1:19" hidden="1" x14ac:dyDescent="0.25">
      <c r="A242" s="2" t="s">
        <v>2064</v>
      </c>
      <c r="B242" s="2" t="s">
        <v>1003</v>
      </c>
      <c r="C242" s="2" t="s">
        <v>34</v>
      </c>
      <c r="D242" s="2" t="s">
        <v>1007</v>
      </c>
      <c r="E242" s="2">
        <v>2</v>
      </c>
      <c r="F242" s="2">
        <v>26.970616</v>
      </c>
      <c r="G242" s="2">
        <v>-80.127482999999998</v>
      </c>
      <c r="H242" s="2" t="s">
        <v>46</v>
      </c>
      <c r="I242" s="2" t="s">
        <v>46</v>
      </c>
      <c r="J242" s="2" t="s">
        <v>34</v>
      </c>
      <c r="K242" s="2" t="s">
        <v>46</v>
      </c>
      <c r="L242" s="2" t="s">
        <v>34</v>
      </c>
      <c r="M242" s="2" t="s">
        <v>34</v>
      </c>
      <c r="N242" s="2" t="s">
        <v>46</v>
      </c>
      <c r="O242" s="2" t="s">
        <v>34</v>
      </c>
      <c r="P242" s="3">
        <v>38353</v>
      </c>
      <c r="Q242" s="3">
        <v>73050</v>
      </c>
      <c r="R242" s="2" t="s">
        <v>1008</v>
      </c>
      <c r="S242" s="2" t="s">
        <v>1006</v>
      </c>
    </row>
    <row r="243" spans="1:19" hidden="1" x14ac:dyDescent="0.25">
      <c r="A243" s="2" t="s">
        <v>2065</v>
      </c>
      <c r="B243" s="2" t="s">
        <v>1003</v>
      </c>
      <c r="C243" s="2" t="s">
        <v>34</v>
      </c>
      <c r="D243" s="2" t="s">
        <v>1009</v>
      </c>
      <c r="E243" s="2">
        <v>3</v>
      </c>
      <c r="F243" s="2">
        <v>26.972833000000001</v>
      </c>
      <c r="G243" s="2">
        <v>-80.128100000000003</v>
      </c>
      <c r="H243" s="2" t="s">
        <v>46</v>
      </c>
      <c r="I243" s="2" t="s">
        <v>46</v>
      </c>
      <c r="J243" s="2" t="s">
        <v>34</v>
      </c>
      <c r="K243" s="2" t="s">
        <v>46</v>
      </c>
      <c r="L243" s="2" t="s">
        <v>34</v>
      </c>
      <c r="M243" s="2" t="s">
        <v>34</v>
      </c>
      <c r="N243" s="2" t="s">
        <v>34</v>
      </c>
      <c r="O243" s="2" t="s">
        <v>34</v>
      </c>
      <c r="P243" s="3">
        <v>38353</v>
      </c>
      <c r="Q243" s="3">
        <v>73050</v>
      </c>
      <c r="R243" s="2" t="s">
        <v>1010</v>
      </c>
      <c r="S243" s="2" t="s">
        <v>1006</v>
      </c>
    </row>
    <row r="244" spans="1:19" hidden="1" x14ac:dyDescent="0.25">
      <c r="A244" s="2" t="s">
        <v>2066</v>
      </c>
      <c r="B244" s="2" t="s">
        <v>1003</v>
      </c>
      <c r="C244" s="2" t="s">
        <v>500</v>
      </c>
      <c r="D244" s="2" t="s">
        <v>1011</v>
      </c>
      <c r="E244" s="2">
        <v>1</v>
      </c>
      <c r="F244" s="2">
        <v>26.9697</v>
      </c>
      <c r="G244" s="2">
        <v>-80.127983</v>
      </c>
      <c r="H244" s="2" t="s">
        <v>46</v>
      </c>
      <c r="I244" s="2" t="s">
        <v>46</v>
      </c>
      <c r="J244" s="2" t="s">
        <v>34</v>
      </c>
      <c r="K244" s="2" t="s">
        <v>46</v>
      </c>
      <c r="L244" s="2" t="s">
        <v>34</v>
      </c>
      <c r="M244" s="2" t="s">
        <v>34</v>
      </c>
      <c r="N244" s="2" t="s">
        <v>34</v>
      </c>
      <c r="O244" s="2" t="s">
        <v>34</v>
      </c>
      <c r="P244" s="3">
        <v>40394</v>
      </c>
      <c r="Q244" s="3">
        <v>40822</v>
      </c>
      <c r="R244" s="2" t="s">
        <v>1012</v>
      </c>
      <c r="S244" s="2" t="s">
        <v>1006</v>
      </c>
    </row>
    <row r="245" spans="1:19" hidden="1" x14ac:dyDescent="0.25">
      <c r="A245" s="2" t="s">
        <v>2067</v>
      </c>
      <c r="B245" s="2" t="s">
        <v>1003</v>
      </c>
      <c r="C245" s="2" t="s">
        <v>86</v>
      </c>
      <c r="D245" s="2" t="s">
        <v>1013</v>
      </c>
      <c r="E245" s="2">
        <v>1</v>
      </c>
      <c r="F245" s="2">
        <v>26.942900000000002</v>
      </c>
      <c r="G245" s="2">
        <v>-80.118532999999999</v>
      </c>
      <c r="H245" s="2" t="s">
        <v>46</v>
      </c>
      <c r="I245" s="2" t="s">
        <v>46</v>
      </c>
      <c r="J245" s="2" t="s">
        <v>34</v>
      </c>
      <c r="K245" s="2" t="s">
        <v>46</v>
      </c>
      <c r="L245" s="2" t="s">
        <v>34</v>
      </c>
      <c r="M245" s="2" t="s">
        <v>34</v>
      </c>
      <c r="N245" s="2" t="s">
        <v>34</v>
      </c>
      <c r="O245" s="2" t="s">
        <v>34</v>
      </c>
      <c r="P245" s="3">
        <v>38353</v>
      </c>
      <c r="Q245" s="3">
        <v>73050</v>
      </c>
      <c r="R245" s="2" t="s">
        <v>1014</v>
      </c>
      <c r="S245" s="2" t="s">
        <v>1006</v>
      </c>
    </row>
    <row r="246" spans="1:19" hidden="1" x14ac:dyDescent="0.25">
      <c r="A246" s="2" t="s">
        <v>2068</v>
      </c>
      <c r="B246" s="2" t="s">
        <v>1003</v>
      </c>
      <c r="C246" s="2" t="s">
        <v>86</v>
      </c>
      <c r="D246" s="2" t="s">
        <v>1015</v>
      </c>
      <c r="E246" s="2">
        <v>2</v>
      </c>
      <c r="F246" s="2">
        <v>26.943833000000001</v>
      </c>
      <c r="G246" s="2">
        <v>-80.121333000000007</v>
      </c>
      <c r="H246" s="2" t="s">
        <v>46</v>
      </c>
      <c r="I246" s="2" t="s">
        <v>46</v>
      </c>
      <c r="J246" s="2" t="s">
        <v>34</v>
      </c>
      <c r="K246" s="2" t="s">
        <v>46</v>
      </c>
      <c r="L246" s="2" t="s">
        <v>34</v>
      </c>
      <c r="M246" s="2" t="s">
        <v>34</v>
      </c>
      <c r="N246" s="2" t="s">
        <v>34</v>
      </c>
      <c r="O246" s="2" t="s">
        <v>34</v>
      </c>
      <c r="P246" s="3">
        <v>38353</v>
      </c>
      <c r="Q246" s="3">
        <v>73050</v>
      </c>
      <c r="R246" s="2" t="s">
        <v>1016</v>
      </c>
      <c r="S246" s="2" t="s">
        <v>1006</v>
      </c>
    </row>
    <row r="247" spans="1:19" hidden="1" x14ac:dyDescent="0.25">
      <c r="A247" s="2" t="s">
        <v>2069</v>
      </c>
      <c r="B247" s="2" t="s">
        <v>1003</v>
      </c>
      <c r="C247" s="2" t="s">
        <v>86</v>
      </c>
      <c r="D247" s="2" t="s">
        <v>1017</v>
      </c>
      <c r="E247" s="2">
        <v>3</v>
      </c>
      <c r="F247" s="2">
        <v>26.943033</v>
      </c>
      <c r="G247" s="2">
        <v>-80.123350000000002</v>
      </c>
      <c r="H247" s="2" t="s">
        <v>46</v>
      </c>
      <c r="I247" s="2" t="s">
        <v>46</v>
      </c>
      <c r="J247" s="2" t="s">
        <v>34</v>
      </c>
      <c r="K247" s="2" t="s">
        <v>46</v>
      </c>
      <c r="L247" s="2" t="s">
        <v>34</v>
      </c>
      <c r="M247" s="2" t="s">
        <v>34</v>
      </c>
      <c r="N247" s="2" t="s">
        <v>34</v>
      </c>
      <c r="O247" s="2" t="s">
        <v>34</v>
      </c>
      <c r="P247" s="3">
        <v>38397</v>
      </c>
      <c r="Q247" s="3">
        <v>38874</v>
      </c>
      <c r="R247" s="2" t="s">
        <v>1018</v>
      </c>
      <c r="S247" s="2" t="s">
        <v>1006</v>
      </c>
    </row>
    <row r="248" spans="1:19" hidden="1" x14ac:dyDescent="0.25">
      <c r="A248" s="2" t="s">
        <v>2070</v>
      </c>
      <c r="B248" s="2" t="s">
        <v>1003</v>
      </c>
      <c r="C248" s="2" t="s">
        <v>86</v>
      </c>
      <c r="D248" s="2" t="s">
        <v>1017</v>
      </c>
      <c r="E248" s="2">
        <v>3</v>
      </c>
      <c r="F248" s="2">
        <v>26.942665999999999</v>
      </c>
      <c r="G248" s="2">
        <v>-80.120949999999993</v>
      </c>
      <c r="H248" s="2" t="s">
        <v>46</v>
      </c>
      <c r="I248" s="2" t="s">
        <v>46</v>
      </c>
      <c r="J248" s="2" t="s">
        <v>34</v>
      </c>
      <c r="K248" s="2" t="s">
        <v>46</v>
      </c>
      <c r="L248" s="2" t="s">
        <v>34</v>
      </c>
      <c r="M248" s="2" t="s">
        <v>34</v>
      </c>
      <c r="N248" s="2" t="s">
        <v>34</v>
      </c>
      <c r="O248" s="2" t="s">
        <v>34</v>
      </c>
      <c r="P248" s="3">
        <v>38874</v>
      </c>
      <c r="Q248" s="3">
        <v>73050</v>
      </c>
      <c r="R248" s="2" t="s">
        <v>1018</v>
      </c>
      <c r="S248" s="2" t="s">
        <v>1006</v>
      </c>
    </row>
    <row r="249" spans="1:19" hidden="1" x14ac:dyDescent="0.25">
      <c r="A249" s="2" t="s">
        <v>2071</v>
      </c>
      <c r="B249" s="2" t="s">
        <v>1019</v>
      </c>
      <c r="C249" s="2" t="s">
        <v>1020</v>
      </c>
      <c r="D249" s="2" t="s">
        <v>1021</v>
      </c>
      <c r="E249" s="2">
        <v>1</v>
      </c>
      <c r="F249" s="2">
        <v>28.931000000000001</v>
      </c>
      <c r="G249" s="2">
        <v>-80.831282999999999</v>
      </c>
      <c r="H249" s="2" t="s">
        <v>46</v>
      </c>
      <c r="I249" s="2" t="s">
        <v>46</v>
      </c>
      <c r="J249" s="2" t="s">
        <v>34</v>
      </c>
      <c r="K249" s="2" t="s">
        <v>46</v>
      </c>
      <c r="L249" s="2" t="s">
        <v>34</v>
      </c>
      <c r="M249" s="2" t="s">
        <v>34</v>
      </c>
      <c r="N249" s="2" t="s">
        <v>34</v>
      </c>
      <c r="O249" s="2" t="s">
        <v>34</v>
      </c>
      <c r="P249" s="3">
        <v>38377</v>
      </c>
      <c r="Q249" s="3">
        <v>39485</v>
      </c>
      <c r="R249" s="2" t="s">
        <v>1022</v>
      </c>
      <c r="S249" s="2" t="s">
        <v>1023</v>
      </c>
    </row>
    <row r="250" spans="1:19" hidden="1" x14ac:dyDescent="0.25">
      <c r="A250" s="2" t="s">
        <v>2072</v>
      </c>
      <c r="B250" s="2" t="s">
        <v>1019</v>
      </c>
      <c r="C250" s="2" t="s">
        <v>1020</v>
      </c>
      <c r="D250" s="2" t="s">
        <v>1021</v>
      </c>
      <c r="E250" s="2">
        <v>2</v>
      </c>
      <c r="F250" s="2">
        <v>28.942066000000001</v>
      </c>
      <c r="G250" s="2">
        <v>-80.845500000000001</v>
      </c>
      <c r="H250" s="2" t="s">
        <v>46</v>
      </c>
      <c r="I250" s="2" t="s">
        <v>46</v>
      </c>
      <c r="J250" s="2" t="s">
        <v>34</v>
      </c>
      <c r="K250" s="2" t="s">
        <v>46</v>
      </c>
      <c r="L250" s="2" t="s">
        <v>34</v>
      </c>
      <c r="M250" s="2" t="s">
        <v>34</v>
      </c>
      <c r="N250" s="2" t="s">
        <v>34</v>
      </c>
      <c r="O250" s="2" t="s">
        <v>34</v>
      </c>
      <c r="P250" s="3">
        <v>38377</v>
      </c>
      <c r="Q250" s="3">
        <v>38418</v>
      </c>
      <c r="R250" s="2" t="s">
        <v>1024</v>
      </c>
      <c r="S250" s="2" t="s">
        <v>1023</v>
      </c>
    </row>
    <row r="251" spans="1:19" hidden="1" x14ac:dyDescent="0.25">
      <c r="A251" s="2" t="s">
        <v>2073</v>
      </c>
      <c r="B251" s="2" t="s">
        <v>1019</v>
      </c>
      <c r="C251" s="2" t="s">
        <v>1020</v>
      </c>
      <c r="D251" s="2" t="s">
        <v>1021</v>
      </c>
      <c r="E251" s="2">
        <v>2</v>
      </c>
      <c r="F251" s="2">
        <v>28.939965999999998</v>
      </c>
      <c r="G251" s="2">
        <v>-80.847465999999997</v>
      </c>
      <c r="H251" s="2" t="s">
        <v>46</v>
      </c>
      <c r="I251" s="2" t="s">
        <v>46</v>
      </c>
      <c r="J251" s="2" t="s">
        <v>34</v>
      </c>
      <c r="K251" s="2" t="s">
        <v>46</v>
      </c>
      <c r="L251" s="2" t="s">
        <v>34</v>
      </c>
      <c r="M251" s="2" t="s">
        <v>34</v>
      </c>
      <c r="N251" s="2" t="s">
        <v>34</v>
      </c>
      <c r="O251" s="2" t="s">
        <v>34</v>
      </c>
      <c r="P251" s="3">
        <v>38418</v>
      </c>
      <c r="Q251" s="3">
        <v>39485</v>
      </c>
      <c r="R251" s="2" t="s">
        <v>1024</v>
      </c>
      <c r="S251" s="2" t="s">
        <v>1023</v>
      </c>
    </row>
    <row r="252" spans="1:19" hidden="1" x14ac:dyDescent="0.25">
      <c r="A252" s="2" t="s">
        <v>2074</v>
      </c>
      <c r="B252" s="2" t="s">
        <v>1019</v>
      </c>
      <c r="C252" s="2" t="s">
        <v>1020</v>
      </c>
      <c r="D252" s="2" t="s">
        <v>1021</v>
      </c>
      <c r="E252" s="2">
        <v>3</v>
      </c>
      <c r="F252" s="2">
        <v>28.937733000000001</v>
      </c>
      <c r="G252" s="2">
        <v>-80.846000000000004</v>
      </c>
      <c r="H252" s="2" t="s">
        <v>46</v>
      </c>
      <c r="I252" s="2" t="s">
        <v>46</v>
      </c>
      <c r="J252" s="2" t="s">
        <v>34</v>
      </c>
      <c r="K252" s="2" t="s">
        <v>46</v>
      </c>
      <c r="L252" s="2" t="s">
        <v>34</v>
      </c>
      <c r="M252" s="2" t="s">
        <v>34</v>
      </c>
      <c r="N252" s="2" t="s">
        <v>34</v>
      </c>
      <c r="O252" s="2" t="s">
        <v>34</v>
      </c>
      <c r="P252" s="3">
        <v>38377</v>
      </c>
      <c r="Q252" s="3">
        <v>38418</v>
      </c>
      <c r="R252" s="2" t="s">
        <v>1025</v>
      </c>
      <c r="S252" s="2" t="s">
        <v>1023</v>
      </c>
    </row>
    <row r="253" spans="1:19" hidden="1" x14ac:dyDescent="0.25">
      <c r="A253" s="2" t="s">
        <v>2075</v>
      </c>
      <c r="B253" s="2" t="s">
        <v>1019</v>
      </c>
      <c r="C253" s="2" t="s">
        <v>1020</v>
      </c>
      <c r="D253" s="2" t="s">
        <v>1021</v>
      </c>
      <c r="E253" s="2">
        <v>3</v>
      </c>
      <c r="F253" s="2">
        <v>28.937816000000002</v>
      </c>
      <c r="G253" s="2">
        <v>-80.845916000000003</v>
      </c>
      <c r="H253" s="2" t="s">
        <v>46</v>
      </c>
      <c r="I253" s="2" t="s">
        <v>46</v>
      </c>
      <c r="J253" s="2" t="s">
        <v>34</v>
      </c>
      <c r="K253" s="2" t="s">
        <v>46</v>
      </c>
      <c r="L253" s="2" t="s">
        <v>34</v>
      </c>
      <c r="M253" s="2" t="s">
        <v>34</v>
      </c>
      <c r="N253" s="2" t="s">
        <v>34</v>
      </c>
      <c r="O253" s="2" t="s">
        <v>34</v>
      </c>
      <c r="P253" s="3">
        <v>38418</v>
      </c>
      <c r="Q253" s="3">
        <v>39485</v>
      </c>
      <c r="R253" s="2" t="s">
        <v>1025</v>
      </c>
      <c r="S253" s="2" t="s">
        <v>1023</v>
      </c>
    </row>
    <row r="254" spans="1:19" hidden="1" x14ac:dyDescent="0.25">
      <c r="A254" s="2" t="s">
        <v>2076</v>
      </c>
      <c r="B254" s="2" t="s">
        <v>1026</v>
      </c>
      <c r="C254" s="2" t="s">
        <v>77</v>
      </c>
      <c r="D254" s="2" t="s">
        <v>1027</v>
      </c>
      <c r="E254" s="2">
        <v>1</v>
      </c>
      <c r="F254" s="2">
        <v>27.212382999999999</v>
      </c>
      <c r="G254" s="2">
        <v>-80.243315999999993</v>
      </c>
      <c r="H254" s="2" t="s">
        <v>46</v>
      </c>
      <c r="I254" s="2" t="s">
        <v>46</v>
      </c>
      <c r="J254" s="2" t="s">
        <v>34</v>
      </c>
      <c r="K254" s="2" t="s">
        <v>46</v>
      </c>
      <c r="L254" s="2" t="s">
        <v>34</v>
      </c>
      <c r="M254" s="2" t="s">
        <v>34</v>
      </c>
      <c r="N254" s="2" t="s">
        <v>46</v>
      </c>
      <c r="O254" s="2" t="s">
        <v>34</v>
      </c>
      <c r="P254" s="3">
        <v>38353</v>
      </c>
      <c r="Q254" s="3">
        <v>73050</v>
      </c>
      <c r="R254" s="2" t="s">
        <v>1028</v>
      </c>
      <c r="S254" s="2" t="s">
        <v>1029</v>
      </c>
    </row>
    <row r="255" spans="1:19" hidden="1" x14ac:dyDescent="0.25">
      <c r="A255" s="2" t="s">
        <v>2077</v>
      </c>
      <c r="B255" s="2" t="s">
        <v>1026</v>
      </c>
      <c r="C255" s="2" t="s">
        <v>77</v>
      </c>
      <c r="D255" s="2" t="s">
        <v>1030</v>
      </c>
      <c r="E255" s="2">
        <v>2</v>
      </c>
      <c r="F255" s="2">
        <v>27.201450000000001</v>
      </c>
      <c r="G255" s="2">
        <v>-80.241550000000004</v>
      </c>
      <c r="H255" s="2" t="s">
        <v>46</v>
      </c>
      <c r="I255" s="2" t="s">
        <v>46</v>
      </c>
      <c r="J255" s="2" t="s">
        <v>34</v>
      </c>
      <c r="K255" s="2" t="s">
        <v>46</v>
      </c>
      <c r="L255" s="2" t="s">
        <v>34</v>
      </c>
      <c r="M255" s="2" t="s">
        <v>34</v>
      </c>
      <c r="N255" s="2" t="s">
        <v>34</v>
      </c>
      <c r="O255" s="2" t="s">
        <v>34</v>
      </c>
      <c r="P255" s="3">
        <v>38353</v>
      </c>
      <c r="Q255" s="3">
        <v>73050</v>
      </c>
      <c r="R255" s="2" t="s">
        <v>1031</v>
      </c>
      <c r="S255" s="2" t="s">
        <v>1029</v>
      </c>
    </row>
    <row r="256" spans="1:19" hidden="1" x14ac:dyDescent="0.25">
      <c r="A256" s="2" t="s">
        <v>2078</v>
      </c>
      <c r="B256" s="2" t="s">
        <v>1026</v>
      </c>
      <c r="C256" s="2" t="s">
        <v>77</v>
      </c>
      <c r="D256" s="2" t="s">
        <v>1032</v>
      </c>
      <c r="E256" s="2">
        <v>3</v>
      </c>
      <c r="F256" s="2">
        <v>27.201599999999999</v>
      </c>
      <c r="G256" s="2">
        <v>-80.2547</v>
      </c>
      <c r="H256" s="2" t="s">
        <v>46</v>
      </c>
      <c r="I256" s="2" t="s">
        <v>46</v>
      </c>
      <c r="J256" s="2" t="s">
        <v>34</v>
      </c>
      <c r="K256" s="2" t="s">
        <v>46</v>
      </c>
      <c r="L256" s="2" t="s">
        <v>34</v>
      </c>
      <c r="M256" s="2" t="s">
        <v>34</v>
      </c>
      <c r="N256" s="2" t="s">
        <v>34</v>
      </c>
      <c r="O256" s="2" t="s">
        <v>34</v>
      </c>
      <c r="P256" s="3">
        <v>38353</v>
      </c>
      <c r="Q256" s="3">
        <v>73050</v>
      </c>
      <c r="R256" s="2" t="s">
        <v>1033</v>
      </c>
      <c r="S256" s="2" t="s">
        <v>1029</v>
      </c>
    </row>
    <row r="257" spans="1:19" hidden="1" x14ac:dyDescent="0.25">
      <c r="A257" s="2" t="s">
        <v>2079</v>
      </c>
      <c r="B257" s="2" t="s">
        <v>1026</v>
      </c>
      <c r="C257" s="2" t="s">
        <v>504</v>
      </c>
      <c r="D257" s="2" t="s">
        <v>1034</v>
      </c>
      <c r="E257" s="2">
        <v>1</v>
      </c>
      <c r="F257" s="2">
        <v>27.203749999999999</v>
      </c>
      <c r="G257" s="2">
        <v>-80.227549999999994</v>
      </c>
      <c r="H257" s="2" t="s">
        <v>46</v>
      </c>
      <c r="I257" s="2" t="s">
        <v>46</v>
      </c>
      <c r="J257" s="2" t="s">
        <v>34</v>
      </c>
      <c r="K257" s="2" t="s">
        <v>46</v>
      </c>
      <c r="L257" s="2" t="s">
        <v>34</v>
      </c>
      <c r="M257" s="2" t="s">
        <v>34</v>
      </c>
      <c r="N257" s="2" t="s">
        <v>34</v>
      </c>
      <c r="O257" s="2" t="s">
        <v>34</v>
      </c>
      <c r="P257" s="3">
        <v>40051</v>
      </c>
      <c r="Q257" s="3">
        <v>40821</v>
      </c>
      <c r="R257" s="2" t="s">
        <v>1035</v>
      </c>
      <c r="S257" s="2" t="s">
        <v>1029</v>
      </c>
    </row>
    <row r="258" spans="1:19" hidden="1" x14ac:dyDescent="0.25">
      <c r="A258" s="2" t="s">
        <v>2080</v>
      </c>
      <c r="B258" s="2" t="s">
        <v>1026</v>
      </c>
      <c r="C258" s="2" t="s">
        <v>504</v>
      </c>
      <c r="D258" s="2" t="s">
        <v>1036</v>
      </c>
      <c r="E258" s="2">
        <v>2</v>
      </c>
      <c r="F258" s="2">
        <v>27.170815999999999</v>
      </c>
      <c r="G258" s="2">
        <v>-80.20205</v>
      </c>
      <c r="H258" s="2" t="s">
        <v>46</v>
      </c>
      <c r="I258" s="2" t="s">
        <v>46</v>
      </c>
      <c r="J258" s="2" t="s">
        <v>34</v>
      </c>
      <c r="K258" s="2" t="s">
        <v>46</v>
      </c>
      <c r="L258" s="2" t="s">
        <v>34</v>
      </c>
      <c r="M258" s="2" t="s">
        <v>34</v>
      </c>
      <c r="N258" s="2" t="s">
        <v>34</v>
      </c>
      <c r="O258" s="2" t="s">
        <v>34</v>
      </c>
      <c r="P258" s="3">
        <v>40051</v>
      </c>
      <c r="Q258" s="3">
        <v>40821</v>
      </c>
      <c r="R258" s="2" t="s">
        <v>1037</v>
      </c>
      <c r="S258" s="2" t="s">
        <v>1029</v>
      </c>
    </row>
    <row r="259" spans="1:19" hidden="1" x14ac:dyDescent="0.25">
      <c r="A259" s="2" t="s">
        <v>2081</v>
      </c>
      <c r="B259" s="2" t="s">
        <v>1026</v>
      </c>
      <c r="C259" s="2" t="s">
        <v>466</v>
      </c>
      <c r="D259" s="2" t="s">
        <v>1038</v>
      </c>
      <c r="E259" s="2">
        <v>1</v>
      </c>
      <c r="F259" s="2">
        <v>27.201466</v>
      </c>
      <c r="G259" s="2">
        <v>-80.234966</v>
      </c>
      <c r="H259" s="2" t="s">
        <v>46</v>
      </c>
      <c r="I259" s="2" t="s">
        <v>46</v>
      </c>
      <c r="J259" s="2" t="s">
        <v>34</v>
      </c>
      <c r="K259" s="2" t="s">
        <v>46</v>
      </c>
      <c r="L259" s="2" t="s">
        <v>34</v>
      </c>
      <c r="M259" s="2" t="s">
        <v>34</v>
      </c>
      <c r="N259" s="2" t="s">
        <v>34</v>
      </c>
      <c r="O259" s="2" t="s">
        <v>34</v>
      </c>
      <c r="P259" s="3">
        <v>41275</v>
      </c>
      <c r="Q259" s="3">
        <v>43465</v>
      </c>
      <c r="R259" s="2" t="s">
        <v>1039</v>
      </c>
      <c r="S259" s="2" t="s">
        <v>1029</v>
      </c>
    </row>
    <row r="260" spans="1:19" hidden="1" x14ac:dyDescent="0.25">
      <c r="A260" s="2" t="s">
        <v>2082</v>
      </c>
      <c r="B260" s="2" t="s">
        <v>1026</v>
      </c>
      <c r="C260" s="2" t="s">
        <v>34</v>
      </c>
      <c r="D260" s="2" t="s">
        <v>1040</v>
      </c>
      <c r="E260" s="2">
        <v>1</v>
      </c>
      <c r="F260" s="2">
        <v>27.220533</v>
      </c>
      <c r="G260" s="2">
        <v>-80.278949999999995</v>
      </c>
      <c r="H260" s="2" t="s">
        <v>46</v>
      </c>
      <c r="I260" s="2" t="s">
        <v>46</v>
      </c>
      <c r="J260" s="2" t="s">
        <v>34</v>
      </c>
      <c r="K260" s="2" t="s">
        <v>46</v>
      </c>
      <c r="L260" s="2" t="s">
        <v>34</v>
      </c>
      <c r="M260" s="2" t="s">
        <v>34</v>
      </c>
      <c r="N260" s="2" t="s">
        <v>34</v>
      </c>
      <c r="O260" s="2" t="s">
        <v>34</v>
      </c>
      <c r="P260" s="3">
        <v>38353</v>
      </c>
      <c r="Q260" s="3">
        <v>73050</v>
      </c>
      <c r="R260" s="2" t="s">
        <v>1041</v>
      </c>
      <c r="S260" s="2" t="s">
        <v>1029</v>
      </c>
    </row>
    <row r="261" spans="1:19" hidden="1" x14ac:dyDescent="0.25">
      <c r="A261" s="2" t="s">
        <v>2083</v>
      </c>
      <c r="B261" s="2" t="s">
        <v>1026</v>
      </c>
      <c r="C261" s="2" t="s">
        <v>34</v>
      </c>
      <c r="D261" s="2" t="s">
        <v>1042</v>
      </c>
      <c r="E261" s="2">
        <v>2</v>
      </c>
      <c r="F261" s="2">
        <v>27.211433</v>
      </c>
      <c r="G261" s="2">
        <v>-80.264099999999999</v>
      </c>
      <c r="H261" s="2" t="s">
        <v>46</v>
      </c>
      <c r="I261" s="2" t="s">
        <v>46</v>
      </c>
      <c r="J261" s="2" t="s">
        <v>34</v>
      </c>
      <c r="K261" s="2" t="s">
        <v>46</v>
      </c>
      <c r="L261" s="2" t="s">
        <v>34</v>
      </c>
      <c r="M261" s="2" t="s">
        <v>34</v>
      </c>
      <c r="N261" s="2" t="s">
        <v>34</v>
      </c>
      <c r="O261" s="2" t="s">
        <v>34</v>
      </c>
      <c r="P261" s="3">
        <v>38353</v>
      </c>
      <c r="Q261" s="3">
        <v>73050</v>
      </c>
      <c r="R261" s="2" t="s">
        <v>1043</v>
      </c>
      <c r="S261" s="2" t="s">
        <v>1029</v>
      </c>
    </row>
    <row r="262" spans="1:19" hidden="1" x14ac:dyDescent="0.25">
      <c r="A262" s="2" t="s">
        <v>2084</v>
      </c>
      <c r="B262" s="2" t="s">
        <v>1026</v>
      </c>
      <c r="C262" s="2" t="s">
        <v>34</v>
      </c>
      <c r="D262" s="2" t="s">
        <v>1044</v>
      </c>
      <c r="E262" s="2">
        <v>3</v>
      </c>
      <c r="F262" s="2">
        <v>27.206199999999999</v>
      </c>
      <c r="G262" s="2">
        <v>-80.275733000000002</v>
      </c>
      <c r="H262" s="2" t="s">
        <v>46</v>
      </c>
      <c r="I262" s="2" t="s">
        <v>46</v>
      </c>
      <c r="J262" s="2" t="s">
        <v>34</v>
      </c>
      <c r="K262" s="2" t="s">
        <v>46</v>
      </c>
      <c r="L262" s="2" t="s">
        <v>34</v>
      </c>
      <c r="M262" s="2" t="s">
        <v>34</v>
      </c>
      <c r="N262" s="2" t="s">
        <v>34</v>
      </c>
      <c r="O262" s="2" t="s">
        <v>34</v>
      </c>
      <c r="P262" s="3">
        <v>38406</v>
      </c>
      <c r="Q262" s="3">
        <v>38657</v>
      </c>
      <c r="R262" s="2" t="s">
        <v>1045</v>
      </c>
      <c r="S262" s="2" t="s">
        <v>1029</v>
      </c>
    </row>
    <row r="263" spans="1:19" hidden="1" x14ac:dyDescent="0.25">
      <c r="A263" s="2" t="s">
        <v>2085</v>
      </c>
      <c r="B263" s="2" t="s">
        <v>1026</v>
      </c>
      <c r="C263" s="2" t="s">
        <v>34</v>
      </c>
      <c r="D263" s="2" t="s">
        <v>1044</v>
      </c>
      <c r="E263" s="2">
        <v>3</v>
      </c>
      <c r="F263" s="2">
        <v>27.207650000000001</v>
      </c>
      <c r="G263" s="2">
        <v>-80.284532999999996</v>
      </c>
      <c r="H263" s="2" t="s">
        <v>46</v>
      </c>
      <c r="I263" s="2" t="s">
        <v>46</v>
      </c>
      <c r="J263" s="2" t="s">
        <v>34</v>
      </c>
      <c r="K263" s="2" t="s">
        <v>46</v>
      </c>
      <c r="L263" s="2" t="s">
        <v>34</v>
      </c>
      <c r="M263" s="2" t="s">
        <v>34</v>
      </c>
      <c r="N263" s="2" t="s">
        <v>34</v>
      </c>
      <c r="O263" s="2" t="s">
        <v>34</v>
      </c>
      <c r="P263" s="3">
        <v>38657</v>
      </c>
      <c r="Q263" s="3">
        <v>73050</v>
      </c>
      <c r="R263" s="2" t="s">
        <v>1045</v>
      </c>
      <c r="S263" s="2" t="s">
        <v>1029</v>
      </c>
    </row>
    <row r="264" spans="1:19" hidden="1" x14ac:dyDescent="0.25">
      <c r="A264" s="2" t="s">
        <v>2086</v>
      </c>
      <c r="B264" s="2" t="s">
        <v>1026</v>
      </c>
      <c r="C264" s="2" t="s">
        <v>500</v>
      </c>
      <c r="D264" s="2" t="s">
        <v>1046</v>
      </c>
      <c r="E264" s="2">
        <v>1</v>
      </c>
      <c r="F264" s="2">
        <v>27.215699999999998</v>
      </c>
      <c r="G264" s="2">
        <v>-80.232399999999998</v>
      </c>
      <c r="H264" s="2" t="s">
        <v>46</v>
      </c>
      <c r="I264" s="2" t="s">
        <v>46</v>
      </c>
      <c r="J264" s="2" t="s">
        <v>34</v>
      </c>
      <c r="K264" s="2" t="s">
        <v>46</v>
      </c>
      <c r="L264" s="2" t="s">
        <v>34</v>
      </c>
      <c r="M264" s="2" t="s">
        <v>34</v>
      </c>
      <c r="N264" s="2" t="s">
        <v>34</v>
      </c>
      <c r="O264" s="2" t="s">
        <v>34</v>
      </c>
      <c r="P264" s="3">
        <v>40127</v>
      </c>
      <c r="Q264" s="3">
        <v>40821</v>
      </c>
      <c r="R264" s="2" t="s">
        <v>1047</v>
      </c>
      <c r="S264" s="2" t="s">
        <v>1029</v>
      </c>
    </row>
    <row r="265" spans="1:19" hidden="1" x14ac:dyDescent="0.25">
      <c r="A265" s="2" t="s">
        <v>2087</v>
      </c>
      <c r="B265" s="2" t="s">
        <v>1026</v>
      </c>
      <c r="C265" s="2" t="s">
        <v>500</v>
      </c>
      <c r="D265" s="2" t="s">
        <v>1048</v>
      </c>
      <c r="E265" s="2">
        <v>2</v>
      </c>
      <c r="F265" s="2">
        <v>27.202383000000001</v>
      </c>
      <c r="G265" s="2">
        <v>-80.252350000000007</v>
      </c>
      <c r="H265" s="2" t="s">
        <v>46</v>
      </c>
      <c r="I265" s="2" t="s">
        <v>46</v>
      </c>
      <c r="J265" s="2" t="s">
        <v>34</v>
      </c>
      <c r="K265" s="2" t="s">
        <v>46</v>
      </c>
      <c r="L265" s="2" t="s">
        <v>34</v>
      </c>
      <c r="M265" s="2" t="s">
        <v>34</v>
      </c>
      <c r="N265" s="2" t="s">
        <v>34</v>
      </c>
      <c r="O265" s="2" t="s">
        <v>34</v>
      </c>
      <c r="P265" s="3">
        <v>40127</v>
      </c>
      <c r="Q265" s="3">
        <v>40821</v>
      </c>
      <c r="R265" s="2" t="s">
        <v>1049</v>
      </c>
      <c r="S265" s="2" t="s">
        <v>1029</v>
      </c>
    </row>
    <row r="266" spans="1:19" hidden="1" x14ac:dyDescent="0.25">
      <c r="A266" s="2" t="s">
        <v>2088</v>
      </c>
      <c r="B266" s="2" t="s">
        <v>1026</v>
      </c>
      <c r="C266" s="2" t="s">
        <v>500</v>
      </c>
      <c r="D266" s="2" t="s">
        <v>1050</v>
      </c>
      <c r="E266" s="2">
        <v>3</v>
      </c>
      <c r="F266" s="2">
        <v>27.181616000000002</v>
      </c>
      <c r="G266" s="2">
        <v>-80.197965999999994</v>
      </c>
      <c r="H266" s="2" t="s">
        <v>46</v>
      </c>
      <c r="I266" s="2" t="s">
        <v>46</v>
      </c>
      <c r="J266" s="2" t="s">
        <v>34</v>
      </c>
      <c r="K266" s="2" t="s">
        <v>46</v>
      </c>
      <c r="L266" s="2" t="s">
        <v>34</v>
      </c>
      <c r="M266" s="2" t="s">
        <v>34</v>
      </c>
      <c r="N266" s="2" t="s">
        <v>34</v>
      </c>
      <c r="O266" s="2" t="s">
        <v>34</v>
      </c>
      <c r="P266" s="3">
        <v>40211</v>
      </c>
      <c r="Q266" s="3">
        <v>40821</v>
      </c>
      <c r="R266" s="2" t="s">
        <v>1051</v>
      </c>
      <c r="S266" s="2" t="s">
        <v>1029</v>
      </c>
    </row>
    <row r="267" spans="1:19" hidden="1" x14ac:dyDescent="0.25">
      <c r="A267" s="2" t="s">
        <v>2089</v>
      </c>
      <c r="B267" s="2" t="s">
        <v>1026</v>
      </c>
      <c r="C267" s="2" t="s">
        <v>500</v>
      </c>
      <c r="D267" s="2" t="s">
        <v>1052</v>
      </c>
      <c r="E267" s="2">
        <v>4</v>
      </c>
      <c r="F267" s="2">
        <v>27.209700000000002</v>
      </c>
      <c r="G267" s="2">
        <v>-80.283133000000007</v>
      </c>
      <c r="H267" s="2" t="s">
        <v>46</v>
      </c>
      <c r="I267" s="2" t="s">
        <v>46</v>
      </c>
      <c r="J267" s="2" t="s">
        <v>34</v>
      </c>
      <c r="K267" s="2" t="s">
        <v>46</v>
      </c>
      <c r="L267" s="2" t="s">
        <v>34</v>
      </c>
      <c r="M267" s="2" t="s">
        <v>34</v>
      </c>
      <c r="N267" s="2" t="s">
        <v>34</v>
      </c>
      <c r="O267" s="2" t="s">
        <v>34</v>
      </c>
      <c r="P267" s="3">
        <v>40211</v>
      </c>
      <c r="Q267" s="3">
        <v>40822</v>
      </c>
      <c r="R267" s="2" t="s">
        <v>1053</v>
      </c>
      <c r="S267" s="2" t="s">
        <v>1029</v>
      </c>
    </row>
    <row r="268" spans="1:19" hidden="1" x14ac:dyDescent="0.25">
      <c r="A268" s="2" t="s">
        <v>2090</v>
      </c>
      <c r="B268" s="2" t="s">
        <v>1026</v>
      </c>
      <c r="C268" s="2" t="s">
        <v>86</v>
      </c>
      <c r="D268" s="2" t="s">
        <v>1054</v>
      </c>
      <c r="E268" s="2">
        <v>1</v>
      </c>
      <c r="F268" s="2">
        <v>27.194849999999999</v>
      </c>
      <c r="G268" s="2">
        <v>-80.260599999999997</v>
      </c>
      <c r="H268" s="2" t="s">
        <v>46</v>
      </c>
      <c r="I268" s="2" t="s">
        <v>46</v>
      </c>
      <c r="J268" s="2" t="s">
        <v>34</v>
      </c>
      <c r="K268" s="2" t="s">
        <v>46</v>
      </c>
      <c r="L268" s="2" t="s">
        <v>34</v>
      </c>
      <c r="M268" s="2" t="s">
        <v>34</v>
      </c>
      <c r="N268" s="2" t="s">
        <v>34</v>
      </c>
      <c r="O268" s="2" t="s">
        <v>34</v>
      </c>
      <c r="P268" s="3">
        <v>38353</v>
      </c>
      <c r="Q268" s="3">
        <v>73050</v>
      </c>
      <c r="R268" s="2" t="s">
        <v>1055</v>
      </c>
      <c r="S268" s="2" t="s">
        <v>1029</v>
      </c>
    </row>
    <row r="269" spans="1:19" hidden="1" x14ac:dyDescent="0.25">
      <c r="A269" s="2" t="s">
        <v>2091</v>
      </c>
      <c r="B269" s="2" t="s">
        <v>1026</v>
      </c>
      <c r="C269" s="2" t="s">
        <v>86</v>
      </c>
      <c r="D269" s="2" t="s">
        <v>1056</v>
      </c>
      <c r="E269" s="2">
        <v>2</v>
      </c>
      <c r="F269" s="2">
        <v>27.187132999999999</v>
      </c>
      <c r="G269" s="2">
        <v>-80.269149999999996</v>
      </c>
      <c r="H269" s="2" t="s">
        <v>46</v>
      </c>
      <c r="I269" s="2" t="s">
        <v>46</v>
      </c>
      <c r="J269" s="2" t="s">
        <v>34</v>
      </c>
      <c r="K269" s="2" t="s">
        <v>46</v>
      </c>
      <c r="L269" s="2" t="s">
        <v>34</v>
      </c>
      <c r="M269" s="2" t="s">
        <v>34</v>
      </c>
      <c r="N269" s="2" t="s">
        <v>34</v>
      </c>
      <c r="O269" s="2" t="s">
        <v>34</v>
      </c>
      <c r="P269" s="3">
        <v>38353</v>
      </c>
      <c r="Q269" s="3">
        <v>73050</v>
      </c>
      <c r="R269" s="2" t="s">
        <v>1057</v>
      </c>
      <c r="S269" s="2" t="s">
        <v>1029</v>
      </c>
    </row>
    <row r="270" spans="1:19" hidden="1" x14ac:dyDescent="0.25">
      <c r="A270" s="2" t="s">
        <v>2092</v>
      </c>
      <c r="B270" s="2" t="s">
        <v>1026</v>
      </c>
      <c r="C270" s="2" t="s">
        <v>86</v>
      </c>
      <c r="D270" s="2" t="s">
        <v>1058</v>
      </c>
      <c r="E270" s="2">
        <v>3</v>
      </c>
      <c r="F270" s="2">
        <v>27.165816</v>
      </c>
      <c r="G270" s="2">
        <v>-80.261216000000005</v>
      </c>
      <c r="H270" s="2" t="s">
        <v>46</v>
      </c>
      <c r="I270" s="2" t="s">
        <v>46</v>
      </c>
      <c r="J270" s="2" t="s">
        <v>34</v>
      </c>
      <c r="K270" s="2" t="s">
        <v>46</v>
      </c>
      <c r="L270" s="2" t="s">
        <v>34</v>
      </c>
      <c r="M270" s="2" t="s">
        <v>34</v>
      </c>
      <c r="N270" s="2" t="s">
        <v>34</v>
      </c>
      <c r="O270" s="2" t="s">
        <v>34</v>
      </c>
      <c r="P270" s="3">
        <v>38353</v>
      </c>
      <c r="Q270" s="3">
        <v>73050</v>
      </c>
      <c r="R270" s="2" t="s">
        <v>1059</v>
      </c>
      <c r="S270" s="2" t="s">
        <v>1029</v>
      </c>
    </row>
    <row r="271" spans="1:19" hidden="1" x14ac:dyDescent="0.25">
      <c r="A271" s="2" t="s">
        <v>2093</v>
      </c>
      <c r="B271" s="2" t="s">
        <v>1060</v>
      </c>
      <c r="C271" s="2" t="s">
        <v>466</v>
      </c>
      <c r="D271" s="2" t="s">
        <v>1061</v>
      </c>
      <c r="E271" s="2">
        <v>1</v>
      </c>
      <c r="F271" s="2">
        <v>27.840032999999998</v>
      </c>
      <c r="G271" s="2">
        <v>-80.498482999999993</v>
      </c>
      <c r="H271" s="2" t="s">
        <v>46</v>
      </c>
      <c r="I271" s="2" t="s">
        <v>46</v>
      </c>
      <c r="J271" s="2" t="s">
        <v>34</v>
      </c>
      <c r="K271" s="2" t="s">
        <v>46</v>
      </c>
      <c r="L271" s="2" t="s">
        <v>34</v>
      </c>
      <c r="M271" s="2" t="s">
        <v>34</v>
      </c>
      <c r="N271" s="2" t="s">
        <v>34</v>
      </c>
      <c r="O271" s="2" t="s">
        <v>34</v>
      </c>
      <c r="P271" s="3">
        <v>38383</v>
      </c>
      <c r="Q271" s="3">
        <v>38944</v>
      </c>
      <c r="R271" s="2" t="s">
        <v>1062</v>
      </c>
      <c r="S271" s="2" t="s">
        <v>1063</v>
      </c>
    </row>
    <row r="272" spans="1:19" hidden="1" x14ac:dyDescent="0.25">
      <c r="A272" s="2" t="s">
        <v>2094</v>
      </c>
      <c r="B272" s="2" t="s">
        <v>1060</v>
      </c>
      <c r="C272" s="2" t="s">
        <v>466</v>
      </c>
      <c r="D272" s="2" t="s">
        <v>1061</v>
      </c>
      <c r="E272" s="2">
        <v>1</v>
      </c>
      <c r="F272" s="2">
        <v>27.850916000000002</v>
      </c>
      <c r="G272" s="2">
        <v>-80.493049999999997</v>
      </c>
      <c r="H272" s="2" t="s">
        <v>46</v>
      </c>
      <c r="I272" s="2" t="s">
        <v>46</v>
      </c>
      <c r="J272" s="2" t="s">
        <v>34</v>
      </c>
      <c r="K272" s="2" t="s">
        <v>46</v>
      </c>
      <c r="L272" s="2" t="s">
        <v>34</v>
      </c>
      <c r="M272" s="2" t="s">
        <v>34</v>
      </c>
      <c r="N272" s="2" t="s">
        <v>34</v>
      </c>
      <c r="O272" s="2" t="s">
        <v>34</v>
      </c>
      <c r="P272" s="3">
        <v>38944</v>
      </c>
      <c r="Q272" s="3">
        <v>39484</v>
      </c>
      <c r="R272" s="2" t="s">
        <v>1062</v>
      </c>
      <c r="S272" s="2" t="s">
        <v>1063</v>
      </c>
    </row>
    <row r="273" spans="1:19" hidden="1" x14ac:dyDescent="0.25">
      <c r="A273" s="2" t="s">
        <v>2095</v>
      </c>
      <c r="B273" s="2" t="s">
        <v>1060</v>
      </c>
      <c r="C273" s="2" t="s">
        <v>466</v>
      </c>
      <c r="D273" s="2" t="s">
        <v>1061</v>
      </c>
      <c r="E273" s="2">
        <v>2</v>
      </c>
      <c r="F273" s="2">
        <v>27.839065999999999</v>
      </c>
      <c r="G273" s="2">
        <v>-80.498783000000003</v>
      </c>
      <c r="H273" s="2" t="s">
        <v>46</v>
      </c>
      <c r="I273" s="2" t="s">
        <v>46</v>
      </c>
      <c r="J273" s="2" t="s">
        <v>34</v>
      </c>
      <c r="K273" s="2" t="s">
        <v>46</v>
      </c>
      <c r="L273" s="2" t="s">
        <v>34</v>
      </c>
      <c r="M273" s="2" t="s">
        <v>34</v>
      </c>
      <c r="N273" s="2" t="s">
        <v>34</v>
      </c>
      <c r="O273" s="2" t="s">
        <v>34</v>
      </c>
      <c r="P273" s="3">
        <v>38383</v>
      </c>
      <c r="Q273" s="3">
        <v>38944</v>
      </c>
      <c r="R273" s="2" t="s">
        <v>1064</v>
      </c>
      <c r="S273" s="2" t="s">
        <v>1063</v>
      </c>
    </row>
    <row r="274" spans="1:19" hidden="1" x14ac:dyDescent="0.25">
      <c r="A274" s="2" t="s">
        <v>2096</v>
      </c>
      <c r="B274" s="2" t="s">
        <v>1060</v>
      </c>
      <c r="C274" s="2" t="s">
        <v>466</v>
      </c>
      <c r="D274" s="2" t="s">
        <v>1061</v>
      </c>
      <c r="E274" s="2">
        <v>2</v>
      </c>
      <c r="F274" s="2">
        <v>27.8474</v>
      </c>
      <c r="G274" s="2">
        <v>-80.496283000000005</v>
      </c>
      <c r="H274" s="2" t="s">
        <v>46</v>
      </c>
      <c r="I274" s="2" t="s">
        <v>46</v>
      </c>
      <c r="J274" s="2" t="s">
        <v>34</v>
      </c>
      <c r="K274" s="2" t="s">
        <v>46</v>
      </c>
      <c r="L274" s="2" t="s">
        <v>34</v>
      </c>
      <c r="M274" s="2" t="s">
        <v>34</v>
      </c>
      <c r="N274" s="2" t="s">
        <v>34</v>
      </c>
      <c r="O274" s="2" t="s">
        <v>34</v>
      </c>
      <c r="P274" s="3">
        <v>38944</v>
      </c>
      <c r="Q274" s="3">
        <v>39484</v>
      </c>
      <c r="R274" s="2" t="s">
        <v>1064</v>
      </c>
      <c r="S274" s="2" t="s">
        <v>1063</v>
      </c>
    </row>
    <row r="275" spans="1:19" hidden="1" x14ac:dyDescent="0.25">
      <c r="A275" s="2" t="s">
        <v>2097</v>
      </c>
      <c r="B275" s="2" t="s">
        <v>1060</v>
      </c>
      <c r="C275" s="2" t="s">
        <v>466</v>
      </c>
      <c r="D275" s="2" t="s">
        <v>1061</v>
      </c>
      <c r="E275" s="2">
        <v>3</v>
      </c>
      <c r="F275" s="2">
        <v>27.837866000000002</v>
      </c>
      <c r="G275" s="2">
        <v>-80.496015999999997</v>
      </c>
      <c r="H275" s="2" t="s">
        <v>46</v>
      </c>
      <c r="I275" s="2" t="s">
        <v>46</v>
      </c>
      <c r="J275" s="2" t="s">
        <v>34</v>
      </c>
      <c r="K275" s="2" t="s">
        <v>46</v>
      </c>
      <c r="L275" s="2" t="s">
        <v>34</v>
      </c>
      <c r="M275" s="2" t="s">
        <v>34</v>
      </c>
      <c r="N275" s="2" t="s">
        <v>34</v>
      </c>
      <c r="O275" s="2" t="s">
        <v>34</v>
      </c>
      <c r="P275" s="3">
        <v>38383</v>
      </c>
      <c r="Q275" s="3">
        <v>39484</v>
      </c>
      <c r="R275" s="2" t="s">
        <v>1065</v>
      </c>
      <c r="S275" s="2" t="s">
        <v>1063</v>
      </c>
    </row>
    <row r="276" spans="1:19" x14ac:dyDescent="0.25">
      <c r="A276" s="2" t="s">
        <v>2098</v>
      </c>
      <c r="B276" s="2" t="s">
        <v>59</v>
      </c>
      <c r="C276" s="2" t="s">
        <v>60</v>
      </c>
      <c r="D276" s="2" t="s">
        <v>1066</v>
      </c>
      <c r="E276" s="2">
        <v>4</v>
      </c>
      <c r="F276" s="2">
        <v>27.736833000000001</v>
      </c>
      <c r="G276" s="2">
        <v>-82.692750000000004</v>
      </c>
      <c r="H276" s="2" t="s">
        <v>46</v>
      </c>
      <c r="I276" s="2" t="s">
        <v>46</v>
      </c>
      <c r="J276" s="2" t="s">
        <v>46</v>
      </c>
      <c r="K276" s="2" t="s">
        <v>46</v>
      </c>
      <c r="L276" s="2" t="s">
        <v>46</v>
      </c>
      <c r="M276" s="2" t="s">
        <v>34</v>
      </c>
      <c r="N276" s="2" t="s">
        <v>34</v>
      </c>
      <c r="O276" s="2" t="s">
        <v>46</v>
      </c>
      <c r="P276" s="3">
        <v>42370</v>
      </c>
      <c r="Q276" s="3">
        <v>73050</v>
      </c>
      <c r="R276" s="2" t="s">
        <v>1067</v>
      </c>
      <c r="S276" s="2" t="s">
        <v>63</v>
      </c>
    </row>
    <row r="277" spans="1:19" x14ac:dyDescent="0.25">
      <c r="A277" s="2" t="s">
        <v>2099</v>
      </c>
      <c r="B277" s="2" t="s">
        <v>59</v>
      </c>
      <c r="C277" s="2" t="s">
        <v>504</v>
      </c>
      <c r="D277" s="2" t="s">
        <v>1068</v>
      </c>
      <c r="E277" s="2">
        <v>1</v>
      </c>
      <c r="F277" s="2">
        <v>27.701215999999999</v>
      </c>
      <c r="G277" s="2">
        <v>-82.662766000000005</v>
      </c>
      <c r="H277" s="2" t="s">
        <v>46</v>
      </c>
      <c r="I277" s="2" t="s">
        <v>46</v>
      </c>
      <c r="J277" s="2" t="s">
        <v>46</v>
      </c>
      <c r="K277" s="2" t="s">
        <v>46</v>
      </c>
      <c r="L277" s="2" t="s">
        <v>46</v>
      </c>
      <c r="M277" s="2" t="s">
        <v>34</v>
      </c>
      <c r="N277" s="2" t="s">
        <v>34</v>
      </c>
      <c r="O277" s="2" t="s">
        <v>46</v>
      </c>
      <c r="P277" s="3">
        <v>38353</v>
      </c>
      <c r="Q277" s="3">
        <v>73050</v>
      </c>
      <c r="R277" s="2" t="s">
        <v>1069</v>
      </c>
      <c r="S277" s="2" t="s">
        <v>63</v>
      </c>
    </row>
    <row r="278" spans="1:19" x14ac:dyDescent="0.25">
      <c r="A278" s="2" t="s">
        <v>2100</v>
      </c>
      <c r="B278" s="2" t="s">
        <v>59</v>
      </c>
      <c r="C278" s="2" t="s">
        <v>504</v>
      </c>
      <c r="D278" s="2" t="s">
        <v>1068</v>
      </c>
      <c r="E278" s="2">
        <v>2</v>
      </c>
      <c r="F278" s="2">
        <v>27.700816</v>
      </c>
      <c r="G278" s="2">
        <v>-82.661150000000006</v>
      </c>
      <c r="H278" s="2" t="s">
        <v>46</v>
      </c>
      <c r="I278" s="2" t="s">
        <v>46</v>
      </c>
      <c r="J278" s="2" t="s">
        <v>34</v>
      </c>
      <c r="K278" s="2" t="s">
        <v>46</v>
      </c>
      <c r="L278" s="2" t="s">
        <v>46</v>
      </c>
      <c r="M278" s="2" t="s">
        <v>34</v>
      </c>
      <c r="N278" s="2" t="s">
        <v>34</v>
      </c>
      <c r="O278" s="2" t="s">
        <v>34</v>
      </c>
      <c r="P278" s="3">
        <v>38353</v>
      </c>
      <c r="Q278" s="3">
        <v>38965</v>
      </c>
      <c r="R278" s="2" t="s">
        <v>1070</v>
      </c>
      <c r="S278" s="2" t="s">
        <v>63</v>
      </c>
    </row>
    <row r="279" spans="1:19" x14ac:dyDescent="0.25">
      <c r="A279" s="2" t="s">
        <v>2101</v>
      </c>
      <c r="B279" s="2" t="s">
        <v>59</v>
      </c>
      <c r="C279" s="2" t="s">
        <v>504</v>
      </c>
      <c r="D279" s="2" t="s">
        <v>1071</v>
      </c>
      <c r="E279" s="2">
        <v>2</v>
      </c>
      <c r="F279" s="2">
        <v>27.653583000000001</v>
      </c>
      <c r="G279" s="2">
        <v>-82.680815999999993</v>
      </c>
      <c r="H279" s="2" t="s">
        <v>46</v>
      </c>
      <c r="I279" s="2" t="s">
        <v>46</v>
      </c>
      <c r="J279" s="2" t="s">
        <v>34</v>
      </c>
      <c r="K279" s="2" t="s">
        <v>46</v>
      </c>
      <c r="L279" s="2" t="s">
        <v>46</v>
      </c>
      <c r="M279" s="2" t="s">
        <v>34</v>
      </c>
      <c r="N279" s="2" t="s">
        <v>34</v>
      </c>
      <c r="O279" s="2" t="s">
        <v>34</v>
      </c>
      <c r="P279" s="6">
        <v>38965</v>
      </c>
      <c r="Q279" s="3">
        <v>73050</v>
      </c>
      <c r="R279" s="2" t="s">
        <v>1072</v>
      </c>
      <c r="S279" s="2" t="s">
        <v>63</v>
      </c>
    </row>
    <row r="280" spans="1:19" x14ac:dyDescent="0.25">
      <c r="A280" s="2" t="s">
        <v>2102</v>
      </c>
      <c r="B280" s="2" t="s">
        <v>59</v>
      </c>
      <c r="C280" s="2" t="s">
        <v>504</v>
      </c>
      <c r="D280" s="2" t="s">
        <v>1068</v>
      </c>
      <c r="E280" s="2">
        <v>3</v>
      </c>
      <c r="F280" s="2">
        <v>27.700050000000001</v>
      </c>
      <c r="G280" s="2">
        <v>-82.654415999999998</v>
      </c>
      <c r="H280" s="2" t="s">
        <v>46</v>
      </c>
      <c r="I280" s="2" t="s">
        <v>46</v>
      </c>
      <c r="J280" s="2" t="s">
        <v>34</v>
      </c>
      <c r="K280" s="2" t="s">
        <v>46</v>
      </c>
      <c r="L280" s="2" t="s">
        <v>46</v>
      </c>
      <c r="M280" s="2" t="s">
        <v>34</v>
      </c>
      <c r="N280" s="2" t="s">
        <v>34</v>
      </c>
      <c r="O280" s="2" t="s">
        <v>34</v>
      </c>
      <c r="P280" s="3">
        <v>38353</v>
      </c>
      <c r="Q280" s="3">
        <v>38965</v>
      </c>
      <c r="R280" s="2" t="s">
        <v>1073</v>
      </c>
      <c r="S280" s="2" t="s">
        <v>63</v>
      </c>
    </row>
    <row r="281" spans="1:19" x14ac:dyDescent="0.25">
      <c r="A281" s="2" t="s">
        <v>2103</v>
      </c>
      <c r="B281" s="2" t="s">
        <v>59</v>
      </c>
      <c r="C281" s="2" t="s">
        <v>504</v>
      </c>
      <c r="D281" s="2" t="s">
        <v>1074</v>
      </c>
      <c r="E281" s="2">
        <v>3</v>
      </c>
      <c r="F281" s="2">
        <v>27.646066000000001</v>
      </c>
      <c r="G281" s="2">
        <v>-82.713233000000002</v>
      </c>
      <c r="H281" s="2" t="s">
        <v>46</v>
      </c>
      <c r="I281" s="2" t="s">
        <v>46</v>
      </c>
      <c r="J281" s="2" t="s">
        <v>34</v>
      </c>
      <c r="K281" s="2" t="s">
        <v>46</v>
      </c>
      <c r="L281" s="2" t="s">
        <v>46</v>
      </c>
      <c r="M281" s="2" t="s">
        <v>34</v>
      </c>
      <c r="N281" s="2" t="s">
        <v>34</v>
      </c>
      <c r="O281" s="2" t="s">
        <v>34</v>
      </c>
      <c r="P281" s="3">
        <v>38965</v>
      </c>
      <c r="Q281" s="3">
        <v>73050</v>
      </c>
      <c r="R281" s="2" t="s">
        <v>1075</v>
      </c>
      <c r="S281" s="2" t="s">
        <v>63</v>
      </c>
    </row>
    <row r="282" spans="1:19" x14ac:dyDescent="0.25">
      <c r="A282" s="2" t="s">
        <v>2104</v>
      </c>
      <c r="B282" s="2" t="s">
        <v>59</v>
      </c>
      <c r="C282" s="2" t="s">
        <v>504</v>
      </c>
      <c r="D282" s="2" t="s">
        <v>1076</v>
      </c>
      <c r="E282" s="2" t="s">
        <v>9</v>
      </c>
      <c r="F282" s="2">
        <v>27.723316000000001</v>
      </c>
      <c r="G282" s="2">
        <v>-82.737915999999998</v>
      </c>
      <c r="H282" s="2" t="s">
        <v>46</v>
      </c>
      <c r="I282" s="2" t="s">
        <v>46</v>
      </c>
      <c r="J282" s="2" t="s">
        <v>34</v>
      </c>
      <c r="K282" s="2" t="s">
        <v>46</v>
      </c>
      <c r="L282" s="2" t="s">
        <v>34</v>
      </c>
      <c r="M282" s="2" t="s">
        <v>34</v>
      </c>
      <c r="N282" s="2" t="s">
        <v>34</v>
      </c>
      <c r="O282" s="2" t="s">
        <v>34</v>
      </c>
      <c r="P282" s="3">
        <v>39722</v>
      </c>
      <c r="Q282" s="3">
        <v>40179</v>
      </c>
      <c r="R282" s="2" t="s">
        <v>1076</v>
      </c>
      <c r="S282" s="2" t="s">
        <v>63</v>
      </c>
    </row>
    <row r="283" spans="1:19" x14ac:dyDescent="0.25">
      <c r="A283" s="2" t="s">
        <v>2105</v>
      </c>
      <c r="B283" s="2" t="s">
        <v>59</v>
      </c>
      <c r="C283" s="2" t="s">
        <v>504</v>
      </c>
      <c r="D283" s="2" t="s">
        <v>1077</v>
      </c>
      <c r="E283" s="2" t="s">
        <v>9</v>
      </c>
      <c r="F283" s="2">
        <v>27.738099999999999</v>
      </c>
      <c r="G283" s="2">
        <v>-82.693916000000002</v>
      </c>
      <c r="H283" s="2" t="s">
        <v>46</v>
      </c>
      <c r="I283" s="2" t="s">
        <v>46</v>
      </c>
      <c r="J283" s="2" t="s">
        <v>34</v>
      </c>
      <c r="K283" s="2" t="s">
        <v>46</v>
      </c>
      <c r="L283" s="2" t="s">
        <v>34</v>
      </c>
      <c r="M283" s="2" t="s">
        <v>34</v>
      </c>
      <c r="N283" s="2" t="s">
        <v>34</v>
      </c>
      <c r="O283" s="2" t="s">
        <v>34</v>
      </c>
      <c r="P283" s="3">
        <v>39722</v>
      </c>
      <c r="Q283" s="3">
        <v>40179</v>
      </c>
      <c r="R283" s="2" t="s">
        <v>1077</v>
      </c>
      <c r="S283" s="2" t="s">
        <v>63</v>
      </c>
    </row>
    <row r="284" spans="1:19" x14ac:dyDescent="0.25">
      <c r="A284" s="2" t="s">
        <v>2106</v>
      </c>
      <c r="B284" s="2" t="s">
        <v>59</v>
      </c>
      <c r="C284" s="2" t="s">
        <v>504</v>
      </c>
      <c r="D284" s="2" t="s">
        <v>1078</v>
      </c>
      <c r="E284" s="2" t="s">
        <v>9</v>
      </c>
      <c r="F284" s="2">
        <v>27.737283000000001</v>
      </c>
      <c r="G284" s="2">
        <v>-82.693466000000001</v>
      </c>
      <c r="H284" s="2" t="s">
        <v>46</v>
      </c>
      <c r="I284" s="2" t="s">
        <v>46</v>
      </c>
      <c r="J284" s="2" t="s">
        <v>34</v>
      </c>
      <c r="K284" s="2" t="s">
        <v>46</v>
      </c>
      <c r="L284" s="2" t="s">
        <v>34</v>
      </c>
      <c r="M284" s="2" t="s">
        <v>34</v>
      </c>
      <c r="N284" s="2" t="s">
        <v>34</v>
      </c>
      <c r="O284" s="2" t="s">
        <v>34</v>
      </c>
      <c r="P284" s="3">
        <v>39722</v>
      </c>
      <c r="Q284" s="3">
        <v>40179</v>
      </c>
      <c r="R284" s="2" t="s">
        <v>1078</v>
      </c>
      <c r="S284" s="2" t="s">
        <v>63</v>
      </c>
    </row>
    <row r="285" spans="1:19" x14ac:dyDescent="0.25">
      <c r="A285" s="2" t="s">
        <v>2107</v>
      </c>
      <c r="B285" s="2" t="s">
        <v>59</v>
      </c>
      <c r="C285" s="2" t="s">
        <v>504</v>
      </c>
      <c r="D285" s="2" t="s">
        <v>1079</v>
      </c>
      <c r="E285" s="2" t="s">
        <v>9</v>
      </c>
      <c r="F285" s="2">
        <v>27.723316000000001</v>
      </c>
      <c r="G285" s="2">
        <v>-82.737915999999998</v>
      </c>
      <c r="H285" s="2" t="s">
        <v>46</v>
      </c>
      <c r="I285" s="2" t="s">
        <v>46</v>
      </c>
      <c r="J285" s="2" t="s">
        <v>34</v>
      </c>
      <c r="K285" s="2" t="s">
        <v>46</v>
      </c>
      <c r="L285" s="2" t="s">
        <v>34</v>
      </c>
      <c r="M285" s="2" t="s">
        <v>34</v>
      </c>
      <c r="N285" s="2" t="s">
        <v>34</v>
      </c>
      <c r="O285" s="2" t="s">
        <v>34</v>
      </c>
      <c r="P285" s="3">
        <v>39722</v>
      </c>
      <c r="Q285" s="3">
        <v>40179</v>
      </c>
      <c r="R285" s="2" t="s">
        <v>1079</v>
      </c>
      <c r="S285" s="2" t="s">
        <v>63</v>
      </c>
    </row>
    <row r="286" spans="1:19" x14ac:dyDescent="0.25">
      <c r="A286" s="2" t="s">
        <v>2108</v>
      </c>
      <c r="B286" s="2" t="s">
        <v>59</v>
      </c>
      <c r="C286" s="2" t="s">
        <v>504</v>
      </c>
      <c r="D286" s="2" t="s">
        <v>1080</v>
      </c>
      <c r="E286" s="2" t="s">
        <v>9</v>
      </c>
      <c r="F286" s="2">
        <v>27.685983</v>
      </c>
      <c r="G286" s="2">
        <v>-82.718850000000003</v>
      </c>
      <c r="H286" s="2" t="s">
        <v>46</v>
      </c>
      <c r="I286" s="2" t="s">
        <v>46</v>
      </c>
      <c r="J286" s="2" t="s">
        <v>34</v>
      </c>
      <c r="K286" s="2" t="s">
        <v>46</v>
      </c>
      <c r="L286" s="2" t="s">
        <v>34</v>
      </c>
      <c r="M286" s="2" t="s">
        <v>34</v>
      </c>
      <c r="N286" s="2" t="s">
        <v>34</v>
      </c>
      <c r="O286" s="2" t="s">
        <v>34</v>
      </c>
      <c r="P286" s="3">
        <v>39722</v>
      </c>
      <c r="Q286" s="3">
        <v>40179</v>
      </c>
      <c r="R286" s="2" t="s">
        <v>1080</v>
      </c>
      <c r="S286" s="2" t="s">
        <v>63</v>
      </c>
    </row>
    <row r="287" spans="1:19" x14ac:dyDescent="0.25">
      <c r="A287" s="2" t="s">
        <v>2109</v>
      </c>
      <c r="B287" s="2" t="s">
        <v>59</v>
      </c>
      <c r="C287" s="2" t="s">
        <v>504</v>
      </c>
      <c r="D287" s="2" t="s">
        <v>1081</v>
      </c>
      <c r="E287" s="2" t="s">
        <v>9</v>
      </c>
      <c r="F287" s="2">
        <v>27.685333</v>
      </c>
      <c r="G287" s="2">
        <v>-82.717349999999996</v>
      </c>
      <c r="H287" s="2" t="s">
        <v>46</v>
      </c>
      <c r="I287" s="2" t="s">
        <v>46</v>
      </c>
      <c r="J287" s="2" t="s">
        <v>34</v>
      </c>
      <c r="K287" s="2" t="s">
        <v>46</v>
      </c>
      <c r="L287" s="2" t="s">
        <v>34</v>
      </c>
      <c r="M287" s="2" t="s">
        <v>34</v>
      </c>
      <c r="N287" s="2" t="s">
        <v>34</v>
      </c>
      <c r="O287" s="2" t="s">
        <v>34</v>
      </c>
      <c r="P287" s="3">
        <v>39722</v>
      </c>
      <c r="Q287" s="3">
        <v>40179</v>
      </c>
      <c r="R287" s="2" t="s">
        <v>1081</v>
      </c>
      <c r="S287" s="2" t="s">
        <v>63</v>
      </c>
    </row>
    <row r="288" spans="1:19" x14ac:dyDescent="0.25">
      <c r="A288" s="2" t="s">
        <v>2110</v>
      </c>
      <c r="B288" s="2" t="s">
        <v>59</v>
      </c>
      <c r="C288" s="2" t="s">
        <v>504</v>
      </c>
      <c r="D288" s="2" t="s">
        <v>1082</v>
      </c>
      <c r="E288" s="2" t="s">
        <v>9</v>
      </c>
      <c r="F288" s="2">
        <v>27.685516</v>
      </c>
      <c r="G288" s="2">
        <v>-82.716965999999999</v>
      </c>
      <c r="H288" s="2" t="s">
        <v>46</v>
      </c>
      <c r="I288" s="2" t="s">
        <v>46</v>
      </c>
      <c r="J288" s="2" t="s">
        <v>34</v>
      </c>
      <c r="K288" s="2" t="s">
        <v>46</v>
      </c>
      <c r="L288" s="2" t="s">
        <v>34</v>
      </c>
      <c r="M288" s="2" t="s">
        <v>34</v>
      </c>
      <c r="N288" s="2" t="s">
        <v>34</v>
      </c>
      <c r="O288" s="2" t="s">
        <v>34</v>
      </c>
      <c r="P288" s="3">
        <v>39722</v>
      </c>
      <c r="Q288" s="3">
        <v>40179</v>
      </c>
      <c r="R288" s="2" t="s">
        <v>1082</v>
      </c>
      <c r="S288" s="2" t="s">
        <v>63</v>
      </c>
    </row>
    <row r="289" spans="1:19" x14ac:dyDescent="0.25">
      <c r="A289" s="2" t="s">
        <v>2111</v>
      </c>
      <c r="B289" s="2" t="s">
        <v>59</v>
      </c>
      <c r="C289" s="2" t="s">
        <v>504</v>
      </c>
      <c r="D289" s="2" t="s">
        <v>1083</v>
      </c>
      <c r="E289" s="2" t="s">
        <v>9</v>
      </c>
      <c r="F289" s="2">
        <v>27.685516</v>
      </c>
      <c r="G289" s="2">
        <v>-82.716965999999999</v>
      </c>
      <c r="H289" s="2" t="s">
        <v>46</v>
      </c>
      <c r="I289" s="2" t="s">
        <v>46</v>
      </c>
      <c r="J289" s="2" t="s">
        <v>34</v>
      </c>
      <c r="K289" s="2" t="s">
        <v>46</v>
      </c>
      <c r="L289" s="2" t="s">
        <v>34</v>
      </c>
      <c r="M289" s="2" t="s">
        <v>34</v>
      </c>
      <c r="N289" s="2" t="s">
        <v>34</v>
      </c>
      <c r="O289" s="2" t="s">
        <v>34</v>
      </c>
      <c r="P289" s="3">
        <v>39722</v>
      </c>
      <c r="Q289" s="3">
        <v>40179</v>
      </c>
      <c r="R289" s="2" t="s">
        <v>1083</v>
      </c>
      <c r="S289" s="2" t="s">
        <v>63</v>
      </c>
    </row>
    <row r="290" spans="1:19" x14ac:dyDescent="0.25">
      <c r="A290" s="2" t="s">
        <v>2112</v>
      </c>
      <c r="B290" s="2" t="s">
        <v>59</v>
      </c>
      <c r="C290" s="2" t="s">
        <v>466</v>
      </c>
      <c r="D290" s="2" t="s">
        <v>1084</v>
      </c>
      <c r="E290" s="2">
        <v>5</v>
      </c>
      <c r="F290" s="2">
        <v>27.84225</v>
      </c>
      <c r="G290" s="2">
        <v>-82.609583000000001</v>
      </c>
      <c r="H290" s="2" t="s">
        <v>46</v>
      </c>
      <c r="I290" s="2" t="s">
        <v>46</v>
      </c>
      <c r="J290" s="2" t="s">
        <v>46</v>
      </c>
      <c r="K290" s="2" t="s">
        <v>46</v>
      </c>
      <c r="L290" s="2" t="s">
        <v>34</v>
      </c>
      <c r="M290" s="2" t="s">
        <v>34</v>
      </c>
      <c r="N290" s="2" t="s">
        <v>34</v>
      </c>
      <c r="O290" s="2" t="s">
        <v>46</v>
      </c>
      <c r="P290" s="3">
        <v>42370</v>
      </c>
      <c r="Q290" s="3">
        <v>73050</v>
      </c>
      <c r="R290" s="2" t="s">
        <v>1085</v>
      </c>
      <c r="S290" s="2" t="s">
        <v>63</v>
      </c>
    </row>
    <row r="291" spans="1:19" x14ac:dyDescent="0.25">
      <c r="A291" s="2" t="s">
        <v>2113</v>
      </c>
      <c r="B291" s="2" t="s">
        <v>59</v>
      </c>
      <c r="C291" s="2" t="s">
        <v>466</v>
      </c>
      <c r="D291" s="2" t="s">
        <v>1086</v>
      </c>
      <c r="E291" s="2" t="s">
        <v>9</v>
      </c>
      <c r="F291" s="2">
        <v>27.799716</v>
      </c>
      <c r="G291" s="2">
        <v>-82.633415999999997</v>
      </c>
      <c r="H291" s="2" t="s">
        <v>46</v>
      </c>
      <c r="I291" s="2" t="s">
        <v>46</v>
      </c>
      <c r="J291" s="2" t="s">
        <v>34</v>
      </c>
      <c r="K291" s="2" t="s">
        <v>46</v>
      </c>
      <c r="L291" s="2" t="s">
        <v>34</v>
      </c>
      <c r="M291" s="2" t="s">
        <v>34</v>
      </c>
      <c r="N291" s="2" t="s">
        <v>34</v>
      </c>
      <c r="O291" s="2" t="s">
        <v>34</v>
      </c>
      <c r="P291" s="3">
        <v>39722</v>
      </c>
      <c r="Q291" s="3">
        <v>40179</v>
      </c>
      <c r="R291" s="2" t="s">
        <v>1086</v>
      </c>
      <c r="S291" s="2" t="s">
        <v>63</v>
      </c>
    </row>
    <row r="292" spans="1:19" x14ac:dyDescent="0.25">
      <c r="A292" s="2" t="s">
        <v>2114</v>
      </c>
      <c r="B292" s="2" t="s">
        <v>59</v>
      </c>
      <c r="C292" s="2" t="s">
        <v>466</v>
      </c>
      <c r="D292" s="2" t="s">
        <v>1087</v>
      </c>
      <c r="E292" s="2" t="s">
        <v>9</v>
      </c>
      <c r="F292" s="2">
        <v>27.795783</v>
      </c>
      <c r="G292" s="2">
        <v>-82.630915999999999</v>
      </c>
      <c r="H292" s="2" t="s">
        <v>46</v>
      </c>
      <c r="I292" s="2" t="s">
        <v>46</v>
      </c>
      <c r="J292" s="2" t="s">
        <v>34</v>
      </c>
      <c r="K292" s="2" t="s">
        <v>46</v>
      </c>
      <c r="L292" s="2" t="s">
        <v>34</v>
      </c>
      <c r="M292" s="2" t="s">
        <v>34</v>
      </c>
      <c r="N292" s="2" t="s">
        <v>34</v>
      </c>
      <c r="O292" s="2" t="s">
        <v>34</v>
      </c>
      <c r="P292" s="3">
        <v>39722</v>
      </c>
      <c r="Q292" s="3">
        <v>40179</v>
      </c>
      <c r="R292" s="2" t="s">
        <v>1087</v>
      </c>
      <c r="S292" s="2" t="s">
        <v>63</v>
      </c>
    </row>
    <row r="293" spans="1:19" x14ac:dyDescent="0.25">
      <c r="A293" s="2" t="s">
        <v>2115</v>
      </c>
      <c r="B293" s="2" t="s">
        <v>59</v>
      </c>
      <c r="C293" s="2" t="s">
        <v>466</v>
      </c>
      <c r="D293" s="2" t="s">
        <v>1088</v>
      </c>
      <c r="E293" s="2" t="s">
        <v>9</v>
      </c>
      <c r="F293" s="2">
        <v>27.7959</v>
      </c>
      <c r="G293" s="2">
        <v>-82.631315999999998</v>
      </c>
      <c r="H293" s="2" t="s">
        <v>46</v>
      </c>
      <c r="I293" s="2" t="s">
        <v>46</v>
      </c>
      <c r="J293" s="2" t="s">
        <v>34</v>
      </c>
      <c r="K293" s="2" t="s">
        <v>46</v>
      </c>
      <c r="L293" s="2" t="s">
        <v>34</v>
      </c>
      <c r="M293" s="2" t="s">
        <v>34</v>
      </c>
      <c r="N293" s="2" t="s">
        <v>34</v>
      </c>
      <c r="O293" s="2" t="s">
        <v>34</v>
      </c>
      <c r="P293" s="3">
        <v>39722</v>
      </c>
      <c r="Q293" s="3">
        <v>40179</v>
      </c>
      <c r="R293" s="2" t="s">
        <v>1088</v>
      </c>
      <c r="S293" s="2" t="s">
        <v>63</v>
      </c>
    </row>
    <row r="294" spans="1:19" x14ac:dyDescent="0.25">
      <c r="A294" s="2" t="s">
        <v>2116</v>
      </c>
      <c r="B294" s="2" t="s">
        <v>59</v>
      </c>
      <c r="C294" s="2" t="s">
        <v>466</v>
      </c>
      <c r="D294" s="2" t="s">
        <v>1089</v>
      </c>
      <c r="E294" s="2" t="s">
        <v>9</v>
      </c>
      <c r="F294" s="2">
        <v>27.799716</v>
      </c>
      <c r="G294" s="2">
        <v>-82.633415999999997</v>
      </c>
      <c r="H294" s="2" t="s">
        <v>46</v>
      </c>
      <c r="I294" s="2" t="s">
        <v>46</v>
      </c>
      <c r="J294" s="2" t="s">
        <v>34</v>
      </c>
      <c r="K294" s="2" t="s">
        <v>46</v>
      </c>
      <c r="L294" s="2" t="s">
        <v>34</v>
      </c>
      <c r="M294" s="2" t="s">
        <v>34</v>
      </c>
      <c r="N294" s="2" t="s">
        <v>34</v>
      </c>
      <c r="O294" s="2" t="s">
        <v>34</v>
      </c>
      <c r="P294" s="3">
        <v>39722</v>
      </c>
      <c r="Q294" s="3">
        <v>40179</v>
      </c>
      <c r="R294" s="2" t="s">
        <v>1089</v>
      </c>
      <c r="S294" s="2" t="s">
        <v>63</v>
      </c>
    </row>
    <row r="295" spans="1:19" x14ac:dyDescent="0.25">
      <c r="A295" s="2" t="s">
        <v>2117</v>
      </c>
      <c r="B295" s="2" t="s">
        <v>59</v>
      </c>
      <c r="C295" s="2" t="s">
        <v>466</v>
      </c>
      <c r="D295" s="2" t="s">
        <v>1090</v>
      </c>
      <c r="E295" s="2" t="s">
        <v>9</v>
      </c>
      <c r="F295" s="2">
        <v>27.806315999999999</v>
      </c>
      <c r="G295" s="2">
        <v>-82.411533000000006</v>
      </c>
      <c r="H295" s="2" t="s">
        <v>46</v>
      </c>
      <c r="I295" s="2" t="s">
        <v>46</v>
      </c>
      <c r="J295" s="2" t="s">
        <v>34</v>
      </c>
      <c r="K295" s="2" t="s">
        <v>46</v>
      </c>
      <c r="L295" s="2" t="s">
        <v>34</v>
      </c>
      <c r="M295" s="2" t="s">
        <v>34</v>
      </c>
      <c r="N295" s="2" t="s">
        <v>34</v>
      </c>
      <c r="O295" s="2" t="s">
        <v>34</v>
      </c>
      <c r="P295" s="3">
        <v>39722</v>
      </c>
      <c r="Q295" s="3">
        <v>40179</v>
      </c>
      <c r="R295" s="2" t="s">
        <v>1090</v>
      </c>
      <c r="S295" s="2" t="s">
        <v>63</v>
      </c>
    </row>
    <row r="296" spans="1:19" x14ac:dyDescent="0.25">
      <c r="A296" s="2" t="s">
        <v>2118</v>
      </c>
      <c r="B296" s="2" t="s">
        <v>59</v>
      </c>
      <c r="C296" s="2" t="s">
        <v>466</v>
      </c>
      <c r="D296" s="2" t="s">
        <v>1091</v>
      </c>
      <c r="E296" s="2" t="s">
        <v>9</v>
      </c>
      <c r="F296" s="2">
        <v>27.817215999999998</v>
      </c>
      <c r="G296" s="2">
        <v>-82.398250000000004</v>
      </c>
      <c r="H296" s="2" t="s">
        <v>46</v>
      </c>
      <c r="I296" s="2" t="s">
        <v>46</v>
      </c>
      <c r="J296" s="2" t="s">
        <v>34</v>
      </c>
      <c r="K296" s="2" t="s">
        <v>46</v>
      </c>
      <c r="L296" s="2" t="s">
        <v>34</v>
      </c>
      <c r="M296" s="2" t="s">
        <v>34</v>
      </c>
      <c r="N296" s="2" t="s">
        <v>34</v>
      </c>
      <c r="O296" s="2" t="s">
        <v>34</v>
      </c>
      <c r="P296" s="3">
        <v>39722</v>
      </c>
      <c r="Q296" s="3">
        <v>40179</v>
      </c>
      <c r="R296" s="2" t="s">
        <v>1091</v>
      </c>
      <c r="S296" s="2" t="s">
        <v>63</v>
      </c>
    </row>
    <row r="297" spans="1:19" x14ac:dyDescent="0.25">
      <c r="A297" s="2" t="s">
        <v>2119</v>
      </c>
      <c r="B297" s="2" t="s">
        <v>59</v>
      </c>
      <c r="C297" s="2" t="s">
        <v>466</v>
      </c>
      <c r="D297" s="2" t="s">
        <v>1092</v>
      </c>
      <c r="E297" s="2" t="s">
        <v>9</v>
      </c>
      <c r="F297" s="2">
        <v>27.817482999999999</v>
      </c>
      <c r="G297" s="2">
        <v>-82.3977</v>
      </c>
      <c r="H297" s="2" t="s">
        <v>46</v>
      </c>
      <c r="I297" s="2" t="s">
        <v>46</v>
      </c>
      <c r="J297" s="2" t="s">
        <v>34</v>
      </c>
      <c r="K297" s="2" t="s">
        <v>46</v>
      </c>
      <c r="L297" s="2" t="s">
        <v>34</v>
      </c>
      <c r="M297" s="2" t="s">
        <v>34</v>
      </c>
      <c r="N297" s="2" t="s">
        <v>34</v>
      </c>
      <c r="O297" s="2" t="s">
        <v>34</v>
      </c>
      <c r="P297" s="3">
        <v>39722</v>
      </c>
      <c r="Q297" s="3">
        <v>40179</v>
      </c>
      <c r="R297" s="2" t="s">
        <v>1092</v>
      </c>
      <c r="S297" s="2" t="s">
        <v>63</v>
      </c>
    </row>
    <row r="298" spans="1:19" x14ac:dyDescent="0.25">
      <c r="A298" s="2" t="s">
        <v>2120</v>
      </c>
      <c r="B298" s="2" t="s">
        <v>59</v>
      </c>
      <c r="C298" s="2" t="s">
        <v>466</v>
      </c>
      <c r="D298" s="2" t="s">
        <v>1093</v>
      </c>
      <c r="E298" s="2" t="s">
        <v>9</v>
      </c>
      <c r="F298" s="2">
        <v>27.814933</v>
      </c>
      <c r="G298" s="2">
        <v>-82.402033000000003</v>
      </c>
      <c r="H298" s="2" t="s">
        <v>46</v>
      </c>
      <c r="I298" s="2" t="s">
        <v>46</v>
      </c>
      <c r="J298" s="2" t="s">
        <v>34</v>
      </c>
      <c r="K298" s="2" t="s">
        <v>46</v>
      </c>
      <c r="L298" s="2" t="s">
        <v>34</v>
      </c>
      <c r="M298" s="2" t="s">
        <v>34</v>
      </c>
      <c r="N298" s="2" t="s">
        <v>34</v>
      </c>
      <c r="O298" s="2" t="s">
        <v>34</v>
      </c>
      <c r="P298" s="3">
        <v>39722</v>
      </c>
      <c r="Q298" s="3">
        <v>40179</v>
      </c>
      <c r="R298" s="2" t="s">
        <v>1093</v>
      </c>
      <c r="S298" s="2" t="s">
        <v>63</v>
      </c>
    </row>
    <row r="299" spans="1:19" x14ac:dyDescent="0.25">
      <c r="A299" s="2" t="s">
        <v>2121</v>
      </c>
      <c r="B299" s="2" t="s">
        <v>59</v>
      </c>
      <c r="C299" s="2" t="s">
        <v>1094</v>
      </c>
      <c r="D299" s="2" t="s">
        <v>1095</v>
      </c>
      <c r="E299" s="2" t="s">
        <v>9</v>
      </c>
      <c r="F299" s="2">
        <v>27.895083</v>
      </c>
      <c r="G299" s="2">
        <v>-82.487166000000002</v>
      </c>
      <c r="H299" s="2" t="s">
        <v>46</v>
      </c>
      <c r="I299" s="2" t="s">
        <v>46</v>
      </c>
      <c r="J299" s="2" t="s">
        <v>34</v>
      </c>
      <c r="K299" s="2" t="s">
        <v>46</v>
      </c>
      <c r="L299" s="2" t="s">
        <v>34</v>
      </c>
      <c r="M299" s="2" t="s">
        <v>34</v>
      </c>
      <c r="N299" s="2" t="s">
        <v>34</v>
      </c>
      <c r="O299" s="2" t="s">
        <v>34</v>
      </c>
      <c r="P299" s="3">
        <v>39722</v>
      </c>
      <c r="Q299" s="3">
        <v>40179</v>
      </c>
      <c r="R299" s="2" t="s">
        <v>1095</v>
      </c>
      <c r="S299" s="2" t="s">
        <v>63</v>
      </c>
    </row>
    <row r="300" spans="1:19" x14ac:dyDescent="0.25">
      <c r="A300" s="2" t="s">
        <v>2122</v>
      </c>
      <c r="B300" s="2" t="s">
        <v>59</v>
      </c>
      <c r="C300" s="2" t="s">
        <v>1094</v>
      </c>
      <c r="D300" s="2" t="s">
        <v>1096</v>
      </c>
      <c r="E300" s="2" t="s">
        <v>9</v>
      </c>
      <c r="F300" s="2">
        <v>27.897400000000001</v>
      </c>
      <c r="G300" s="2">
        <v>-82.434200000000004</v>
      </c>
      <c r="H300" s="2" t="s">
        <v>46</v>
      </c>
      <c r="I300" s="2" t="s">
        <v>46</v>
      </c>
      <c r="J300" s="2" t="s">
        <v>34</v>
      </c>
      <c r="K300" s="2" t="s">
        <v>46</v>
      </c>
      <c r="L300" s="2" t="s">
        <v>34</v>
      </c>
      <c r="M300" s="2" t="s">
        <v>34</v>
      </c>
      <c r="N300" s="2" t="s">
        <v>34</v>
      </c>
      <c r="O300" s="2" t="s">
        <v>34</v>
      </c>
      <c r="P300" s="3">
        <v>39722</v>
      </c>
      <c r="Q300" s="3">
        <v>40179</v>
      </c>
      <c r="R300" s="2" t="s">
        <v>1096</v>
      </c>
      <c r="S300" s="2" t="s">
        <v>63</v>
      </c>
    </row>
    <row r="301" spans="1:19" x14ac:dyDescent="0.25">
      <c r="A301" s="2" t="s">
        <v>2123</v>
      </c>
      <c r="B301" s="2" t="s">
        <v>59</v>
      </c>
      <c r="C301" s="2" t="s">
        <v>1094</v>
      </c>
      <c r="D301" s="2" t="s">
        <v>1097</v>
      </c>
      <c r="E301" s="2" t="s">
        <v>9</v>
      </c>
      <c r="F301" s="2">
        <v>27.897400000000001</v>
      </c>
      <c r="G301" s="2">
        <v>-82.434200000000004</v>
      </c>
      <c r="H301" s="2" t="s">
        <v>46</v>
      </c>
      <c r="I301" s="2" t="s">
        <v>46</v>
      </c>
      <c r="J301" s="2" t="s">
        <v>34</v>
      </c>
      <c r="K301" s="2" t="s">
        <v>46</v>
      </c>
      <c r="L301" s="2" t="s">
        <v>34</v>
      </c>
      <c r="M301" s="2" t="s">
        <v>34</v>
      </c>
      <c r="N301" s="2" t="s">
        <v>34</v>
      </c>
      <c r="O301" s="2" t="s">
        <v>34</v>
      </c>
      <c r="P301" s="3">
        <v>39722</v>
      </c>
      <c r="Q301" s="3">
        <v>40179</v>
      </c>
      <c r="R301" s="2" t="s">
        <v>1097</v>
      </c>
      <c r="S301" s="2" t="s">
        <v>63</v>
      </c>
    </row>
    <row r="302" spans="1:19" x14ac:dyDescent="0.25">
      <c r="A302" s="2" t="s">
        <v>2124</v>
      </c>
      <c r="B302" s="2" t="s">
        <v>59</v>
      </c>
      <c r="C302" s="2" t="s">
        <v>1094</v>
      </c>
      <c r="D302" s="2" t="s">
        <v>1098</v>
      </c>
      <c r="E302" s="2" t="s">
        <v>9</v>
      </c>
      <c r="F302" s="2">
        <v>27.895083</v>
      </c>
      <c r="G302" s="2">
        <v>-82.487166000000002</v>
      </c>
      <c r="H302" s="2" t="s">
        <v>46</v>
      </c>
      <c r="I302" s="2" t="s">
        <v>46</v>
      </c>
      <c r="J302" s="2" t="s">
        <v>34</v>
      </c>
      <c r="K302" s="2" t="s">
        <v>46</v>
      </c>
      <c r="L302" s="2" t="s">
        <v>34</v>
      </c>
      <c r="M302" s="2" t="s">
        <v>34</v>
      </c>
      <c r="N302" s="2" t="s">
        <v>34</v>
      </c>
      <c r="O302" s="2" t="s">
        <v>34</v>
      </c>
      <c r="P302" s="3">
        <v>39722</v>
      </c>
      <c r="Q302" s="3">
        <v>40179</v>
      </c>
      <c r="R302" s="2" t="s">
        <v>1098</v>
      </c>
      <c r="S302" s="2" t="s">
        <v>63</v>
      </c>
    </row>
    <row r="303" spans="1:19" x14ac:dyDescent="0.25">
      <c r="A303" s="2" t="s">
        <v>2125</v>
      </c>
      <c r="B303" s="2" t="s">
        <v>59</v>
      </c>
      <c r="C303" s="2" t="s">
        <v>1094</v>
      </c>
      <c r="D303" s="2" t="s">
        <v>1099</v>
      </c>
      <c r="E303" s="2" t="s">
        <v>9</v>
      </c>
      <c r="F303" s="2">
        <v>27.89255</v>
      </c>
      <c r="G303" s="2">
        <v>-82.541066000000001</v>
      </c>
      <c r="H303" s="2" t="s">
        <v>46</v>
      </c>
      <c r="I303" s="2" t="s">
        <v>46</v>
      </c>
      <c r="J303" s="2" t="s">
        <v>34</v>
      </c>
      <c r="K303" s="2" t="s">
        <v>46</v>
      </c>
      <c r="L303" s="2" t="s">
        <v>34</v>
      </c>
      <c r="M303" s="2" t="s">
        <v>34</v>
      </c>
      <c r="N303" s="2" t="s">
        <v>34</v>
      </c>
      <c r="O303" s="2" t="s">
        <v>34</v>
      </c>
      <c r="P303" s="3">
        <v>39722</v>
      </c>
      <c r="Q303" s="3">
        <v>40179</v>
      </c>
      <c r="R303" s="2" t="s">
        <v>1099</v>
      </c>
      <c r="S303" s="2" t="s">
        <v>63</v>
      </c>
    </row>
    <row r="304" spans="1:19" x14ac:dyDescent="0.25">
      <c r="A304" s="2" t="s">
        <v>2126</v>
      </c>
      <c r="B304" s="2" t="s">
        <v>59</v>
      </c>
      <c r="C304" s="2" t="s">
        <v>1094</v>
      </c>
      <c r="D304" s="2" t="s">
        <v>1100</v>
      </c>
      <c r="E304" s="2" t="s">
        <v>9</v>
      </c>
      <c r="F304" s="2">
        <v>27.89255</v>
      </c>
      <c r="G304" s="2">
        <v>-82.541066000000001</v>
      </c>
      <c r="H304" s="2" t="s">
        <v>46</v>
      </c>
      <c r="I304" s="2" t="s">
        <v>46</v>
      </c>
      <c r="J304" s="2" t="s">
        <v>34</v>
      </c>
      <c r="K304" s="2" t="s">
        <v>46</v>
      </c>
      <c r="L304" s="2" t="s">
        <v>34</v>
      </c>
      <c r="M304" s="2" t="s">
        <v>34</v>
      </c>
      <c r="N304" s="2" t="s">
        <v>34</v>
      </c>
      <c r="O304" s="2" t="s">
        <v>34</v>
      </c>
      <c r="P304" s="3">
        <v>39722</v>
      </c>
      <c r="Q304" s="3">
        <v>40179</v>
      </c>
      <c r="R304" s="2" t="s">
        <v>1100</v>
      </c>
      <c r="S304" s="2" t="s">
        <v>63</v>
      </c>
    </row>
    <row r="305" spans="1:19" x14ac:dyDescent="0.25">
      <c r="A305" s="2" t="s">
        <v>2127</v>
      </c>
      <c r="B305" s="2" t="s">
        <v>59</v>
      </c>
      <c r="C305" s="2" t="s">
        <v>1094</v>
      </c>
      <c r="D305" s="2" t="s">
        <v>1101</v>
      </c>
      <c r="E305" s="2" t="s">
        <v>9</v>
      </c>
      <c r="F305" s="2">
        <v>27.89255</v>
      </c>
      <c r="G305" s="2">
        <v>-82.541066000000001</v>
      </c>
      <c r="H305" s="2" t="s">
        <v>46</v>
      </c>
      <c r="I305" s="2" t="s">
        <v>46</v>
      </c>
      <c r="J305" s="2" t="s">
        <v>34</v>
      </c>
      <c r="K305" s="2" t="s">
        <v>46</v>
      </c>
      <c r="L305" s="2" t="s">
        <v>34</v>
      </c>
      <c r="M305" s="2" t="s">
        <v>34</v>
      </c>
      <c r="N305" s="2" t="s">
        <v>34</v>
      </c>
      <c r="O305" s="2" t="s">
        <v>34</v>
      </c>
      <c r="P305" s="3">
        <v>39722</v>
      </c>
      <c r="Q305" s="3">
        <v>40179</v>
      </c>
      <c r="R305" s="2" t="s">
        <v>1101</v>
      </c>
      <c r="S305" s="2" t="s">
        <v>63</v>
      </c>
    </row>
    <row r="306" spans="1:19" x14ac:dyDescent="0.25">
      <c r="A306" s="2" t="s">
        <v>2128</v>
      </c>
      <c r="B306" s="2" t="s">
        <v>59</v>
      </c>
      <c r="C306" s="2" t="s">
        <v>1094</v>
      </c>
      <c r="D306" s="2" t="s">
        <v>1102</v>
      </c>
      <c r="E306" s="2" t="s">
        <v>9</v>
      </c>
      <c r="F306" s="2">
        <v>27.89255</v>
      </c>
      <c r="G306" s="2">
        <v>-82.541066000000001</v>
      </c>
      <c r="H306" s="2" t="s">
        <v>46</v>
      </c>
      <c r="I306" s="2" t="s">
        <v>46</v>
      </c>
      <c r="J306" s="2" t="s">
        <v>34</v>
      </c>
      <c r="K306" s="2" t="s">
        <v>46</v>
      </c>
      <c r="L306" s="2" t="s">
        <v>34</v>
      </c>
      <c r="M306" s="2" t="s">
        <v>34</v>
      </c>
      <c r="N306" s="2" t="s">
        <v>34</v>
      </c>
      <c r="O306" s="2" t="s">
        <v>34</v>
      </c>
      <c r="P306" s="3">
        <v>39722</v>
      </c>
      <c r="Q306" s="3">
        <v>40179</v>
      </c>
      <c r="R306" s="2" t="s">
        <v>1102</v>
      </c>
      <c r="S306" s="2" t="s">
        <v>63</v>
      </c>
    </row>
    <row r="307" spans="1:19" hidden="1" x14ac:dyDescent="0.25">
      <c r="A307" s="2" t="s">
        <v>2129</v>
      </c>
      <c r="B307" s="2" t="s">
        <v>31</v>
      </c>
      <c r="C307" s="2" t="s">
        <v>44</v>
      </c>
      <c r="D307" s="2" t="s">
        <v>844</v>
      </c>
      <c r="E307" s="2">
        <v>3</v>
      </c>
      <c r="F307" s="2">
        <v>29.680569999999999</v>
      </c>
      <c r="G307" s="2">
        <v>-85.058049999999994</v>
      </c>
      <c r="H307" s="2" t="s">
        <v>46</v>
      </c>
      <c r="I307" s="2" t="s">
        <v>46</v>
      </c>
      <c r="J307" s="2" t="s">
        <v>34</v>
      </c>
      <c r="K307" s="2" t="s">
        <v>46</v>
      </c>
      <c r="L307" s="2" t="s">
        <v>34</v>
      </c>
      <c r="M307" s="2" t="s">
        <v>34</v>
      </c>
      <c r="N307" s="2" t="s">
        <v>34</v>
      </c>
      <c r="O307" s="2" t="s">
        <v>34</v>
      </c>
      <c r="P307" s="3">
        <v>44480</v>
      </c>
      <c r="Q307" s="3">
        <v>73050</v>
      </c>
      <c r="R307" s="2" t="s">
        <v>845</v>
      </c>
      <c r="S307" s="2" t="s">
        <v>35</v>
      </c>
    </row>
    <row r="308" spans="1:19" hidden="1" x14ac:dyDescent="0.25">
      <c r="A308" s="2" t="s">
        <v>2130</v>
      </c>
      <c r="B308" s="2" t="s">
        <v>31</v>
      </c>
      <c r="C308" s="2" t="s">
        <v>77</v>
      </c>
      <c r="D308" s="2" t="s">
        <v>581</v>
      </c>
      <c r="E308" s="2">
        <v>7</v>
      </c>
      <c r="F308" s="2">
        <v>29.71163</v>
      </c>
      <c r="G308" s="2">
        <v>-84.915379999999999</v>
      </c>
      <c r="H308" s="2" t="s">
        <v>34</v>
      </c>
      <c r="I308" s="2" t="s">
        <v>34</v>
      </c>
      <c r="J308" s="2" t="s">
        <v>34</v>
      </c>
      <c r="K308" s="2" t="s">
        <v>34</v>
      </c>
      <c r="L308" s="2" t="s">
        <v>46</v>
      </c>
      <c r="M308" s="2" t="s">
        <v>34</v>
      </c>
      <c r="N308" s="2" t="s">
        <v>34</v>
      </c>
      <c r="O308" s="2" t="s">
        <v>34</v>
      </c>
      <c r="P308" s="3">
        <v>44470</v>
      </c>
      <c r="Q308" s="3">
        <v>73050</v>
      </c>
      <c r="R308" s="2" t="s">
        <v>1103</v>
      </c>
      <c r="S308" s="2" t="s">
        <v>35</v>
      </c>
    </row>
    <row r="309" spans="1:19" hidden="1" x14ac:dyDescent="0.25">
      <c r="A309" s="2" t="s">
        <v>2131</v>
      </c>
      <c r="B309" s="2" t="s">
        <v>31</v>
      </c>
      <c r="C309" s="2" t="s">
        <v>77</v>
      </c>
      <c r="D309" s="2" t="s">
        <v>598</v>
      </c>
      <c r="E309" s="2">
        <v>10</v>
      </c>
      <c r="F309" s="2">
        <v>29.712669999999999</v>
      </c>
      <c r="G309" s="2">
        <v>-84.899770000000004</v>
      </c>
      <c r="H309" s="2" t="s">
        <v>34</v>
      </c>
      <c r="I309" s="2" t="s">
        <v>34</v>
      </c>
      <c r="J309" s="2" t="s">
        <v>34</v>
      </c>
      <c r="K309" s="2" t="s">
        <v>34</v>
      </c>
      <c r="L309" s="2" t="s">
        <v>46</v>
      </c>
      <c r="M309" s="2" t="s">
        <v>34</v>
      </c>
      <c r="N309" s="2" t="s">
        <v>34</v>
      </c>
      <c r="O309" s="2" t="s">
        <v>34</v>
      </c>
      <c r="P309" s="3">
        <v>44470</v>
      </c>
      <c r="Q309" s="3">
        <v>73050</v>
      </c>
      <c r="R309" s="2" t="s">
        <v>1104</v>
      </c>
      <c r="S309" s="2" t="s">
        <v>35</v>
      </c>
    </row>
    <row r="310" spans="1:19" hidden="1" x14ac:dyDescent="0.25">
      <c r="A310" s="2" t="s">
        <v>2132</v>
      </c>
      <c r="B310" s="2" t="s">
        <v>31</v>
      </c>
      <c r="C310" s="2" t="s">
        <v>32</v>
      </c>
      <c r="D310" s="2" t="s">
        <v>720</v>
      </c>
      <c r="E310" s="2">
        <v>11</v>
      </c>
      <c r="F310" s="2">
        <v>29.71162</v>
      </c>
      <c r="G310" s="2">
        <v>-84.878020000000006</v>
      </c>
      <c r="H310" s="2" t="s">
        <v>34</v>
      </c>
      <c r="I310" s="2" t="s">
        <v>34</v>
      </c>
      <c r="J310" s="2" t="s">
        <v>34</v>
      </c>
      <c r="K310" s="2" t="s">
        <v>34</v>
      </c>
      <c r="L310" s="2" t="s">
        <v>46</v>
      </c>
      <c r="M310" s="2" t="s">
        <v>34</v>
      </c>
      <c r="N310" s="2" t="s">
        <v>34</v>
      </c>
      <c r="O310" s="2" t="s">
        <v>34</v>
      </c>
      <c r="P310" s="3">
        <v>44470</v>
      </c>
      <c r="Q310" s="3">
        <v>73050</v>
      </c>
      <c r="R310" s="2" t="s">
        <v>1105</v>
      </c>
      <c r="S310" s="2" t="s">
        <v>35</v>
      </c>
    </row>
    <row r="311" spans="1:19" hidden="1" x14ac:dyDescent="0.25">
      <c r="A311" s="2" t="s">
        <v>2133</v>
      </c>
      <c r="B311" s="2" t="s">
        <v>989</v>
      </c>
      <c r="C311" s="2" t="s">
        <v>500</v>
      </c>
      <c r="D311" s="2" t="s">
        <v>1106</v>
      </c>
      <c r="E311" s="2">
        <v>4</v>
      </c>
      <c r="F311" s="2">
        <v>26</v>
      </c>
      <c r="G311" s="2">
        <v>-80</v>
      </c>
      <c r="H311" s="2" t="s">
        <v>46</v>
      </c>
      <c r="I311" s="2" t="s">
        <v>46</v>
      </c>
      <c r="J311" s="2" t="s">
        <v>46</v>
      </c>
      <c r="K311" s="2" t="s">
        <v>46</v>
      </c>
      <c r="L311" s="2" t="s">
        <v>34</v>
      </c>
      <c r="M311" s="2" t="s">
        <v>34</v>
      </c>
      <c r="N311" s="2" t="s">
        <v>34</v>
      </c>
      <c r="O311" s="2" t="s">
        <v>34</v>
      </c>
      <c r="P311" s="3">
        <v>43831</v>
      </c>
      <c r="Q311" s="3">
        <v>73050</v>
      </c>
      <c r="R311" s="2" t="s">
        <v>1107</v>
      </c>
      <c r="S311" s="2" t="s">
        <v>992</v>
      </c>
    </row>
    <row r="312" spans="1:19" hidden="1" x14ac:dyDescent="0.25">
      <c r="A312" s="2" t="s">
        <v>2134</v>
      </c>
      <c r="B312" s="2" t="s">
        <v>1108</v>
      </c>
      <c r="C312" s="2" t="s">
        <v>34</v>
      </c>
      <c r="D312" s="2" t="s">
        <v>1109</v>
      </c>
      <c r="E312" s="2">
        <v>1</v>
      </c>
      <c r="F312" s="2">
        <v>30.483090000000001</v>
      </c>
      <c r="G312" s="2">
        <v>-87.146879999999996</v>
      </c>
      <c r="H312" s="2" t="s">
        <v>46</v>
      </c>
      <c r="I312" s="2" t="s">
        <v>34</v>
      </c>
      <c r="J312" s="2" t="s">
        <v>46</v>
      </c>
      <c r="K312" s="2" t="s">
        <v>46</v>
      </c>
      <c r="L312" s="2" t="s">
        <v>34</v>
      </c>
      <c r="M312" s="2" t="s">
        <v>34</v>
      </c>
      <c r="N312" s="2" t="s">
        <v>34</v>
      </c>
      <c r="O312" s="2" t="s">
        <v>34</v>
      </c>
      <c r="P312" s="3">
        <v>44621</v>
      </c>
      <c r="Q312" s="3">
        <v>73050</v>
      </c>
      <c r="R312" s="2" t="s">
        <v>1110</v>
      </c>
      <c r="S312" s="2" t="s">
        <v>1111</v>
      </c>
    </row>
    <row r="313" spans="1:19" hidden="1" x14ac:dyDescent="0.25">
      <c r="A313" s="2" t="s">
        <v>2135</v>
      </c>
      <c r="B313" s="2" t="s">
        <v>1108</v>
      </c>
      <c r="C313" s="2" t="s">
        <v>34</v>
      </c>
      <c r="D313" s="2" t="s">
        <v>1112</v>
      </c>
      <c r="E313" s="2">
        <v>2</v>
      </c>
      <c r="F313" s="2">
        <v>30.517029999999998</v>
      </c>
      <c r="G313" s="2">
        <v>-87.111649</v>
      </c>
      <c r="H313" s="2" t="s">
        <v>46</v>
      </c>
      <c r="I313" s="2" t="s">
        <v>34</v>
      </c>
      <c r="J313" s="2" t="s">
        <v>46</v>
      </c>
      <c r="K313" s="2" t="s">
        <v>46</v>
      </c>
      <c r="L313" s="2" t="s">
        <v>34</v>
      </c>
      <c r="M313" s="2" t="s">
        <v>46</v>
      </c>
      <c r="N313" s="2" t="s">
        <v>34</v>
      </c>
      <c r="O313" s="2" t="s">
        <v>34</v>
      </c>
      <c r="P313" s="3">
        <v>44621</v>
      </c>
      <c r="Q313" s="3">
        <v>73050</v>
      </c>
      <c r="R313" s="2" t="s">
        <v>1113</v>
      </c>
      <c r="S313" s="2" t="s">
        <v>1111</v>
      </c>
    </row>
    <row r="314" spans="1:19" hidden="1" x14ac:dyDescent="0.25">
      <c r="A314" s="2" t="s">
        <v>2136</v>
      </c>
      <c r="B314" s="2" t="s">
        <v>1108</v>
      </c>
      <c r="C314" s="2" t="s">
        <v>34</v>
      </c>
      <c r="D314" s="2" t="s">
        <v>1114</v>
      </c>
      <c r="E314" s="2">
        <v>3</v>
      </c>
      <c r="F314" s="2">
        <v>30.496138999999999</v>
      </c>
      <c r="G314" s="2">
        <v>-87.115539999999996</v>
      </c>
      <c r="H314" s="2" t="s">
        <v>46</v>
      </c>
      <c r="I314" s="2" t="s">
        <v>34</v>
      </c>
      <c r="J314" s="2" t="s">
        <v>34</v>
      </c>
      <c r="K314" s="2" t="s">
        <v>46</v>
      </c>
      <c r="L314" s="2" t="s">
        <v>34</v>
      </c>
      <c r="M314" s="2" t="s">
        <v>34</v>
      </c>
      <c r="N314" s="2" t="s">
        <v>34</v>
      </c>
      <c r="O314" s="2" t="s">
        <v>34</v>
      </c>
      <c r="P314" s="3">
        <v>44621</v>
      </c>
      <c r="Q314" s="3">
        <v>73050</v>
      </c>
      <c r="R314" s="2" t="s">
        <v>1115</v>
      </c>
      <c r="S314" s="2" t="s">
        <v>1111</v>
      </c>
    </row>
    <row r="315" spans="1:19" hidden="1" x14ac:dyDescent="0.25">
      <c r="A315" s="2" t="s">
        <v>2137</v>
      </c>
      <c r="B315" s="2" t="s">
        <v>1108</v>
      </c>
      <c r="C315" s="2" t="s">
        <v>34</v>
      </c>
      <c r="D315" s="2" t="s">
        <v>1116</v>
      </c>
      <c r="E315" s="2">
        <v>4</v>
      </c>
      <c r="F315" s="2">
        <v>30.482299000000001</v>
      </c>
      <c r="G315" s="2">
        <v>-87.113960000000006</v>
      </c>
      <c r="H315" s="2" t="s">
        <v>46</v>
      </c>
      <c r="I315" s="2" t="s">
        <v>34</v>
      </c>
      <c r="J315" s="2" t="s">
        <v>34</v>
      </c>
      <c r="K315" s="2" t="s">
        <v>46</v>
      </c>
      <c r="L315" s="2" t="s">
        <v>34</v>
      </c>
      <c r="M315" s="2" t="s">
        <v>34</v>
      </c>
      <c r="N315" s="2" t="s">
        <v>34</v>
      </c>
      <c r="O315" s="2" t="s">
        <v>34</v>
      </c>
      <c r="P315" s="3">
        <v>44621</v>
      </c>
      <c r="Q315" s="3">
        <v>73050</v>
      </c>
      <c r="R315" s="2" t="s">
        <v>1117</v>
      </c>
      <c r="S315" s="2" t="s">
        <v>1111</v>
      </c>
    </row>
    <row r="316" spans="1:19" hidden="1" x14ac:dyDescent="0.25">
      <c r="A316" s="2" t="s">
        <v>2138</v>
      </c>
      <c r="B316" s="2" t="s">
        <v>1108</v>
      </c>
      <c r="C316" s="2" t="s">
        <v>34</v>
      </c>
      <c r="D316" s="2" t="s">
        <v>1118</v>
      </c>
      <c r="E316" s="2">
        <v>5</v>
      </c>
      <c r="F316" s="2">
        <v>30.46725</v>
      </c>
      <c r="G316" s="2">
        <v>-87.100639999999999</v>
      </c>
      <c r="H316" s="2" t="s">
        <v>46</v>
      </c>
      <c r="I316" s="2" t="s">
        <v>34</v>
      </c>
      <c r="J316" s="2" t="s">
        <v>46</v>
      </c>
      <c r="K316" s="2" t="s">
        <v>46</v>
      </c>
      <c r="L316" s="2" t="s">
        <v>34</v>
      </c>
      <c r="M316" s="2" t="s">
        <v>34</v>
      </c>
      <c r="N316" s="2" t="s">
        <v>34</v>
      </c>
      <c r="O316" s="2" t="s">
        <v>34</v>
      </c>
      <c r="P316" s="3">
        <v>44621</v>
      </c>
      <c r="Q316" s="3">
        <v>73050</v>
      </c>
      <c r="R316" s="2" t="s">
        <v>1119</v>
      </c>
      <c r="S316" s="2" t="s">
        <v>1111</v>
      </c>
    </row>
    <row r="317" spans="1:19" hidden="1" x14ac:dyDescent="0.25">
      <c r="A317" s="2" t="s">
        <v>2139</v>
      </c>
      <c r="B317" s="2" t="s">
        <v>1108</v>
      </c>
      <c r="C317" s="2" t="s">
        <v>32</v>
      </c>
      <c r="D317" s="2" t="s">
        <v>1120</v>
      </c>
      <c r="E317" s="2">
        <v>6</v>
      </c>
      <c r="F317" s="2">
        <v>30.455469000000001</v>
      </c>
      <c r="G317" s="2">
        <v>-87.057749000000001</v>
      </c>
      <c r="H317" s="2" t="s">
        <v>46</v>
      </c>
      <c r="I317" s="2" t="s">
        <v>34</v>
      </c>
      <c r="J317" s="2" t="s">
        <v>34</v>
      </c>
      <c r="K317" s="2" t="s">
        <v>46</v>
      </c>
      <c r="L317" s="2" t="s">
        <v>34</v>
      </c>
      <c r="M317" s="2" t="s">
        <v>34</v>
      </c>
      <c r="N317" s="2" t="s">
        <v>34</v>
      </c>
      <c r="O317" s="2" t="s">
        <v>34</v>
      </c>
      <c r="P317" s="3">
        <v>44621</v>
      </c>
      <c r="Q317" s="3">
        <v>73050</v>
      </c>
      <c r="R317" s="2" t="s">
        <v>1121</v>
      </c>
      <c r="S317" s="2" t="s">
        <v>1111</v>
      </c>
    </row>
    <row r="318" spans="1:19" hidden="1" x14ac:dyDescent="0.25">
      <c r="A318" s="2" t="s">
        <v>2140</v>
      </c>
      <c r="B318" s="2" t="s">
        <v>1108</v>
      </c>
      <c r="C318" s="2" t="s">
        <v>32</v>
      </c>
      <c r="D318" s="2" t="s">
        <v>1122</v>
      </c>
      <c r="E318" s="2">
        <v>7</v>
      </c>
      <c r="F318" s="2">
        <v>30.485439</v>
      </c>
      <c r="G318" s="2">
        <v>-87.018328999999994</v>
      </c>
      <c r="H318" s="2" t="s">
        <v>46</v>
      </c>
      <c r="I318" s="2" t="s">
        <v>34</v>
      </c>
      <c r="J318" s="2" t="s">
        <v>46</v>
      </c>
      <c r="K318" s="2" t="s">
        <v>46</v>
      </c>
      <c r="L318" s="2" t="s">
        <v>34</v>
      </c>
      <c r="M318" s="2" t="s">
        <v>46</v>
      </c>
      <c r="N318" s="2" t="s">
        <v>34</v>
      </c>
      <c r="O318" s="2" t="s">
        <v>34</v>
      </c>
      <c r="P318" s="3">
        <v>44621</v>
      </c>
      <c r="Q318" s="3">
        <v>73050</v>
      </c>
      <c r="R318" s="2" t="s">
        <v>1123</v>
      </c>
      <c r="S318" s="2" t="s">
        <v>1111</v>
      </c>
    </row>
    <row r="319" spans="1:19" hidden="1" x14ac:dyDescent="0.25">
      <c r="A319" s="2" t="s">
        <v>2141</v>
      </c>
      <c r="B319" s="2" t="s">
        <v>1108</v>
      </c>
      <c r="C319" s="2" t="s">
        <v>32</v>
      </c>
      <c r="D319" s="2" t="s">
        <v>1124</v>
      </c>
      <c r="E319" s="2">
        <v>8</v>
      </c>
      <c r="F319" s="2">
        <v>30.433769000000002</v>
      </c>
      <c r="G319" s="2">
        <v>-87.011020000000002</v>
      </c>
      <c r="H319" s="2" t="s">
        <v>46</v>
      </c>
      <c r="I319" s="2" t="s">
        <v>34</v>
      </c>
      <c r="J319" s="2" t="s">
        <v>46</v>
      </c>
      <c r="K319" s="2" t="s">
        <v>46</v>
      </c>
      <c r="L319" s="2" t="s">
        <v>34</v>
      </c>
      <c r="M319" s="2" t="s">
        <v>34</v>
      </c>
      <c r="N319" s="2" t="s">
        <v>34</v>
      </c>
      <c r="O319" s="2" t="s">
        <v>34</v>
      </c>
      <c r="P319" s="3">
        <v>44621</v>
      </c>
      <c r="Q319" s="3">
        <v>73050</v>
      </c>
      <c r="R319" s="2" t="s">
        <v>1125</v>
      </c>
      <c r="S319" s="2" t="s">
        <v>1111</v>
      </c>
    </row>
    <row r="320" spans="1:19" hidden="1" x14ac:dyDescent="0.25">
      <c r="A320" s="2" t="s">
        <v>2142</v>
      </c>
      <c r="B320" s="2" t="s">
        <v>1108</v>
      </c>
      <c r="C320" s="2" t="s">
        <v>32</v>
      </c>
      <c r="D320" s="2" t="s">
        <v>1126</v>
      </c>
      <c r="E320" s="2">
        <v>9</v>
      </c>
      <c r="F320" s="2">
        <v>30.462389999999999</v>
      </c>
      <c r="G320" s="2">
        <v>-86.959479000000002</v>
      </c>
      <c r="H320" s="2" t="s">
        <v>46</v>
      </c>
      <c r="I320" s="2" t="s">
        <v>34</v>
      </c>
      <c r="J320" s="2" t="s">
        <v>46</v>
      </c>
      <c r="K320" s="2" t="s">
        <v>46</v>
      </c>
      <c r="L320" s="2" t="s">
        <v>34</v>
      </c>
      <c r="M320" s="2" t="s">
        <v>34</v>
      </c>
      <c r="N320" s="2" t="s">
        <v>34</v>
      </c>
      <c r="O320" s="2" t="s">
        <v>34</v>
      </c>
      <c r="P320" s="3">
        <v>44621</v>
      </c>
      <c r="Q320" s="3">
        <v>73050</v>
      </c>
      <c r="R320" s="2" t="s">
        <v>1127</v>
      </c>
      <c r="S320" s="2" t="s">
        <v>1111</v>
      </c>
    </row>
    <row r="321" spans="1:19" hidden="1" x14ac:dyDescent="0.25">
      <c r="A321" s="2" t="s">
        <v>2143</v>
      </c>
      <c r="B321" s="2" t="s">
        <v>1108</v>
      </c>
      <c r="C321" s="2" t="s">
        <v>32</v>
      </c>
      <c r="D321" s="2" t="s">
        <v>1128</v>
      </c>
      <c r="E321" s="2">
        <v>10</v>
      </c>
      <c r="F321" s="2">
        <v>30.456900000000001</v>
      </c>
      <c r="G321" s="2">
        <v>-86.927529000000007</v>
      </c>
      <c r="H321" s="2" t="s">
        <v>46</v>
      </c>
      <c r="I321" s="2" t="s">
        <v>46</v>
      </c>
      <c r="J321" s="2" t="s">
        <v>34</v>
      </c>
      <c r="K321" s="2" t="s">
        <v>46</v>
      </c>
      <c r="L321" s="2" t="s">
        <v>34</v>
      </c>
      <c r="M321" s="2" t="s">
        <v>34</v>
      </c>
      <c r="N321" s="2" t="s">
        <v>34</v>
      </c>
      <c r="O321" s="2" t="s">
        <v>34</v>
      </c>
      <c r="P321" s="3">
        <v>44621</v>
      </c>
      <c r="Q321" s="3">
        <v>73050</v>
      </c>
      <c r="R321" s="2" t="s">
        <v>1129</v>
      </c>
      <c r="S321" s="2" t="s">
        <v>1111</v>
      </c>
    </row>
    <row r="322" spans="1:19" hidden="1" x14ac:dyDescent="0.25">
      <c r="A322" s="2" t="s">
        <v>2144</v>
      </c>
      <c r="B322" s="2" t="s">
        <v>1142</v>
      </c>
      <c r="C322" s="2" t="s">
        <v>32</v>
      </c>
      <c r="D322" s="2" t="s">
        <v>1143</v>
      </c>
      <c r="E322" s="2">
        <v>59</v>
      </c>
      <c r="F322" s="2">
        <v>30.019100000000002</v>
      </c>
      <c r="G322" s="2">
        <v>-85.444866000000005</v>
      </c>
      <c r="H322" s="2" t="s">
        <v>34</v>
      </c>
      <c r="I322" s="2" t="s">
        <v>46</v>
      </c>
      <c r="J322" s="2" t="s">
        <v>34</v>
      </c>
      <c r="K322" s="2" t="s">
        <v>34</v>
      </c>
      <c r="L322" s="2" t="s">
        <v>34</v>
      </c>
      <c r="M322" s="2" t="s">
        <v>34</v>
      </c>
      <c r="N322" s="2" t="s">
        <v>34</v>
      </c>
      <c r="O322" s="2" t="s">
        <v>34</v>
      </c>
      <c r="P322" s="3">
        <v>44774</v>
      </c>
      <c r="Q322" s="3">
        <v>44834</v>
      </c>
      <c r="R322" s="2" t="s">
        <v>1143</v>
      </c>
      <c r="S322" s="2" t="s">
        <v>1144</v>
      </c>
    </row>
    <row r="323" spans="1:19" hidden="1" x14ac:dyDescent="0.25">
      <c r="A323" s="2" t="s">
        <v>2145</v>
      </c>
      <c r="B323" s="2" t="s">
        <v>1142</v>
      </c>
      <c r="C323" s="2" t="s">
        <v>32</v>
      </c>
      <c r="D323" s="2" t="s">
        <v>1145</v>
      </c>
      <c r="E323" s="2">
        <v>80</v>
      </c>
      <c r="F323" s="2">
        <v>30.021515999999998</v>
      </c>
      <c r="G323" s="2">
        <v>-85.469250000000002</v>
      </c>
      <c r="H323" s="2" t="s">
        <v>34</v>
      </c>
      <c r="I323" s="2" t="s">
        <v>46</v>
      </c>
      <c r="J323" s="2" t="s">
        <v>34</v>
      </c>
      <c r="K323" s="2" t="s">
        <v>34</v>
      </c>
      <c r="L323" s="2" t="s">
        <v>34</v>
      </c>
      <c r="M323" s="2" t="s">
        <v>34</v>
      </c>
      <c r="N323" s="2" t="s">
        <v>34</v>
      </c>
      <c r="O323" s="2" t="s">
        <v>34</v>
      </c>
      <c r="P323" s="3">
        <v>44774</v>
      </c>
      <c r="Q323" s="3">
        <v>44834</v>
      </c>
      <c r="R323" s="2" t="s">
        <v>1145</v>
      </c>
      <c r="S323" s="2" t="s">
        <v>1144</v>
      </c>
    </row>
    <row r="324" spans="1:19" hidden="1" x14ac:dyDescent="0.25">
      <c r="A324" s="2" t="s">
        <v>2146</v>
      </c>
      <c r="B324" s="2" t="s">
        <v>1142</v>
      </c>
      <c r="C324" s="2" t="s">
        <v>32</v>
      </c>
      <c r="D324" s="2" t="s">
        <v>1146</v>
      </c>
      <c r="E324" s="2">
        <v>125</v>
      </c>
      <c r="F324" s="2">
        <v>30.02205</v>
      </c>
      <c r="G324" s="2">
        <v>-85.456665999999998</v>
      </c>
      <c r="H324" s="2" t="s">
        <v>34</v>
      </c>
      <c r="I324" s="2" t="s">
        <v>46</v>
      </c>
      <c r="J324" s="2" t="s">
        <v>34</v>
      </c>
      <c r="K324" s="2" t="s">
        <v>34</v>
      </c>
      <c r="L324" s="2" t="s">
        <v>34</v>
      </c>
      <c r="M324" s="2" t="s">
        <v>34</v>
      </c>
      <c r="N324" s="2" t="s">
        <v>34</v>
      </c>
      <c r="O324" s="2" t="s">
        <v>34</v>
      </c>
      <c r="P324" s="3">
        <v>44774</v>
      </c>
      <c r="Q324" s="3">
        <v>44834</v>
      </c>
      <c r="R324" s="2" t="s">
        <v>1146</v>
      </c>
      <c r="S324" s="2" t="s">
        <v>1144</v>
      </c>
    </row>
    <row r="325" spans="1:19" hidden="1" x14ac:dyDescent="0.25">
      <c r="A325" s="2" t="s">
        <v>2147</v>
      </c>
      <c r="B325" s="2" t="s">
        <v>1142</v>
      </c>
      <c r="C325" s="2" t="s">
        <v>32</v>
      </c>
      <c r="D325" s="2" t="s">
        <v>1147</v>
      </c>
      <c r="E325" s="2">
        <v>127</v>
      </c>
      <c r="F325" s="2">
        <v>30.022065999999999</v>
      </c>
      <c r="G325" s="2">
        <v>-85.453833000000003</v>
      </c>
      <c r="H325" s="2" t="s">
        <v>34</v>
      </c>
      <c r="I325" s="2" t="s">
        <v>46</v>
      </c>
      <c r="J325" s="2" t="s">
        <v>34</v>
      </c>
      <c r="K325" s="2" t="s">
        <v>34</v>
      </c>
      <c r="L325" s="2" t="s">
        <v>34</v>
      </c>
      <c r="M325" s="2" t="s">
        <v>34</v>
      </c>
      <c r="N325" s="2" t="s">
        <v>34</v>
      </c>
      <c r="O325" s="2" t="s">
        <v>34</v>
      </c>
      <c r="P325" s="3">
        <v>44774</v>
      </c>
      <c r="Q325" s="3">
        <v>44834</v>
      </c>
      <c r="R325" s="2" t="s">
        <v>1147</v>
      </c>
      <c r="S325" s="2" t="s">
        <v>1144</v>
      </c>
    </row>
    <row r="326" spans="1:19" hidden="1" x14ac:dyDescent="0.25">
      <c r="A326" s="2" t="s">
        <v>2148</v>
      </c>
      <c r="B326" s="2" t="s">
        <v>1142</v>
      </c>
      <c r="C326" s="2" t="s">
        <v>32</v>
      </c>
      <c r="D326" s="2" t="s">
        <v>1148</v>
      </c>
      <c r="E326" s="2">
        <v>154</v>
      </c>
      <c r="F326" s="2">
        <v>30.024032999999999</v>
      </c>
      <c r="G326" s="2">
        <v>-85.473866000000001</v>
      </c>
      <c r="H326" s="2" t="s">
        <v>34</v>
      </c>
      <c r="I326" s="2" t="s">
        <v>46</v>
      </c>
      <c r="J326" s="2" t="s">
        <v>34</v>
      </c>
      <c r="K326" s="2" t="s">
        <v>34</v>
      </c>
      <c r="L326" s="2" t="s">
        <v>34</v>
      </c>
      <c r="M326" s="2" t="s">
        <v>34</v>
      </c>
      <c r="N326" s="2" t="s">
        <v>34</v>
      </c>
      <c r="O326" s="2" t="s">
        <v>34</v>
      </c>
      <c r="P326" s="3">
        <v>44774</v>
      </c>
      <c r="Q326" s="3">
        <v>44834</v>
      </c>
      <c r="R326" s="2" t="s">
        <v>1148</v>
      </c>
      <c r="S326" s="2" t="s">
        <v>1144</v>
      </c>
    </row>
    <row r="327" spans="1:19" hidden="1" x14ac:dyDescent="0.25">
      <c r="A327" s="2" t="s">
        <v>2149</v>
      </c>
      <c r="B327" s="2" t="s">
        <v>1142</v>
      </c>
      <c r="C327" s="2" t="s">
        <v>32</v>
      </c>
      <c r="D327" s="2" t="s">
        <v>1149</v>
      </c>
      <c r="E327" s="2">
        <v>205</v>
      </c>
      <c r="F327" s="2">
        <v>30.025516</v>
      </c>
      <c r="G327" s="2">
        <v>-85.460965999999999</v>
      </c>
      <c r="H327" s="2" t="s">
        <v>34</v>
      </c>
      <c r="I327" s="2" t="s">
        <v>46</v>
      </c>
      <c r="J327" s="2" t="s">
        <v>34</v>
      </c>
      <c r="K327" s="2" t="s">
        <v>34</v>
      </c>
      <c r="L327" s="2" t="s">
        <v>34</v>
      </c>
      <c r="M327" s="2" t="s">
        <v>34</v>
      </c>
      <c r="N327" s="2" t="s">
        <v>34</v>
      </c>
      <c r="O327" s="2" t="s">
        <v>34</v>
      </c>
      <c r="P327" s="3">
        <v>44774</v>
      </c>
      <c r="Q327" s="3">
        <v>44834</v>
      </c>
      <c r="R327" s="2" t="s">
        <v>1149</v>
      </c>
      <c r="S327" s="2" t="s">
        <v>1144</v>
      </c>
    </row>
    <row r="328" spans="1:19" hidden="1" x14ac:dyDescent="0.25">
      <c r="A328" s="2" t="s">
        <v>2150</v>
      </c>
      <c r="B328" s="2" t="s">
        <v>1142</v>
      </c>
      <c r="C328" s="2" t="s">
        <v>32</v>
      </c>
      <c r="D328" s="2" t="s">
        <v>1150</v>
      </c>
      <c r="E328" s="2">
        <v>207</v>
      </c>
      <c r="F328" s="2">
        <v>30.025316</v>
      </c>
      <c r="G328" s="2">
        <v>-85.458483000000001</v>
      </c>
      <c r="H328" s="2" t="s">
        <v>34</v>
      </c>
      <c r="I328" s="2" t="s">
        <v>46</v>
      </c>
      <c r="J328" s="2" t="s">
        <v>34</v>
      </c>
      <c r="K328" s="2" t="s">
        <v>34</v>
      </c>
      <c r="L328" s="2" t="s">
        <v>34</v>
      </c>
      <c r="M328" s="2" t="s">
        <v>34</v>
      </c>
      <c r="N328" s="2" t="s">
        <v>34</v>
      </c>
      <c r="O328" s="2" t="s">
        <v>34</v>
      </c>
      <c r="P328" s="3">
        <v>44774</v>
      </c>
      <c r="Q328" s="3">
        <v>44834</v>
      </c>
      <c r="R328" s="2" t="s">
        <v>1150</v>
      </c>
      <c r="S328" s="2" t="s">
        <v>1144</v>
      </c>
    </row>
    <row r="329" spans="1:19" hidden="1" x14ac:dyDescent="0.25">
      <c r="A329" s="2" t="s">
        <v>2151</v>
      </c>
      <c r="B329" s="2" t="s">
        <v>1142</v>
      </c>
      <c r="C329" s="2" t="s">
        <v>32</v>
      </c>
      <c r="D329" s="2" t="s">
        <v>1151</v>
      </c>
      <c r="E329" s="2">
        <v>209</v>
      </c>
      <c r="F329" s="2">
        <v>30.026233000000001</v>
      </c>
      <c r="G329" s="2">
        <v>-85.454982999999999</v>
      </c>
      <c r="H329" s="2" t="s">
        <v>34</v>
      </c>
      <c r="I329" s="2" t="s">
        <v>46</v>
      </c>
      <c r="J329" s="2" t="s">
        <v>34</v>
      </c>
      <c r="K329" s="2" t="s">
        <v>34</v>
      </c>
      <c r="L329" s="2" t="s">
        <v>34</v>
      </c>
      <c r="M329" s="2" t="s">
        <v>34</v>
      </c>
      <c r="N329" s="2" t="s">
        <v>34</v>
      </c>
      <c r="O329" s="2" t="s">
        <v>34</v>
      </c>
      <c r="P329" s="3">
        <v>44774</v>
      </c>
      <c r="Q329" s="3">
        <v>44834</v>
      </c>
      <c r="R329" s="2" t="s">
        <v>1151</v>
      </c>
      <c r="S329" s="2" t="s">
        <v>1144</v>
      </c>
    </row>
    <row r="330" spans="1:19" hidden="1" x14ac:dyDescent="0.25">
      <c r="A330" s="2" t="s">
        <v>2152</v>
      </c>
      <c r="B330" s="2" t="s">
        <v>1142</v>
      </c>
      <c r="C330" s="2" t="s">
        <v>32</v>
      </c>
      <c r="D330" s="2" t="s">
        <v>1152</v>
      </c>
      <c r="E330" s="2">
        <v>249</v>
      </c>
      <c r="F330" s="2">
        <v>30.026966000000002</v>
      </c>
      <c r="G330" s="2">
        <v>-85.471132999999995</v>
      </c>
      <c r="H330" s="2" t="s">
        <v>34</v>
      </c>
      <c r="I330" s="2" t="s">
        <v>46</v>
      </c>
      <c r="J330" s="2" t="s">
        <v>34</v>
      </c>
      <c r="K330" s="2" t="s">
        <v>34</v>
      </c>
      <c r="L330" s="2" t="s">
        <v>34</v>
      </c>
      <c r="M330" s="2" t="s">
        <v>34</v>
      </c>
      <c r="N330" s="2" t="s">
        <v>34</v>
      </c>
      <c r="O330" s="2" t="s">
        <v>34</v>
      </c>
      <c r="P330" s="3">
        <v>44774</v>
      </c>
      <c r="Q330" s="3">
        <v>44834</v>
      </c>
      <c r="R330" s="2" t="s">
        <v>1152</v>
      </c>
      <c r="S330" s="2" t="s">
        <v>1144</v>
      </c>
    </row>
    <row r="331" spans="1:19" hidden="1" x14ac:dyDescent="0.25">
      <c r="A331" s="2" t="s">
        <v>2153</v>
      </c>
      <c r="B331" s="2" t="s">
        <v>1142</v>
      </c>
      <c r="C331" s="2" t="s">
        <v>32</v>
      </c>
      <c r="D331" s="2" t="s">
        <v>1153</v>
      </c>
      <c r="E331" s="2">
        <v>291</v>
      </c>
      <c r="F331" s="2">
        <v>30.028082999999999</v>
      </c>
      <c r="G331" s="2">
        <v>-85.475382999999994</v>
      </c>
      <c r="H331" s="2" t="s">
        <v>34</v>
      </c>
      <c r="I331" s="2" t="s">
        <v>46</v>
      </c>
      <c r="J331" s="2" t="s">
        <v>34</v>
      </c>
      <c r="K331" s="2" t="s">
        <v>34</v>
      </c>
      <c r="L331" s="2" t="s">
        <v>34</v>
      </c>
      <c r="M331" s="2" t="s">
        <v>34</v>
      </c>
      <c r="N331" s="2" t="s">
        <v>34</v>
      </c>
      <c r="O331" s="2" t="s">
        <v>34</v>
      </c>
      <c r="P331" s="3">
        <v>44774</v>
      </c>
      <c r="Q331" s="3">
        <v>44834</v>
      </c>
      <c r="R331" s="2" t="s">
        <v>1153</v>
      </c>
      <c r="S331" s="2" t="s">
        <v>1144</v>
      </c>
    </row>
    <row r="332" spans="1:19" hidden="1" x14ac:dyDescent="0.25">
      <c r="A332" s="2" t="s">
        <v>2154</v>
      </c>
      <c r="B332" s="2" t="s">
        <v>1142</v>
      </c>
      <c r="C332" s="2" t="s">
        <v>32</v>
      </c>
      <c r="D332" s="2" t="s">
        <v>1154</v>
      </c>
      <c r="E332" s="2">
        <v>330</v>
      </c>
      <c r="F332" s="2">
        <v>30.030799999999999</v>
      </c>
      <c r="G332" s="2">
        <v>-85.489949999999993</v>
      </c>
      <c r="H332" s="2" t="s">
        <v>34</v>
      </c>
      <c r="I332" s="2" t="s">
        <v>46</v>
      </c>
      <c r="J332" s="2" t="s">
        <v>34</v>
      </c>
      <c r="K332" s="2" t="s">
        <v>34</v>
      </c>
      <c r="L332" s="2" t="s">
        <v>34</v>
      </c>
      <c r="M332" s="2" t="s">
        <v>34</v>
      </c>
      <c r="N332" s="2" t="s">
        <v>34</v>
      </c>
      <c r="O332" s="2" t="s">
        <v>34</v>
      </c>
      <c r="P332" s="3">
        <v>44774</v>
      </c>
      <c r="Q332" s="3">
        <v>44834</v>
      </c>
      <c r="R332" s="2" t="s">
        <v>1154</v>
      </c>
      <c r="S332" s="2" t="s">
        <v>1144</v>
      </c>
    </row>
    <row r="333" spans="1:19" hidden="1" x14ac:dyDescent="0.25">
      <c r="A333" s="2" t="s">
        <v>2155</v>
      </c>
      <c r="B333" s="2" t="s">
        <v>1142</v>
      </c>
      <c r="C333" s="2" t="s">
        <v>32</v>
      </c>
      <c r="D333" s="2" t="s">
        <v>1155</v>
      </c>
      <c r="E333" s="2">
        <v>380</v>
      </c>
      <c r="F333" s="2">
        <v>30.031849999999999</v>
      </c>
      <c r="G333" s="2">
        <v>-85.494583000000006</v>
      </c>
      <c r="H333" s="2" t="s">
        <v>34</v>
      </c>
      <c r="I333" s="2" t="s">
        <v>46</v>
      </c>
      <c r="J333" s="2" t="s">
        <v>34</v>
      </c>
      <c r="K333" s="2" t="s">
        <v>34</v>
      </c>
      <c r="L333" s="2" t="s">
        <v>34</v>
      </c>
      <c r="M333" s="2" t="s">
        <v>34</v>
      </c>
      <c r="N333" s="2" t="s">
        <v>34</v>
      </c>
      <c r="O333" s="2" t="s">
        <v>34</v>
      </c>
      <c r="P333" s="3">
        <v>44774</v>
      </c>
      <c r="Q333" s="3">
        <v>44834</v>
      </c>
      <c r="R333" s="2" t="s">
        <v>1155</v>
      </c>
      <c r="S333" s="2" t="s">
        <v>1144</v>
      </c>
    </row>
    <row r="334" spans="1:19" hidden="1" x14ac:dyDescent="0.25">
      <c r="A334" s="2" t="s">
        <v>2156</v>
      </c>
      <c r="B334" s="2" t="s">
        <v>1142</v>
      </c>
      <c r="C334" s="2" t="s">
        <v>32</v>
      </c>
      <c r="D334" s="2" t="s">
        <v>1156</v>
      </c>
      <c r="E334" s="2">
        <v>516</v>
      </c>
      <c r="F334" s="2">
        <v>30.036850000000001</v>
      </c>
      <c r="G334" s="2">
        <v>-85.489316000000002</v>
      </c>
      <c r="H334" s="2" t="s">
        <v>34</v>
      </c>
      <c r="I334" s="2" t="s">
        <v>46</v>
      </c>
      <c r="J334" s="2" t="s">
        <v>34</v>
      </c>
      <c r="K334" s="2" t="s">
        <v>34</v>
      </c>
      <c r="L334" s="2" t="s">
        <v>34</v>
      </c>
      <c r="M334" s="2" t="s">
        <v>34</v>
      </c>
      <c r="N334" s="2" t="s">
        <v>34</v>
      </c>
      <c r="O334" s="2" t="s">
        <v>34</v>
      </c>
      <c r="P334" s="3">
        <v>44774</v>
      </c>
      <c r="Q334" s="3">
        <v>44834</v>
      </c>
      <c r="R334" s="2" t="s">
        <v>1156</v>
      </c>
      <c r="S334" s="2" t="s">
        <v>1144</v>
      </c>
    </row>
    <row r="335" spans="1:19" hidden="1" x14ac:dyDescent="0.25">
      <c r="A335" s="2" t="s">
        <v>2157</v>
      </c>
      <c r="B335" s="2" t="s">
        <v>1142</v>
      </c>
      <c r="C335" s="2" t="s">
        <v>32</v>
      </c>
      <c r="D335" s="2" t="s">
        <v>1157</v>
      </c>
      <c r="E335" s="2">
        <v>562</v>
      </c>
      <c r="F335" s="2">
        <v>30.038916</v>
      </c>
      <c r="G335" s="2">
        <v>-85.493650000000002</v>
      </c>
      <c r="H335" s="2" t="s">
        <v>34</v>
      </c>
      <c r="I335" s="2" t="s">
        <v>46</v>
      </c>
      <c r="J335" s="2" t="s">
        <v>34</v>
      </c>
      <c r="K335" s="2" t="s">
        <v>34</v>
      </c>
      <c r="L335" s="2" t="s">
        <v>34</v>
      </c>
      <c r="M335" s="2" t="s">
        <v>34</v>
      </c>
      <c r="N335" s="2" t="s">
        <v>34</v>
      </c>
      <c r="O335" s="2" t="s">
        <v>34</v>
      </c>
      <c r="P335" s="3">
        <v>44774</v>
      </c>
      <c r="Q335" s="3">
        <v>44834</v>
      </c>
      <c r="R335" s="2" t="s">
        <v>1157</v>
      </c>
      <c r="S335" s="2" t="s">
        <v>1144</v>
      </c>
    </row>
    <row r="336" spans="1:19" hidden="1" x14ac:dyDescent="0.25">
      <c r="A336" s="2" t="s">
        <v>2158</v>
      </c>
      <c r="B336" s="2" t="s">
        <v>1142</v>
      </c>
      <c r="C336" s="2" t="s">
        <v>32</v>
      </c>
      <c r="D336" s="2" t="s">
        <v>1158</v>
      </c>
      <c r="E336" s="2">
        <v>651</v>
      </c>
      <c r="F336" s="2">
        <v>30.042100000000001</v>
      </c>
      <c r="G336" s="2">
        <v>-85.504132999999996</v>
      </c>
      <c r="H336" s="2" t="s">
        <v>34</v>
      </c>
      <c r="I336" s="2" t="s">
        <v>46</v>
      </c>
      <c r="J336" s="2" t="s">
        <v>34</v>
      </c>
      <c r="K336" s="2" t="s">
        <v>34</v>
      </c>
      <c r="L336" s="2" t="s">
        <v>34</v>
      </c>
      <c r="M336" s="2" t="s">
        <v>34</v>
      </c>
      <c r="N336" s="2" t="s">
        <v>34</v>
      </c>
      <c r="O336" s="2" t="s">
        <v>34</v>
      </c>
      <c r="P336" s="3">
        <v>44774</v>
      </c>
      <c r="Q336" s="3">
        <v>44834</v>
      </c>
      <c r="R336" s="2" t="s">
        <v>1158</v>
      </c>
      <c r="S336" s="2" t="s">
        <v>1144</v>
      </c>
    </row>
    <row r="337" spans="1:19" hidden="1" x14ac:dyDescent="0.25">
      <c r="A337" s="2" t="s">
        <v>2159</v>
      </c>
      <c r="B337" s="2" t="s">
        <v>1142</v>
      </c>
      <c r="C337" s="2" t="s">
        <v>32</v>
      </c>
      <c r="D337" s="2" t="s">
        <v>1159</v>
      </c>
      <c r="E337" s="2">
        <v>707</v>
      </c>
      <c r="F337" s="2">
        <v>30.043299999999999</v>
      </c>
      <c r="G337" s="2">
        <v>-85.491916000000003</v>
      </c>
      <c r="H337" s="2" t="s">
        <v>34</v>
      </c>
      <c r="I337" s="2" t="s">
        <v>46</v>
      </c>
      <c r="J337" s="2" t="s">
        <v>34</v>
      </c>
      <c r="K337" s="2" t="s">
        <v>34</v>
      </c>
      <c r="L337" s="2" t="s">
        <v>34</v>
      </c>
      <c r="M337" s="2" t="s">
        <v>34</v>
      </c>
      <c r="N337" s="2" t="s">
        <v>34</v>
      </c>
      <c r="O337" s="2" t="s">
        <v>34</v>
      </c>
      <c r="P337" s="3">
        <v>44774</v>
      </c>
      <c r="Q337" s="3">
        <v>44834</v>
      </c>
      <c r="R337" s="2" t="s">
        <v>1159</v>
      </c>
      <c r="S337" s="2" t="s">
        <v>1144</v>
      </c>
    </row>
    <row r="338" spans="1:19" hidden="1" x14ac:dyDescent="0.25">
      <c r="A338" s="2" t="s">
        <v>2160</v>
      </c>
      <c r="B338" s="2" t="s">
        <v>1142</v>
      </c>
      <c r="C338" s="2" t="s">
        <v>32</v>
      </c>
      <c r="D338" s="2" t="s">
        <v>1160</v>
      </c>
      <c r="E338" s="2">
        <v>745</v>
      </c>
      <c r="F338" s="2">
        <v>30.045216</v>
      </c>
      <c r="G338" s="2">
        <v>-85.502032999999997</v>
      </c>
      <c r="H338" s="2" t="s">
        <v>34</v>
      </c>
      <c r="I338" s="2" t="s">
        <v>46</v>
      </c>
      <c r="J338" s="2" t="s">
        <v>34</v>
      </c>
      <c r="K338" s="2" t="s">
        <v>34</v>
      </c>
      <c r="L338" s="2" t="s">
        <v>34</v>
      </c>
      <c r="M338" s="2" t="s">
        <v>34</v>
      </c>
      <c r="N338" s="2" t="s">
        <v>34</v>
      </c>
      <c r="O338" s="2" t="s">
        <v>34</v>
      </c>
      <c r="P338" s="3">
        <v>44774</v>
      </c>
      <c r="Q338" s="3">
        <v>44834</v>
      </c>
      <c r="R338" s="2" t="s">
        <v>1160</v>
      </c>
      <c r="S338" s="2" t="s">
        <v>1144</v>
      </c>
    </row>
    <row r="339" spans="1:19" hidden="1" x14ac:dyDescent="0.25">
      <c r="A339" s="2" t="s">
        <v>2161</v>
      </c>
      <c r="B339" s="2" t="s">
        <v>1142</v>
      </c>
      <c r="C339" s="2" t="s">
        <v>32</v>
      </c>
      <c r="D339" s="2" t="s">
        <v>1161</v>
      </c>
      <c r="E339" s="2">
        <v>789</v>
      </c>
      <c r="F339" s="2">
        <v>30.046749999999999</v>
      </c>
      <c r="G339" s="2">
        <v>-85.505865999999997</v>
      </c>
      <c r="H339" s="2" t="s">
        <v>34</v>
      </c>
      <c r="I339" s="2" t="s">
        <v>46</v>
      </c>
      <c r="J339" s="2" t="s">
        <v>34</v>
      </c>
      <c r="K339" s="2" t="s">
        <v>34</v>
      </c>
      <c r="L339" s="2" t="s">
        <v>34</v>
      </c>
      <c r="M339" s="2" t="s">
        <v>34</v>
      </c>
      <c r="N339" s="2" t="s">
        <v>34</v>
      </c>
      <c r="O339" s="2" t="s">
        <v>34</v>
      </c>
      <c r="P339" s="3">
        <v>44774</v>
      </c>
      <c r="Q339" s="3">
        <v>44834</v>
      </c>
      <c r="R339" s="2" t="s">
        <v>1161</v>
      </c>
      <c r="S339" s="2" t="s">
        <v>1144</v>
      </c>
    </row>
    <row r="340" spans="1:19" hidden="1" x14ac:dyDescent="0.25">
      <c r="A340" s="2" t="s">
        <v>2162</v>
      </c>
      <c r="B340" s="2" t="s">
        <v>1142</v>
      </c>
      <c r="C340" s="2" t="s">
        <v>32</v>
      </c>
      <c r="D340" s="2" t="s">
        <v>1162</v>
      </c>
      <c r="E340" s="2">
        <v>791</v>
      </c>
      <c r="F340" s="2">
        <v>30.048065999999999</v>
      </c>
      <c r="G340" s="2">
        <v>-85.502415999999997</v>
      </c>
      <c r="H340" s="2" t="s">
        <v>34</v>
      </c>
      <c r="I340" s="2" t="s">
        <v>46</v>
      </c>
      <c r="J340" s="2" t="s">
        <v>34</v>
      </c>
      <c r="K340" s="2" t="s">
        <v>34</v>
      </c>
      <c r="L340" s="2" t="s">
        <v>34</v>
      </c>
      <c r="M340" s="2" t="s">
        <v>34</v>
      </c>
      <c r="N340" s="2" t="s">
        <v>34</v>
      </c>
      <c r="O340" s="2" t="s">
        <v>34</v>
      </c>
      <c r="P340" s="3">
        <v>44774</v>
      </c>
      <c r="Q340" s="3">
        <v>44834</v>
      </c>
      <c r="R340" s="2" t="s">
        <v>1162</v>
      </c>
      <c r="S340" s="2" t="s">
        <v>1144</v>
      </c>
    </row>
    <row r="341" spans="1:19" hidden="1" x14ac:dyDescent="0.25">
      <c r="A341" s="2" t="s">
        <v>2163</v>
      </c>
      <c r="B341" s="2" t="s">
        <v>1142</v>
      </c>
      <c r="C341" s="2" t="s">
        <v>32</v>
      </c>
      <c r="D341" s="2" t="s">
        <v>1163</v>
      </c>
      <c r="E341" s="2">
        <v>932</v>
      </c>
      <c r="F341" s="2">
        <v>30.051983</v>
      </c>
      <c r="G341" s="2">
        <v>-85.502583000000001</v>
      </c>
      <c r="H341" s="2" t="s">
        <v>34</v>
      </c>
      <c r="I341" s="2" t="s">
        <v>46</v>
      </c>
      <c r="J341" s="2" t="s">
        <v>34</v>
      </c>
      <c r="K341" s="2" t="s">
        <v>34</v>
      </c>
      <c r="L341" s="2" t="s">
        <v>34</v>
      </c>
      <c r="M341" s="2" t="s">
        <v>34</v>
      </c>
      <c r="N341" s="2" t="s">
        <v>34</v>
      </c>
      <c r="O341" s="2" t="s">
        <v>34</v>
      </c>
      <c r="P341" s="3">
        <v>44774</v>
      </c>
      <c r="Q341" s="3">
        <v>44834</v>
      </c>
      <c r="R341" s="2" t="s">
        <v>1163</v>
      </c>
      <c r="S341" s="2" t="s">
        <v>1144</v>
      </c>
    </row>
    <row r="342" spans="1:19" hidden="1" x14ac:dyDescent="0.25">
      <c r="A342" s="2" t="s">
        <v>2164</v>
      </c>
      <c r="B342" s="2" t="s">
        <v>1142</v>
      </c>
      <c r="C342" s="2" t="s">
        <v>32</v>
      </c>
      <c r="D342" s="2" t="s">
        <v>1164</v>
      </c>
      <c r="E342" s="2">
        <v>1160</v>
      </c>
      <c r="F342" s="2">
        <v>30.062066000000002</v>
      </c>
      <c r="G342" s="2">
        <v>-85.511983000000001</v>
      </c>
      <c r="H342" s="2" t="s">
        <v>34</v>
      </c>
      <c r="I342" s="2" t="s">
        <v>46</v>
      </c>
      <c r="J342" s="2" t="s">
        <v>34</v>
      </c>
      <c r="K342" s="2" t="s">
        <v>34</v>
      </c>
      <c r="L342" s="2" t="s">
        <v>34</v>
      </c>
      <c r="M342" s="2" t="s">
        <v>34</v>
      </c>
      <c r="N342" s="2" t="s">
        <v>34</v>
      </c>
      <c r="O342" s="2" t="s">
        <v>34</v>
      </c>
      <c r="P342" s="3">
        <v>44774</v>
      </c>
      <c r="Q342" s="3">
        <v>44834</v>
      </c>
      <c r="R342" s="2" t="s">
        <v>1164</v>
      </c>
      <c r="S342" s="2" t="s">
        <v>1144</v>
      </c>
    </row>
    <row r="343" spans="1:19" hidden="1" x14ac:dyDescent="0.25">
      <c r="A343" s="2" t="s">
        <v>2165</v>
      </c>
      <c r="B343" s="2" t="s">
        <v>1142</v>
      </c>
      <c r="C343" s="2" t="s">
        <v>32</v>
      </c>
      <c r="D343" s="2" t="s">
        <v>1165</v>
      </c>
      <c r="E343" s="2">
        <v>1442</v>
      </c>
      <c r="F343" s="2">
        <v>30.077732999999998</v>
      </c>
      <c r="G343" s="2">
        <v>-85.500649999999993</v>
      </c>
      <c r="H343" s="2" t="s">
        <v>34</v>
      </c>
      <c r="I343" s="2" t="s">
        <v>46</v>
      </c>
      <c r="J343" s="2" t="s">
        <v>34</v>
      </c>
      <c r="K343" s="2" t="s">
        <v>34</v>
      </c>
      <c r="L343" s="2" t="s">
        <v>34</v>
      </c>
      <c r="M343" s="2" t="s">
        <v>34</v>
      </c>
      <c r="N343" s="2" t="s">
        <v>34</v>
      </c>
      <c r="O343" s="2" t="s">
        <v>34</v>
      </c>
      <c r="P343" s="3">
        <v>44774</v>
      </c>
      <c r="Q343" s="3">
        <v>44834</v>
      </c>
      <c r="R343" s="2" t="s">
        <v>1165</v>
      </c>
      <c r="S343" s="2" t="s">
        <v>1144</v>
      </c>
    </row>
    <row r="344" spans="1:19" hidden="1" x14ac:dyDescent="0.25">
      <c r="A344" s="2" t="s">
        <v>2166</v>
      </c>
      <c r="B344" s="2" t="s">
        <v>1142</v>
      </c>
      <c r="C344" s="2" t="s">
        <v>32</v>
      </c>
      <c r="D344" s="2" t="s">
        <v>1166</v>
      </c>
      <c r="E344" s="2">
        <v>1483</v>
      </c>
      <c r="F344" s="2">
        <v>30.07995</v>
      </c>
      <c r="G344" s="2">
        <v>-85.498999999999995</v>
      </c>
      <c r="H344" s="2" t="s">
        <v>34</v>
      </c>
      <c r="I344" s="2" t="s">
        <v>46</v>
      </c>
      <c r="J344" s="2" t="s">
        <v>34</v>
      </c>
      <c r="K344" s="2" t="s">
        <v>34</v>
      </c>
      <c r="L344" s="2" t="s">
        <v>34</v>
      </c>
      <c r="M344" s="2" t="s">
        <v>34</v>
      </c>
      <c r="N344" s="2" t="s">
        <v>34</v>
      </c>
      <c r="O344" s="2" t="s">
        <v>34</v>
      </c>
      <c r="P344" s="3">
        <v>44774</v>
      </c>
      <c r="Q344" s="3">
        <v>44834</v>
      </c>
      <c r="R344" s="2" t="s">
        <v>1166</v>
      </c>
      <c r="S344" s="2" t="s">
        <v>1144</v>
      </c>
    </row>
    <row r="345" spans="1:19" hidden="1" x14ac:dyDescent="0.25">
      <c r="A345" s="2" t="s">
        <v>2167</v>
      </c>
      <c r="B345" s="2" t="s">
        <v>1142</v>
      </c>
      <c r="C345" s="2" t="s">
        <v>32</v>
      </c>
      <c r="D345" s="2" t="s">
        <v>1167</v>
      </c>
      <c r="E345" s="2">
        <v>1701</v>
      </c>
      <c r="F345" s="2">
        <v>30.086683000000001</v>
      </c>
      <c r="G345" s="2">
        <v>-85.526300000000006</v>
      </c>
      <c r="H345" s="2" t="s">
        <v>34</v>
      </c>
      <c r="I345" s="2" t="s">
        <v>46</v>
      </c>
      <c r="J345" s="2" t="s">
        <v>34</v>
      </c>
      <c r="K345" s="2" t="s">
        <v>34</v>
      </c>
      <c r="L345" s="2" t="s">
        <v>34</v>
      </c>
      <c r="M345" s="2" t="s">
        <v>34</v>
      </c>
      <c r="N345" s="2" t="s">
        <v>34</v>
      </c>
      <c r="O345" s="2" t="s">
        <v>34</v>
      </c>
      <c r="P345" s="3">
        <v>44774</v>
      </c>
      <c r="Q345" s="3">
        <v>44834</v>
      </c>
      <c r="R345" s="2" t="s">
        <v>1167</v>
      </c>
      <c r="S345" s="2" t="s">
        <v>1144</v>
      </c>
    </row>
    <row r="346" spans="1:19" hidden="1" x14ac:dyDescent="0.25">
      <c r="A346" s="2" t="s">
        <v>2168</v>
      </c>
      <c r="B346" s="2" t="s">
        <v>1142</v>
      </c>
      <c r="C346" s="2" t="s">
        <v>34</v>
      </c>
      <c r="D346" s="2" t="s">
        <v>1168</v>
      </c>
      <c r="E346" s="2">
        <v>3915</v>
      </c>
      <c r="F346" s="2">
        <v>30.228750000000002</v>
      </c>
      <c r="G346" s="2">
        <v>-85.708200000000005</v>
      </c>
      <c r="H346" s="2" t="s">
        <v>34</v>
      </c>
      <c r="I346" s="2" t="s">
        <v>46</v>
      </c>
      <c r="J346" s="2" t="s">
        <v>34</v>
      </c>
      <c r="K346" s="2" t="s">
        <v>34</v>
      </c>
      <c r="L346" s="2" t="s">
        <v>34</v>
      </c>
      <c r="M346" s="2" t="s">
        <v>34</v>
      </c>
      <c r="N346" s="2" t="s">
        <v>34</v>
      </c>
      <c r="O346" s="2" t="s">
        <v>34</v>
      </c>
      <c r="P346" s="3">
        <v>44774</v>
      </c>
      <c r="Q346" s="3">
        <v>44834</v>
      </c>
      <c r="R346" s="2" t="s">
        <v>1168</v>
      </c>
      <c r="S346" s="2" t="s">
        <v>1144</v>
      </c>
    </row>
    <row r="347" spans="1:19" hidden="1" x14ac:dyDescent="0.25">
      <c r="A347" s="2" t="s">
        <v>2169</v>
      </c>
      <c r="B347" s="2" t="s">
        <v>1142</v>
      </c>
      <c r="C347" s="2" t="s">
        <v>34</v>
      </c>
      <c r="D347" s="2" t="s">
        <v>1169</v>
      </c>
      <c r="E347" s="2">
        <v>4274</v>
      </c>
      <c r="F347" s="2">
        <v>30.237416</v>
      </c>
      <c r="G347" s="2">
        <v>-85.704882999999995</v>
      </c>
      <c r="H347" s="2" t="s">
        <v>34</v>
      </c>
      <c r="I347" s="2" t="s">
        <v>46</v>
      </c>
      <c r="J347" s="2" t="s">
        <v>34</v>
      </c>
      <c r="K347" s="2" t="s">
        <v>34</v>
      </c>
      <c r="L347" s="2" t="s">
        <v>34</v>
      </c>
      <c r="M347" s="2" t="s">
        <v>34</v>
      </c>
      <c r="N347" s="2" t="s">
        <v>34</v>
      </c>
      <c r="O347" s="2" t="s">
        <v>34</v>
      </c>
      <c r="P347" s="3">
        <v>44774</v>
      </c>
      <c r="Q347" s="3">
        <v>44834</v>
      </c>
      <c r="R347" s="2" t="s">
        <v>1169</v>
      </c>
      <c r="S347" s="2" t="s">
        <v>1144</v>
      </c>
    </row>
    <row r="348" spans="1:19" hidden="1" x14ac:dyDescent="0.25">
      <c r="A348" s="2" t="s">
        <v>2170</v>
      </c>
      <c r="B348" s="2" t="s">
        <v>1142</v>
      </c>
      <c r="C348" s="2" t="s">
        <v>34</v>
      </c>
      <c r="D348" s="2" t="s">
        <v>1170</v>
      </c>
      <c r="E348" s="2">
        <v>4687</v>
      </c>
      <c r="F348" s="2">
        <v>30.246182999999998</v>
      </c>
      <c r="G348" s="2">
        <v>-85.692949999999996</v>
      </c>
      <c r="H348" s="2" t="s">
        <v>34</v>
      </c>
      <c r="I348" s="2" t="s">
        <v>46</v>
      </c>
      <c r="J348" s="2" t="s">
        <v>34</v>
      </c>
      <c r="K348" s="2" t="s">
        <v>34</v>
      </c>
      <c r="L348" s="2" t="s">
        <v>34</v>
      </c>
      <c r="M348" s="2" t="s">
        <v>34</v>
      </c>
      <c r="N348" s="2" t="s">
        <v>34</v>
      </c>
      <c r="O348" s="2" t="s">
        <v>34</v>
      </c>
      <c r="P348" s="3">
        <v>44774</v>
      </c>
      <c r="Q348" s="3">
        <v>44834</v>
      </c>
      <c r="R348" s="2" t="s">
        <v>1170</v>
      </c>
      <c r="S348" s="2" t="s">
        <v>1144</v>
      </c>
    </row>
    <row r="349" spans="1:19" hidden="1" x14ac:dyDescent="0.25">
      <c r="A349" s="2" t="s">
        <v>2171</v>
      </c>
      <c r="B349" s="2" t="s">
        <v>1142</v>
      </c>
      <c r="C349" s="2" t="s">
        <v>34</v>
      </c>
      <c r="D349" s="2" t="s">
        <v>1171</v>
      </c>
      <c r="E349" s="2">
        <v>5000</v>
      </c>
      <c r="F349" s="2">
        <v>30.239816000000001</v>
      </c>
      <c r="G349" s="2">
        <v>-85.704250000000002</v>
      </c>
      <c r="H349" s="2" t="s">
        <v>34</v>
      </c>
      <c r="I349" s="2" t="s">
        <v>46</v>
      </c>
      <c r="J349" s="2" t="s">
        <v>34</v>
      </c>
      <c r="K349" s="2" t="s">
        <v>34</v>
      </c>
      <c r="L349" s="2" t="s">
        <v>34</v>
      </c>
      <c r="M349" s="2" t="s">
        <v>34</v>
      </c>
      <c r="N349" s="2" t="s">
        <v>34</v>
      </c>
      <c r="O349" s="2" t="s">
        <v>34</v>
      </c>
      <c r="P349" s="3">
        <v>44774</v>
      </c>
      <c r="Q349" s="3">
        <v>44834</v>
      </c>
      <c r="R349" s="2" t="s">
        <v>1171</v>
      </c>
      <c r="S349" s="2" t="s">
        <v>1144</v>
      </c>
    </row>
    <row r="350" spans="1:19" hidden="1" x14ac:dyDescent="0.25">
      <c r="A350" s="2" t="s">
        <v>2172</v>
      </c>
      <c r="B350" s="2" t="s">
        <v>1142</v>
      </c>
      <c r="C350" s="2" t="s">
        <v>34</v>
      </c>
      <c r="D350" s="2" t="s">
        <v>1172</v>
      </c>
      <c r="E350" s="2">
        <v>5383</v>
      </c>
      <c r="F350" s="2">
        <v>30.256765999999999</v>
      </c>
      <c r="G350" s="2">
        <v>-85.681566000000004</v>
      </c>
      <c r="H350" s="2" t="s">
        <v>34</v>
      </c>
      <c r="I350" s="2" t="s">
        <v>46</v>
      </c>
      <c r="J350" s="2" t="s">
        <v>34</v>
      </c>
      <c r="K350" s="2" t="s">
        <v>34</v>
      </c>
      <c r="L350" s="2" t="s">
        <v>34</v>
      </c>
      <c r="M350" s="2" t="s">
        <v>34</v>
      </c>
      <c r="N350" s="2" t="s">
        <v>34</v>
      </c>
      <c r="O350" s="2" t="s">
        <v>34</v>
      </c>
      <c r="P350" s="3">
        <v>44774</v>
      </c>
      <c r="Q350" s="3">
        <v>44834</v>
      </c>
      <c r="R350" s="2" t="s">
        <v>1172</v>
      </c>
      <c r="S350" s="2" t="s">
        <v>1144</v>
      </c>
    </row>
    <row r="351" spans="1:19" hidden="1" x14ac:dyDescent="0.25">
      <c r="A351" s="2" t="s">
        <v>2173</v>
      </c>
      <c r="B351" s="2" t="s">
        <v>1142</v>
      </c>
      <c r="C351" s="2" t="s">
        <v>34</v>
      </c>
      <c r="D351" s="2" t="s">
        <v>1173</v>
      </c>
      <c r="E351" s="2">
        <v>5682</v>
      </c>
      <c r="F351" s="2">
        <v>30.260033</v>
      </c>
      <c r="G351" s="2">
        <v>-85.646150000000006</v>
      </c>
      <c r="H351" s="2" t="s">
        <v>34</v>
      </c>
      <c r="I351" s="2" t="s">
        <v>46</v>
      </c>
      <c r="J351" s="2" t="s">
        <v>34</v>
      </c>
      <c r="K351" s="2" t="s">
        <v>34</v>
      </c>
      <c r="L351" s="2" t="s">
        <v>34</v>
      </c>
      <c r="M351" s="2" t="s">
        <v>34</v>
      </c>
      <c r="N351" s="2" t="s">
        <v>34</v>
      </c>
      <c r="O351" s="2" t="s">
        <v>34</v>
      </c>
      <c r="P351" s="3">
        <v>44774</v>
      </c>
      <c r="Q351" s="3">
        <v>44834</v>
      </c>
      <c r="R351" s="2" t="s">
        <v>1173</v>
      </c>
      <c r="S351" s="2" t="s">
        <v>1144</v>
      </c>
    </row>
    <row r="352" spans="1:19" hidden="1" x14ac:dyDescent="0.25">
      <c r="A352" s="2" t="s">
        <v>2174</v>
      </c>
      <c r="B352" s="2" t="s">
        <v>1142</v>
      </c>
      <c r="C352" s="2" t="s">
        <v>34</v>
      </c>
      <c r="D352" s="2" t="s">
        <v>1174</v>
      </c>
      <c r="E352" s="2">
        <v>5802</v>
      </c>
      <c r="F352" s="2">
        <v>30.26135</v>
      </c>
      <c r="G352" s="2">
        <v>-85.678049999999999</v>
      </c>
      <c r="H352" s="2" t="s">
        <v>34</v>
      </c>
      <c r="I352" s="2" t="s">
        <v>46</v>
      </c>
      <c r="J352" s="2" t="s">
        <v>34</v>
      </c>
      <c r="K352" s="2" t="s">
        <v>34</v>
      </c>
      <c r="L352" s="2" t="s">
        <v>34</v>
      </c>
      <c r="M352" s="2" t="s">
        <v>34</v>
      </c>
      <c r="N352" s="2" t="s">
        <v>34</v>
      </c>
      <c r="O352" s="2" t="s">
        <v>34</v>
      </c>
      <c r="P352" s="3">
        <v>44774</v>
      </c>
      <c r="Q352" s="3">
        <v>44834</v>
      </c>
      <c r="R352" s="2" t="s">
        <v>1174</v>
      </c>
      <c r="S352" s="2" t="s">
        <v>1144</v>
      </c>
    </row>
    <row r="353" spans="1:19" hidden="1" x14ac:dyDescent="0.25">
      <c r="A353" s="2" t="s">
        <v>2175</v>
      </c>
      <c r="B353" s="2" t="s">
        <v>1142</v>
      </c>
      <c r="C353" s="2" t="s">
        <v>34</v>
      </c>
      <c r="D353" s="2" t="s">
        <v>1175</v>
      </c>
      <c r="E353" s="2">
        <v>5959</v>
      </c>
      <c r="F353" s="2">
        <v>30.262665999999999</v>
      </c>
      <c r="G353" s="2">
        <v>-85.635232999999999</v>
      </c>
      <c r="H353" s="2" t="s">
        <v>34</v>
      </c>
      <c r="I353" s="2" t="s">
        <v>46</v>
      </c>
      <c r="J353" s="2" t="s">
        <v>34</v>
      </c>
      <c r="K353" s="2" t="s">
        <v>34</v>
      </c>
      <c r="L353" s="2" t="s">
        <v>34</v>
      </c>
      <c r="M353" s="2" t="s">
        <v>34</v>
      </c>
      <c r="N353" s="2" t="s">
        <v>34</v>
      </c>
      <c r="O353" s="2" t="s">
        <v>34</v>
      </c>
      <c r="P353" s="3">
        <v>44774</v>
      </c>
      <c r="Q353" s="3">
        <v>44834</v>
      </c>
      <c r="R353" s="2" t="s">
        <v>1175</v>
      </c>
      <c r="S353" s="2" t="s">
        <v>1144</v>
      </c>
    </row>
    <row r="354" spans="1:19" hidden="1" x14ac:dyDescent="0.25">
      <c r="A354" s="2" t="s">
        <v>2176</v>
      </c>
      <c r="B354" s="2" t="s">
        <v>1142</v>
      </c>
      <c r="C354" s="2" t="s">
        <v>34</v>
      </c>
      <c r="D354" s="2" t="s">
        <v>1176</v>
      </c>
      <c r="E354" s="2">
        <v>6069</v>
      </c>
      <c r="F354" s="2">
        <v>30.264582999999998</v>
      </c>
      <c r="G354" s="2">
        <v>-85.663749999999993</v>
      </c>
      <c r="H354" s="2" t="s">
        <v>34</v>
      </c>
      <c r="I354" s="2" t="s">
        <v>46</v>
      </c>
      <c r="J354" s="2" t="s">
        <v>34</v>
      </c>
      <c r="K354" s="2" t="s">
        <v>34</v>
      </c>
      <c r="L354" s="2" t="s">
        <v>34</v>
      </c>
      <c r="M354" s="2" t="s">
        <v>34</v>
      </c>
      <c r="N354" s="2" t="s">
        <v>34</v>
      </c>
      <c r="O354" s="2" t="s">
        <v>34</v>
      </c>
      <c r="P354" s="3">
        <v>44774</v>
      </c>
      <c r="Q354" s="3">
        <v>44834</v>
      </c>
      <c r="R354" s="2" t="s">
        <v>1176</v>
      </c>
      <c r="S354" s="2" t="s">
        <v>1144</v>
      </c>
    </row>
    <row r="355" spans="1:19" hidden="1" x14ac:dyDescent="0.25">
      <c r="A355" s="2" t="s">
        <v>2177</v>
      </c>
      <c r="B355" s="2" t="s">
        <v>1142</v>
      </c>
      <c r="C355" s="2" t="s">
        <v>34</v>
      </c>
      <c r="D355" s="2" t="s">
        <v>1177</v>
      </c>
      <c r="E355" s="2">
        <v>6187</v>
      </c>
      <c r="F355" s="2">
        <v>30.264915999999999</v>
      </c>
      <c r="G355" s="2">
        <v>-85.666583000000003</v>
      </c>
      <c r="H355" s="2" t="s">
        <v>34</v>
      </c>
      <c r="I355" s="2" t="s">
        <v>46</v>
      </c>
      <c r="J355" s="2" t="s">
        <v>34</v>
      </c>
      <c r="K355" s="2" t="s">
        <v>34</v>
      </c>
      <c r="L355" s="2" t="s">
        <v>34</v>
      </c>
      <c r="M355" s="2" t="s">
        <v>34</v>
      </c>
      <c r="N355" s="2" t="s">
        <v>34</v>
      </c>
      <c r="O355" s="2" t="s">
        <v>34</v>
      </c>
      <c r="P355" s="3">
        <v>44774</v>
      </c>
      <c r="Q355" s="3">
        <v>44834</v>
      </c>
      <c r="R355" s="2" t="s">
        <v>1177</v>
      </c>
      <c r="S355" s="2" t="s">
        <v>1144</v>
      </c>
    </row>
    <row r="356" spans="1:19" hidden="1" x14ac:dyDescent="0.25">
      <c r="A356" s="2" t="s">
        <v>2178</v>
      </c>
      <c r="B356" s="2" t="s">
        <v>1142</v>
      </c>
      <c r="C356" s="2" t="s">
        <v>34</v>
      </c>
      <c r="D356" s="2" t="s">
        <v>1178</v>
      </c>
      <c r="E356" s="2">
        <v>6191</v>
      </c>
      <c r="F356" s="2">
        <v>30.266715999999999</v>
      </c>
      <c r="G356" s="2">
        <v>-85.658850000000001</v>
      </c>
      <c r="H356" s="2" t="s">
        <v>34</v>
      </c>
      <c r="I356" s="2" t="s">
        <v>46</v>
      </c>
      <c r="J356" s="2" t="s">
        <v>34</v>
      </c>
      <c r="K356" s="2" t="s">
        <v>34</v>
      </c>
      <c r="L356" s="2" t="s">
        <v>34</v>
      </c>
      <c r="M356" s="2" t="s">
        <v>34</v>
      </c>
      <c r="N356" s="2" t="s">
        <v>34</v>
      </c>
      <c r="O356" s="2" t="s">
        <v>34</v>
      </c>
      <c r="P356" s="3">
        <v>44774</v>
      </c>
      <c r="Q356" s="3">
        <v>44834</v>
      </c>
      <c r="R356" s="2" t="s">
        <v>1178</v>
      </c>
      <c r="S356" s="2" t="s">
        <v>1144</v>
      </c>
    </row>
    <row r="357" spans="1:19" hidden="1" x14ac:dyDescent="0.25">
      <c r="A357" s="2" t="s">
        <v>2179</v>
      </c>
      <c r="B357" s="2" t="s">
        <v>1142</v>
      </c>
      <c r="C357" s="2" t="s">
        <v>34</v>
      </c>
      <c r="D357" s="2" t="s">
        <v>1179</v>
      </c>
      <c r="E357" s="2">
        <v>6505</v>
      </c>
      <c r="F357" s="2">
        <v>30.270883000000001</v>
      </c>
      <c r="G357" s="2">
        <v>-85.655866000000003</v>
      </c>
      <c r="H357" s="2" t="s">
        <v>34</v>
      </c>
      <c r="I357" s="2" t="s">
        <v>46</v>
      </c>
      <c r="J357" s="2" t="s">
        <v>34</v>
      </c>
      <c r="K357" s="2" t="s">
        <v>34</v>
      </c>
      <c r="L357" s="2" t="s">
        <v>34</v>
      </c>
      <c r="M357" s="2" t="s">
        <v>34</v>
      </c>
      <c r="N357" s="2" t="s">
        <v>34</v>
      </c>
      <c r="O357" s="2" t="s">
        <v>34</v>
      </c>
      <c r="P357" s="3">
        <v>44774</v>
      </c>
      <c r="Q357" s="3">
        <v>44834</v>
      </c>
      <c r="R357" s="2" t="s">
        <v>1179</v>
      </c>
      <c r="S357" s="2" t="s">
        <v>1144</v>
      </c>
    </row>
    <row r="358" spans="1:19" hidden="1" x14ac:dyDescent="0.25">
      <c r="A358" s="2" t="s">
        <v>2180</v>
      </c>
      <c r="B358" s="2" t="s">
        <v>1142</v>
      </c>
      <c r="C358" s="2" t="s">
        <v>44</v>
      </c>
      <c r="D358" s="2" t="s">
        <v>1180</v>
      </c>
      <c r="E358" s="2">
        <v>4492</v>
      </c>
      <c r="F358" s="2">
        <v>30.242149999999999</v>
      </c>
      <c r="G358" s="2">
        <v>-85.737049999999996</v>
      </c>
      <c r="H358" s="2" t="s">
        <v>34</v>
      </c>
      <c r="I358" s="2" t="s">
        <v>46</v>
      </c>
      <c r="J358" s="2" t="s">
        <v>34</v>
      </c>
      <c r="K358" s="2" t="s">
        <v>34</v>
      </c>
      <c r="L358" s="2" t="s">
        <v>34</v>
      </c>
      <c r="M358" s="2" t="s">
        <v>34</v>
      </c>
      <c r="N358" s="2" t="s">
        <v>34</v>
      </c>
      <c r="O358" s="2" t="s">
        <v>34</v>
      </c>
      <c r="P358" s="3">
        <v>44774</v>
      </c>
      <c r="Q358" s="3">
        <v>44834</v>
      </c>
      <c r="R358" s="2" t="s">
        <v>1180</v>
      </c>
      <c r="S358" s="2" t="s">
        <v>1144</v>
      </c>
    </row>
    <row r="359" spans="1:19" hidden="1" x14ac:dyDescent="0.25">
      <c r="A359" s="2" t="s">
        <v>2181</v>
      </c>
      <c r="B359" s="2" t="s">
        <v>1142</v>
      </c>
      <c r="C359" s="2" t="s">
        <v>44</v>
      </c>
      <c r="D359" s="2" t="s">
        <v>1181</v>
      </c>
      <c r="E359" s="2">
        <v>5308</v>
      </c>
      <c r="F359" s="2">
        <v>30.255400000000002</v>
      </c>
      <c r="G359" s="2">
        <v>-85.826365999999993</v>
      </c>
      <c r="H359" s="2" t="s">
        <v>34</v>
      </c>
      <c r="I359" s="2" t="s">
        <v>46</v>
      </c>
      <c r="J359" s="2" t="s">
        <v>34</v>
      </c>
      <c r="K359" s="2" t="s">
        <v>34</v>
      </c>
      <c r="L359" s="2" t="s">
        <v>34</v>
      </c>
      <c r="M359" s="2" t="s">
        <v>34</v>
      </c>
      <c r="N359" s="2" t="s">
        <v>34</v>
      </c>
      <c r="O359" s="2" t="s">
        <v>34</v>
      </c>
      <c r="P359" s="3">
        <v>44774</v>
      </c>
      <c r="Q359" s="3">
        <v>44834</v>
      </c>
      <c r="R359" s="2" t="s">
        <v>1181</v>
      </c>
      <c r="S359" s="2" t="s">
        <v>1144</v>
      </c>
    </row>
    <row r="360" spans="1:19" hidden="1" x14ac:dyDescent="0.25">
      <c r="A360" s="2" t="s">
        <v>2182</v>
      </c>
      <c r="B360" s="2" t="s">
        <v>1142</v>
      </c>
      <c r="C360" s="2" t="s">
        <v>44</v>
      </c>
      <c r="D360" s="2" t="s">
        <v>1182</v>
      </c>
      <c r="E360" s="2">
        <v>5339</v>
      </c>
      <c r="F360" s="2">
        <v>30.256366</v>
      </c>
      <c r="G360" s="2">
        <v>-85.776166000000003</v>
      </c>
      <c r="H360" s="2" t="s">
        <v>34</v>
      </c>
      <c r="I360" s="2" t="s">
        <v>46</v>
      </c>
      <c r="J360" s="2" t="s">
        <v>34</v>
      </c>
      <c r="K360" s="2" t="s">
        <v>34</v>
      </c>
      <c r="L360" s="2" t="s">
        <v>34</v>
      </c>
      <c r="M360" s="2" t="s">
        <v>34</v>
      </c>
      <c r="N360" s="2" t="s">
        <v>34</v>
      </c>
      <c r="O360" s="2" t="s">
        <v>34</v>
      </c>
      <c r="P360" s="3">
        <v>44774</v>
      </c>
      <c r="Q360" s="3">
        <v>44834</v>
      </c>
      <c r="R360" s="2" t="s">
        <v>1182</v>
      </c>
      <c r="S360" s="2" t="s">
        <v>1144</v>
      </c>
    </row>
    <row r="361" spans="1:19" hidden="1" x14ac:dyDescent="0.25">
      <c r="A361" s="2" t="s">
        <v>2183</v>
      </c>
      <c r="B361" s="2" t="s">
        <v>1142</v>
      </c>
      <c r="C361" s="2" t="s">
        <v>44</v>
      </c>
      <c r="D361" s="2" t="s">
        <v>1183</v>
      </c>
      <c r="E361" s="2">
        <v>5454</v>
      </c>
      <c r="F361" s="2">
        <v>30.258133000000001</v>
      </c>
      <c r="G361" s="2">
        <v>-85.813715999999999</v>
      </c>
      <c r="H361" s="2" t="s">
        <v>34</v>
      </c>
      <c r="I361" s="2" t="s">
        <v>46</v>
      </c>
      <c r="J361" s="2" t="s">
        <v>34</v>
      </c>
      <c r="K361" s="2" t="s">
        <v>34</v>
      </c>
      <c r="L361" s="2" t="s">
        <v>34</v>
      </c>
      <c r="M361" s="2" t="s">
        <v>34</v>
      </c>
      <c r="N361" s="2" t="s">
        <v>34</v>
      </c>
      <c r="O361" s="2" t="s">
        <v>34</v>
      </c>
      <c r="P361" s="3">
        <v>44774</v>
      </c>
      <c r="Q361" s="3">
        <v>44834</v>
      </c>
      <c r="R361" s="2" t="s">
        <v>1183</v>
      </c>
      <c r="S361" s="2" t="s">
        <v>1144</v>
      </c>
    </row>
    <row r="362" spans="1:19" hidden="1" x14ac:dyDescent="0.25">
      <c r="A362" s="2" t="s">
        <v>2184</v>
      </c>
      <c r="B362" s="2" t="s">
        <v>1142</v>
      </c>
      <c r="C362" s="2" t="s">
        <v>44</v>
      </c>
      <c r="D362" s="2" t="s">
        <v>1184</v>
      </c>
      <c r="E362" s="2">
        <v>5735</v>
      </c>
      <c r="F362" s="2">
        <v>30.260149999999999</v>
      </c>
      <c r="G362" s="2">
        <v>-85.815882999999999</v>
      </c>
      <c r="H362" s="2" t="s">
        <v>34</v>
      </c>
      <c r="I362" s="2" t="s">
        <v>46</v>
      </c>
      <c r="J362" s="2" t="s">
        <v>34</v>
      </c>
      <c r="K362" s="2" t="s">
        <v>34</v>
      </c>
      <c r="L362" s="2" t="s">
        <v>34</v>
      </c>
      <c r="M362" s="2" t="s">
        <v>34</v>
      </c>
      <c r="N362" s="2" t="s">
        <v>34</v>
      </c>
      <c r="O362" s="2" t="s">
        <v>34</v>
      </c>
      <c r="P362" s="3">
        <v>44774</v>
      </c>
      <c r="Q362" s="3">
        <v>44834</v>
      </c>
      <c r="R362" s="2" t="s">
        <v>1184</v>
      </c>
      <c r="S362" s="2" t="s">
        <v>1144</v>
      </c>
    </row>
    <row r="363" spans="1:19" hidden="1" x14ac:dyDescent="0.25">
      <c r="A363" s="2" t="s">
        <v>2185</v>
      </c>
      <c r="B363" s="2" t="s">
        <v>1142</v>
      </c>
      <c r="C363" s="2" t="s">
        <v>44</v>
      </c>
      <c r="D363" s="2" t="s">
        <v>1185</v>
      </c>
      <c r="E363" s="2">
        <v>6020</v>
      </c>
      <c r="F363" s="2">
        <v>30.264500000000002</v>
      </c>
      <c r="G363" s="2">
        <v>-85.781899999999993</v>
      </c>
      <c r="H363" s="2" t="s">
        <v>34</v>
      </c>
      <c r="I363" s="2" t="s">
        <v>46</v>
      </c>
      <c r="J363" s="2" t="s">
        <v>34</v>
      </c>
      <c r="K363" s="2" t="s">
        <v>34</v>
      </c>
      <c r="L363" s="2" t="s">
        <v>34</v>
      </c>
      <c r="M363" s="2" t="s">
        <v>34</v>
      </c>
      <c r="N363" s="2" t="s">
        <v>34</v>
      </c>
      <c r="O363" s="2" t="s">
        <v>34</v>
      </c>
      <c r="P363" s="3">
        <v>44774</v>
      </c>
      <c r="Q363" s="3">
        <v>44834</v>
      </c>
      <c r="R363" s="2" t="s">
        <v>1185</v>
      </c>
      <c r="S363" s="2" t="s">
        <v>1144</v>
      </c>
    </row>
    <row r="364" spans="1:19" hidden="1" x14ac:dyDescent="0.25">
      <c r="A364" s="2" t="s">
        <v>2186</v>
      </c>
      <c r="B364" s="2" t="s">
        <v>1142</v>
      </c>
      <c r="C364" s="2" t="s">
        <v>44</v>
      </c>
      <c r="D364" s="2" t="s">
        <v>1186</v>
      </c>
      <c r="E364" s="2">
        <v>6139</v>
      </c>
      <c r="F364" s="2">
        <v>30.266016</v>
      </c>
      <c r="G364" s="2">
        <v>-85.795483000000004</v>
      </c>
      <c r="H364" s="2" t="s">
        <v>34</v>
      </c>
      <c r="I364" s="2" t="s">
        <v>46</v>
      </c>
      <c r="J364" s="2" t="s">
        <v>34</v>
      </c>
      <c r="K364" s="2" t="s">
        <v>34</v>
      </c>
      <c r="L364" s="2" t="s">
        <v>34</v>
      </c>
      <c r="M364" s="2" t="s">
        <v>34</v>
      </c>
      <c r="N364" s="2" t="s">
        <v>34</v>
      </c>
      <c r="O364" s="2" t="s">
        <v>34</v>
      </c>
      <c r="P364" s="3">
        <v>44774</v>
      </c>
      <c r="Q364" s="3">
        <v>44834</v>
      </c>
      <c r="R364" s="2" t="s">
        <v>1186</v>
      </c>
      <c r="S364" s="2" t="s">
        <v>1144</v>
      </c>
    </row>
    <row r="365" spans="1:19" hidden="1" x14ac:dyDescent="0.25">
      <c r="A365" s="2" t="s">
        <v>2187</v>
      </c>
      <c r="B365" s="2" t="s">
        <v>1142</v>
      </c>
      <c r="C365" s="2" t="s">
        <v>44</v>
      </c>
      <c r="D365" s="2" t="s">
        <v>1187</v>
      </c>
      <c r="E365" s="2">
        <v>6352</v>
      </c>
      <c r="F365" s="2">
        <v>30.26905</v>
      </c>
      <c r="G365" s="2">
        <v>-85.816816000000003</v>
      </c>
      <c r="H365" s="2" t="s">
        <v>34</v>
      </c>
      <c r="I365" s="2" t="s">
        <v>46</v>
      </c>
      <c r="J365" s="2" t="s">
        <v>34</v>
      </c>
      <c r="K365" s="2" t="s">
        <v>34</v>
      </c>
      <c r="L365" s="2" t="s">
        <v>34</v>
      </c>
      <c r="M365" s="2" t="s">
        <v>34</v>
      </c>
      <c r="N365" s="2" t="s">
        <v>34</v>
      </c>
      <c r="O365" s="2" t="s">
        <v>34</v>
      </c>
      <c r="P365" s="3">
        <v>44774</v>
      </c>
      <c r="Q365" s="3">
        <v>44834</v>
      </c>
      <c r="R365" s="2" t="s">
        <v>1187</v>
      </c>
      <c r="S365" s="2" t="s">
        <v>1144</v>
      </c>
    </row>
    <row r="366" spans="1:19" hidden="1" x14ac:dyDescent="0.25">
      <c r="A366" s="2" t="s">
        <v>2188</v>
      </c>
      <c r="B366" s="2" t="s">
        <v>1142</v>
      </c>
      <c r="C366" s="2" t="s">
        <v>44</v>
      </c>
      <c r="D366" s="2" t="s">
        <v>1188</v>
      </c>
      <c r="E366" s="2">
        <v>6637</v>
      </c>
      <c r="F366" s="2">
        <v>30.274332999999999</v>
      </c>
      <c r="G366" s="2">
        <v>-85.811850000000007</v>
      </c>
      <c r="H366" s="2" t="s">
        <v>34</v>
      </c>
      <c r="I366" s="2" t="s">
        <v>46</v>
      </c>
      <c r="J366" s="2" t="s">
        <v>34</v>
      </c>
      <c r="K366" s="2" t="s">
        <v>34</v>
      </c>
      <c r="L366" s="2" t="s">
        <v>34</v>
      </c>
      <c r="M366" s="2" t="s">
        <v>34</v>
      </c>
      <c r="N366" s="2" t="s">
        <v>34</v>
      </c>
      <c r="O366" s="2" t="s">
        <v>34</v>
      </c>
      <c r="P366" s="3">
        <v>44774</v>
      </c>
      <c r="Q366" s="3">
        <v>44834</v>
      </c>
      <c r="R366" s="2" t="s">
        <v>1188</v>
      </c>
      <c r="S366" s="2" t="s">
        <v>1144</v>
      </c>
    </row>
    <row r="367" spans="1:19" hidden="1" x14ac:dyDescent="0.25">
      <c r="A367" s="2" t="s">
        <v>2189</v>
      </c>
      <c r="B367" s="2" t="s">
        <v>1142</v>
      </c>
      <c r="C367" s="2" t="s">
        <v>44</v>
      </c>
      <c r="D367" s="2" t="s">
        <v>1189</v>
      </c>
      <c r="E367" s="2">
        <v>1</v>
      </c>
      <c r="F367" s="2">
        <v>30.263750000000002</v>
      </c>
      <c r="G367" s="2">
        <v>-85.845600000000005</v>
      </c>
      <c r="H367" s="2" t="s">
        <v>46</v>
      </c>
      <c r="I367" s="2" t="s">
        <v>46</v>
      </c>
      <c r="J367" s="2" t="s">
        <v>46</v>
      </c>
      <c r="K367" s="2" t="s">
        <v>46</v>
      </c>
      <c r="L367" s="2" t="s">
        <v>34</v>
      </c>
      <c r="M367" s="2" t="s">
        <v>34</v>
      </c>
      <c r="N367" s="2" t="s">
        <v>34</v>
      </c>
      <c r="O367" s="2" t="s">
        <v>34</v>
      </c>
      <c r="P367" s="3">
        <v>44927</v>
      </c>
      <c r="Q367" s="3">
        <v>73050</v>
      </c>
      <c r="R367" s="2" t="s">
        <v>1190</v>
      </c>
      <c r="S367" s="2" t="s">
        <v>1144</v>
      </c>
    </row>
    <row r="368" spans="1:19" hidden="1" x14ac:dyDescent="0.25">
      <c r="A368" s="2" t="s">
        <v>2190</v>
      </c>
      <c r="B368" s="2" t="s">
        <v>1142</v>
      </c>
      <c r="C368" s="2" t="s">
        <v>44</v>
      </c>
      <c r="D368" s="2" t="s">
        <v>1191</v>
      </c>
      <c r="E368" s="2">
        <v>2</v>
      </c>
      <c r="F368" s="2">
        <v>30.26905</v>
      </c>
      <c r="G368" s="2">
        <v>-85.816817</v>
      </c>
      <c r="H368" s="2" t="s">
        <v>46</v>
      </c>
      <c r="I368" s="2" t="s">
        <v>46</v>
      </c>
      <c r="J368" s="2" t="s">
        <v>34</v>
      </c>
      <c r="K368" s="2" t="s">
        <v>46</v>
      </c>
      <c r="L368" s="2" t="s">
        <v>34</v>
      </c>
      <c r="M368" s="2" t="s">
        <v>34</v>
      </c>
      <c r="N368" s="2" t="s">
        <v>34</v>
      </c>
      <c r="O368" s="2" t="s">
        <v>34</v>
      </c>
      <c r="P368" s="3">
        <v>44927</v>
      </c>
      <c r="Q368" s="3">
        <v>73050</v>
      </c>
      <c r="R368" s="2" t="s">
        <v>1192</v>
      </c>
      <c r="S368" s="2" t="s">
        <v>1144</v>
      </c>
    </row>
    <row r="369" spans="1:19" hidden="1" x14ac:dyDescent="0.25">
      <c r="A369" s="2" t="s">
        <v>2191</v>
      </c>
      <c r="B369" s="2" t="s">
        <v>1142</v>
      </c>
      <c r="C369" s="2" t="s">
        <v>44</v>
      </c>
      <c r="D369" s="2" t="s">
        <v>1193</v>
      </c>
      <c r="E369" s="2">
        <v>3</v>
      </c>
      <c r="F369" s="2">
        <v>30.259250000000002</v>
      </c>
      <c r="G369" s="2">
        <v>-85.784767000000002</v>
      </c>
      <c r="H369" s="2" t="s">
        <v>46</v>
      </c>
      <c r="I369" s="2" t="s">
        <v>46</v>
      </c>
      <c r="J369" s="2" t="s">
        <v>34</v>
      </c>
      <c r="K369" s="2" t="s">
        <v>46</v>
      </c>
      <c r="L369" s="2" t="s">
        <v>34</v>
      </c>
      <c r="M369" s="2" t="s">
        <v>34</v>
      </c>
      <c r="N369" s="2" t="s">
        <v>34</v>
      </c>
      <c r="O369" s="2" t="s">
        <v>34</v>
      </c>
      <c r="P369" s="3">
        <v>44927</v>
      </c>
      <c r="Q369" s="3">
        <v>73050</v>
      </c>
      <c r="R369" s="2" t="s">
        <v>1194</v>
      </c>
      <c r="S369" s="2" t="s">
        <v>1144</v>
      </c>
    </row>
    <row r="370" spans="1:19" hidden="1" x14ac:dyDescent="0.25">
      <c r="A370" s="2" t="s">
        <v>2192</v>
      </c>
      <c r="B370" s="2" t="s">
        <v>1142</v>
      </c>
      <c r="C370" s="2" t="s">
        <v>44</v>
      </c>
      <c r="D370" s="2" t="s">
        <v>1195</v>
      </c>
      <c r="E370" s="2">
        <v>4</v>
      </c>
      <c r="F370" s="2">
        <v>30.2422</v>
      </c>
      <c r="G370" s="2">
        <v>-85.729382999999999</v>
      </c>
      <c r="H370" s="2" t="s">
        <v>46</v>
      </c>
      <c r="I370" s="2" t="s">
        <v>46</v>
      </c>
      <c r="J370" s="2" t="s">
        <v>46</v>
      </c>
      <c r="K370" s="2" t="s">
        <v>46</v>
      </c>
      <c r="L370" s="2" t="s">
        <v>34</v>
      </c>
      <c r="M370" s="2" t="s">
        <v>46</v>
      </c>
      <c r="N370" s="2" t="s">
        <v>34</v>
      </c>
      <c r="O370" s="2" t="s">
        <v>34</v>
      </c>
      <c r="P370" s="3">
        <v>44927</v>
      </c>
      <c r="Q370" s="3">
        <v>73050</v>
      </c>
      <c r="R370" s="2" t="s">
        <v>1196</v>
      </c>
      <c r="S370" s="2" t="s">
        <v>1144</v>
      </c>
    </row>
    <row r="371" spans="1:19" hidden="1" x14ac:dyDescent="0.25">
      <c r="A371" s="2" t="s">
        <v>2193</v>
      </c>
      <c r="B371" s="2" t="s">
        <v>1142</v>
      </c>
      <c r="C371" s="2" t="s">
        <v>34</v>
      </c>
      <c r="D371" s="2" t="s">
        <v>1197</v>
      </c>
      <c r="E371" s="2">
        <v>5</v>
      </c>
      <c r="F371" s="2">
        <v>30.238499999999998</v>
      </c>
      <c r="G371" s="2">
        <v>-85.706367</v>
      </c>
      <c r="H371" s="2" t="s">
        <v>46</v>
      </c>
      <c r="I371" s="2" t="s">
        <v>46</v>
      </c>
      <c r="J371" s="2" t="s">
        <v>46</v>
      </c>
      <c r="K371" s="2" t="s">
        <v>46</v>
      </c>
      <c r="L371" s="2" t="s">
        <v>34</v>
      </c>
      <c r="M371" s="2" t="s">
        <v>34</v>
      </c>
      <c r="N371" s="2" t="s">
        <v>34</v>
      </c>
      <c r="O371" s="2" t="s">
        <v>34</v>
      </c>
      <c r="P371" s="3">
        <v>44927</v>
      </c>
      <c r="Q371" s="3">
        <v>73050</v>
      </c>
      <c r="R371" s="2" t="s">
        <v>1198</v>
      </c>
      <c r="S371" s="2" t="s">
        <v>1144</v>
      </c>
    </row>
    <row r="372" spans="1:19" hidden="1" x14ac:dyDescent="0.25">
      <c r="A372" s="2" t="s">
        <v>2194</v>
      </c>
      <c r="B372" s="2" t="s">
        <v>1142</v>
      </c>
      <c r="C372" s="2" t="s">
        <v>34</v>
      </c>
      <c r="D372" s="2" t="s">
        <v>1199</v>
      </c>
      <c r="E372" s="2">
        <v>6</v>
      </c>
      <c r="F372" s="2">
        <v>30.265017</v>
      </c>
      <c r="G372" s="2">
        <v>-85.668383000000006</v>
      </c>
      <c r="H372" s="2" t="s">
        <v>46</v>
      </c>
      <c r="I372" s="2" t="s">
        <v>46</v>
      </c>
      <c r="J372" s="2" t="s">
        <v>34</v>
      </c>
      <c r="K372" s="2" t="s">
        <v>46</v>
      </c>
      <c r="L372" s="2" t="s">
        <v>34</v>
      </c>
      <c r="M372" s="2" t="s">
        <v>34</v>
      </c>
      <c r="N372" s="2" t="s">
        <v>34</v>
      </c>
      <c r="O372" s="2" t="s">
        <v>34</v>
      </c>
      <c r="P372" s="3">
        <v>44927</v>
      </c>
      <c r="Q372" s="3">
        <v>73050</v>
      </c>
      <c r="R372" s="2" t="s">
        <v>1200</v>
      </c>
      <c r="S372" s="2" t="s">
        <v>1144</v>
      </c>
    </row>
    <row r="373" spans="1:19" hidden="1" x14ac:dyDescent="0.25">
      <c r="A373" s="2" t="s">
        <v>2195</v>
      </c>
      <c r="B373" s="2" t="s">
        <v>1142</v>
      </c>
      <c r="C373" s="2" t="s">
        <v>34</v>
      </c>
      <c r="D373" s="2" t="s">
        <v>1201</v>
      </c>
      <c r="E373" s="2">
        <v>7</v>
      </c>
      <c r="F373" s="2">
        <v>30.263500000000001</v>
      </c>
      <c r="G373" s="2">
        <v>-85.635733000000002</v>
      </c>
      <c r="H373" s="2" t="s">
        <v>46</v>
      </c>
      <c r="I373" s="2" t="s">
        <v>46</v>
      </c>
      <c r="J373" s="2" t="s">
        <v>46</v>
      </c>
      <c r="K373" s="2" t="s">
        <v>46</v>
      </c>
      <c r="L373" s="2" t="s">
        <v>34</v>
      </c>
      <c r="M373" s="2" t="s">
        <v>34</v>
      </c>
      <c r="N373" s="2" t="s">
        <v>34</v>
      </c>
      <c r="O373" s="2" t="s">
        <v>34</v>
      </c>
      <c r="P373" s="3">
        <v>44927</v>
      </c>
      <c r="Q373" s="3">
        <v>73050</v>
      </c>
      <c r="R373" s="2" t="s">
        <v>1202</v>
      </c>
      <c r="S373" s="2" t="s">
        <v>1144</v>
      </c>
    </row>
    <row r="374" spans="1:19" hidden="1" x14ac:dyDescent="0.25">
      <c r="A374" s="2" t="s">
        <v>2196</v>
      </c>
      <c r="B374" s="2" t="s">
        <v>1142</v>
      </c>
      <c r="C374" s="2" t="s">
        <v>32</v>
      </c>
      <c r="D374" s="2" t="s">
        <v>1203</v>
      </c>
      <c r="E374" s="2">
        <v>8</v>
      </c>
      <c r="F374" s="2">
        <v>30.065909999999999</v>
      </c>
      <c r="G374" s="2">
        <v>-85.520380000000003</v>
      </c>
      <c r="H374" s="2" t="s">
        <v>46</v>
      </c>
      <c r="I374" s="2" t="s">
        <v>46</v>
      </c>
      <c r="J374" s="2" t="s">
        <v>46</v>
      </c>
      <c r="K374" s="2" t="s">
        <v>46</v>
      </c>
      <c r="L374" s="2" t="s">
        <v>34</v>
      </c>
      <c r="M374" s="2" t="s">
        <v>34</v>
      </c>
      <c r="N374" s="2" t="s">
        <v>34</v>
      </c>
      <c r="O374" s="2" t="s">
        <v>34</v>
      </c>
      <c r="P374" s="3">
        <v>44927</v>
      </c>
      <c r="Q374" s="3">
        <v>73050</v>
      </c>
      <c r="R374" s="2" t="s">
        <v>1204</v>
      </c>
      <c r="S374" s="2" t="s">
        <v>1144</v>
      </c>
    </row>
    <row r="375" spans="1:19" hidden="1" x14ac:dyDescent="0.25">
      <c r="A375" s="2" t="s">
        <v>2197</v>
      </c>
      <c r="B375" s="2" t="s">
        <v>1142</v>
      </c>
      <c r="C375" s="2" t="s">
        <v>32</v>
      </c>
      <c r="D375" s="2" t="s">
        <v>1205</v>
      </c>
      <c r="E375" s="2">
        <v>9</v>
      </c>
      <c r="F375" s="2">
        <v>30.053540000000002</v>
      </c>
      <c r="G375" s="2">
        <v>-85.505070000000003</v>
      </c>
      <c r="H375" s="2" t="s">
        <v>46</v>
      </c>
      <c r="I375" s="2" t="s">
        <v>46</v>
      </c>
      <c r="J375" s="2" t="s">
        <v>34</v>
      </c>
      <c r="K375" s="2" t="s">
        <v>46</v>
      </c>
      <c r="L375" s="2" t="s">
        <v>34</v>
      </c>
      <c r="M375" s="2" t="s">
        <v>34</v>
      </c>
      <c r="N375" s="2" t="s">
        <v>34</v>
      </c>
      <c r="O375" s="2" t="s">
        <v>34</v>
      </c>
      <c r="P375" s="3">
        <v>44927</v>
      </c>
      <c r="Q375" s="3">
        <v>73050</v>
      </c>
      <c r="R375" s="2" t="s">
        <v>1206</v>
      </c>
      <c r="S375" s="2" t="s">
        <v>1144</v>
      </c>
    </row>
    <row r="376" spans="1:19" hidden="1" x14ac:dyDescent="0.25">
      <c r="A376" s="2" t="s">
        <v>2198</v>
      </c>
      <c r="B376" s="2" t="s">
        <v>1142</v>
      </c>
      <c r="C376" s="2" t="s">
        <v>32</v>
      </c>
      <c r="D376" s="2" t="s">
        <v>1207</v>
      </c>
      <c r="E376" s="2">
        <v>10</v>
      </c>
      <c r="F376" s="2">
        <v>30.038917000000001</v>
      </c>
      <c r="G376" s="2">
        <v>-85.493650000000002</v>
      </c>
      <c r="H376" s="2" t="s">
        <v>46</v>
      </c>
      <c r="I376" s="2" t="s">
        <v>46</v>
      </c>
      <c r="J376" s="2" t="s">
        <v>34</v>
      </c>
      <c r="K376" s="2" t="s">
        <v>46</v>
      </c>
      <c r="L376" s="2" t="s">
        <v>34</v>
      </c>
      <c r="M376" s="2" t="s">
        <v>46</v>
      </c>
      <c r="N376" s="2" t="s">
        <v>34</v>
      </c>
      <c r="O376" s="2" t="s">
        <v>34</v>
      </c>
      <c r="P376" s="3">
        <v>44927</v>
      </c>
      <c r="Q376" s="3">
        <v>73050</v>
      </c>
      <c r="R376" s="2" t="s">
        <v>1208</v>
      </c>
      <c r="S376" s="2" t="s">
        <v>1144</v>
      </c>
    </row>
    <row r="377" spans="1:19" hidden="1" x14ac:dyDescent="0.25">
      <c r="A377" s="2" t="s">
        <v>2199</v>
      </c>
      <c r="B377" s="2" t="s">
        <v>1142</v>
      </c>
      <c r="C377" s="2" t="s">
        <v>32</v>
      </c>
      <c r="D377" s="2" t="s">
        <v>1209</v>
      </c>
      <c r="E377" s="2">
        <v>11</v>
      </c>
      <c r="F377" s="2">
        <v>30.026966999999999</v>
      </c>
      <c r="G377" s="2">
        <v>-85.471033000000006</v>
      </c>
      <c r="H377" s="2" t="s">
        <v>46</v>
      </c>
      <c r="I377" s="2" t="s">
        <v>46</v>
      </c>
      <c r="J377" s="2" t="s">
        <v>46</v>
      </c>
      <c r="K377" s="2" t="s">
        <v>46</v>
      </c>
      <c r="L377" s="2" t="s">
        <v>34</v>
      </c>
      <c r="M377" s="2" t="s">
        <v>34</v>
      </c>
      <c r="N377" s="2" t="s">
        <v>34</v>
      </c>
      <c r="O377" s="2" t="s">
        <v>34</v>
      </c>
      <c r="P377" s="3">
        <v>44927</v>
      </c>
      <c r="Q377" s="3">
        <v>73050</v>
      </c>
      <c r="R377" s="2" t="s">
        <v>1210</v>
      </c>
      <c r="S377" s="2" t="s">
        <v>1144</v>
      </c>
    </row>
    <row r="378" spans="1:19" x14ac:dyDescent="0.25">
      <c r="A378" s="2" t="s">
        <v>2200</v>
      </c>
      <c r="B378" s="2" t="s">
        <v>59</v>
      </c>
      <c r="C378" s="2" t="s">
        <v>504</v>
      </c>
      <c r="D378" s="2" t="s">
        <v>1282</v>
      </c>
      <c r="E378" s="2">
        <v>6</v>
      </c>
      <c r="F378" s="2">
        <v>27.67615</v>
      </c>
      <c r="G378" s="2">
        <v>-82.681299999999993</v>
      </c>
      <c r="H378" s="2" t="s">
        <v>46</v>
      </c>
      <c r="I378" s="2" t="s">
        <v>46</v>
      </c>
      <c r="J378" s="2" t="s">
        <v>46</v>
      </c>
      <c r="K378" s="2" t="s">
        <v>46</v>
      </c>
      <c r="L378" s="2" t="s">
        <v>34</v>
      </c>
      <c r="M378" s="2" t="s">
        <v>34</v>
      </c>
      <c r="N378" s="2" t="s">
        <v>34</v>
      </c>
      <c r="O378" s="2" t="s">
        <v>46</v>
      </c>
      <c r="P378" s="3">
        <v>44896</v>
      </c>
      <c r="Q378" s="3">
        <v>73050</v>
      </c>
      <c r="R378" s="2" t="s">
        <v>1283</v>
      </c>
      <c r="S378" s="2" t="s">
        <v>63</v>
      </c>
    </row>
    <row r="379" spans="1:19" x14ac:dyDescent="0.25">
      <c r="A379" s="2" t="s">
        <v>2201</v>
      </c>
      <c r="B379" s="2" t="s">
        <v>59</v>
      </c>
      <c r="C379" s="2" t="s">
        <v>500</v>
      </c>
      <c r="D379" s="2" t="s">
        <v>1284</v>
      </c>
      <c r="E379" s="2">
        <v>7</v>
      </c>
      <c r="F379" s="2">
        <v>27.52722</v>
      </c>
      <c r="G379" s="2">
        <v>-82.485399999999998</v>
      </c>
      <c r="H379" s="2" t="s">
        <v>46</v>
      </c>
      <c r="I379" s="2" t="s">
        <v>46</v>
      </c>
      <c r="J379" s="2" t="s">
        <v>46</v>
      </c>
      <c r="K379" s="2" t="s">
        <v>46</v>
      </c>
      <c r="L379" s="2" t="s">
        <v>34</v>
      </c>
      <c r="M379" s="2" t="s">
        <v>34</v>
      </c>
      <c r="N379" s="2" t="s">
        <v>34</v>
      </c>
      <c r="O379" s="2" t="s">
        <v>46</v>
      </c>
      <c r="P379" s="3">
        <v>44896</v>
      </c>
      <c r="Q379" s="3">
        <v>73050</v>
      </c>
      <c r="R379" s="2" t="s">
        <v>1285</v>
      </c>
      <c r="S379" s="2" t="s">
        <v>63</v>
      </c>
    </row>
    <row r="380" spans="1:19" x14ac:dyDescent="0.25">
      <c r="A380" s="2" t="s">
        <v>2202</v>
      </c>
      <c r="B380" s="2" t="s">
        <v>59</v>
      </c>
      <c r="C380" s="2" t="s">
        <v>500</v>
      </c>
      <c r="D380" s="2" t="s">
        <v>1286</v>
      </c>
      <c r="E380" s="2">
        <v>8</v>
      </c>
      <c r="F380" s="2">
        <v>27.49682</v>
      </c>
      <c r="G380" s="2">
        <v>-82.524900000000002</v>
      </c>
      <c r="H380" s="2" t="s">
        <v>46</v>
      </c>
      <c r="I380" s="2" t="s">
        <v>46</v>
      </c>
      <c r="J380" s="2" t="s">
        <v>46</v>
      </c>
      <c r="K380" s="2" t="s">
        <v>46</v>
      </c>
      <c r="L380" s="2" t="s">
        <v>34</v>
      </c>
      <c r="M380" s="2" t="s">
        <v>34</v>
      </c>
      <c r="N380" s="2" t="s">
        <v>34</v>
      </c>
      <c r="O380" s="2" t="s">
        <v>46</v>
      </c>
      <c r="P380" s="3">
        <v>44896</v>
      </c>
      <c r="Q380" s="3">
        <v>73050</v>
      </c>
      <c r="R380" s="2" t="s">
        <v>1287</v>
      </c>
      <c r="S380" s="2" t="s">
        <v>63</v>
      </c>
    </row>
    <row r="381" spans="1:19" hidden="1" x14ac:dyDescent="0.25">
      <c r="A381" s="2" t="s">
        <v>2203</v>
      </c>
      <c r="B381" s="2" t="s">
        <v>31</v>
      </c>
      <c r="C381" s="2" t="s">
        <v>32</v>
      </c>
      <c r="D381" s="2" t="s">
        <v>720</v>
      </c>
      <c r="E381" s="2">
        <v>11</v>
      </c>
      <c r="F381" s="2">
        <v>29.71913</v>
      </c>
      <c r="G381" s="2">
        <v>-84.883679999999998</v>
      </c>
      <c r="H381" s="2" t="s">
        <v>34</v>
      </c>
      <c r="I381" s="2" t="s">
        <v>34</v>
      </c>
      <c r="J381" s="2" t="s">
        <v>34</v>
      </c>
      <c r="K381" s="2" t="s">
        <v>34</v>
      </c>
      <c r="L381" s="2" t="s">
        <v>46</v>
      </c>
      <c r="M381" s="2" t="s">
        <v>34</v>
      </c>
      <c r="N381" s="2" t="s">
        <v>9</v>
      </c>
      <c r="O381" s="2" t="s">
        <v>9</v>
      </c>
      <c r="P381" s="3">
        <v>44927</v>
      </c>
      <c r="Q381" s="3">
        <v>73050</v>
      </c>
      <c r="R381" s="2" t="s">
        <v>1466</v>
      </c>
      <c r="S381" s="2" t="s">
        <v>35</v>
      </c>
    </row>
    <row r="382" spans="1:19" hidden="1" x14ac:dyDescent="0.25">
      <c r="A382" s="2" t="s">
        <v>2204</v>
      </c>
      <c r="B382" s="2" t="s">
        <v>31</v>
      </c>
      <c r="C382" s="2" t="s">
        <v>32</v>
      </c>
      <c r="D382" s="2" t="s">
        <v>718</v>
      </c>
      <c r="E382" s="2">
        <v>11</v>
      </c>
      <c r="F382" s="2">
        <v>29.70909</v>
      </c>
      <c r="G382" s="2">
        <v>-84.879900000000006</v>
      </c>
      <c r="H382" s="2" t="s">
        <v>46</v>
      </c>
      <c r="I382" s="2" t="s">
        <v>46</v>
      </c>
      <c r="J382" s="2" t="s">
        <v>34</v>
      </c>
      <c r="K382" s="2" t="s">
        <v>46</v>
      </c>
      <c r="L382" s="2" t="s">
        <v>34</v>
      </c>
      <c r="M382" s="2" t="s">
        <v>34</v>
      </c>
      <c r="N382" s="2" t="s">
        <v>34</v>
      </c>
      <c r="O382" s="2" t="s">
        <v>34</v>
      </c>
      <c r="P382" s="3">
        <v>45372</v>
      </c>
      <c r="Q382" s="3">
        <v>73050</v>
      </c>
      <c r="R382" s="2" t="s">
        <v>719</v>
      </c>
      <c r="S382" s="2" t="s">
        <v>35</v>
      </c>
    </row>
    <row r="383" spans="1:19" hidden="1" x14ac:dyDescent="0.25">
      <c r="A383" s="2" t="s">
        <v>2205</v>
      </c>
      <c r="B383" s="2" t="s">
        <v>31</v>
      </c>
      <c r="C383" s="2" t="s">
        <v>32</v>
      </c>
      <c r="D383" s="2" t="s">
        <v>722</v>
      </c>
      <c r="E383" s="2">
        <v>12</v>
      </c>
      <c r="F383" s="2">
        <v>29.682040000000001</v>
      </c>
      <c r="G383" s="2">
        <v>-84.865989999999996</v>
      </c>
      <c r="H383" s="2" t="s">
        <v>46</v>
      </c>
      <c r="I383" s="2" t="s">
        <v>46</v>
      </c>
      <c r="J383" s="2" t="s">
        <v>46</v>
      </c>
      <c r="K383" s="2" t="s">
        <v>46</v>
      </c>
      <c r="L383" s="2" t="s">
        <v>34</v>
      </c>
      <c r="M383" s="2" t="s">
        <v>34</v>
      </c>
      <c r="N383" s="2" t="s">
        <v>34</v>
      </c>
      <c r="O383" s="2" t="s">
        <v>34</v>
      </c>
      <c r="P383" s="3">
        <v>45372</v>
      </c>
      <c r="Q383" s="3">
        <v>73050</v>
      </c>
      <c r="R383" s="2" t="s">
        <v>723</v>
      </c>
      <c r="S383" s="2" t="s">
        <v>35</v>
      </c>
    </row>
    <row r="384" spans="1:19" hidden="1" x14ac:dyDescent="0.25">
      <c r="A384" s="2" t="s">
        <v>2206</v>
      </c>
      <c r="B384" s="2" t="s">
        <v>31</v>
      </c>
      <c r="C384" s="2" t="s">
        <v>32</v>
      </c>
      <c r="D384" s="2" t="s">
        <v>726</v>
      </c>
      <c r="E384" s="2">
        <v>13</v>
      </c>
      <c r="F384" s="2">
        <v>29.703189999999999</v>
      </c>
      <c r="G384" s="2">
        <v>-84.831789999999998</v>
      </c>
      <c r="H384" s="2" t="s">
        <v>46</v>
      </c>
      <c r="I384" s="2" t="s">
        <v>46</v>
      </c>
      <c r="J384" s="2" t="s">
        <v>46</v>
      </c>
      <c r="K384" s="2" t="s">
        <v>46</v>
      </c>
      <c r="L384" s="2" t="s">
        <v>34</v>
      </c>
      <c r="M384" s="2" t="s">
        <v>34</v>
      </c>
      <c r="N384" s="2" t="s">
        <v>34</v>
      </c>
      <c r="O384" s="2" t="s">
        <v>34</v>
      </c>
      <c r="P384" s="3">
        <v>45372</v>
      </c>
      <c r="Q384" s="3">
        <v>73050</v>
      </c>
      <c r="R384" s="2" t="s">
        <v>727</v>
      </c>
      <c r="S384" s="2" t="s">
        <v>35</v>
      </c>
    </row>
    <row r="385" spans="1:19" hidden="1" x14ac:dyDescent="0.25">
      <c r="A385" s="2" t="s">
        <v>2207</v>
      </c>
      <c r="B385" s="2" t="s">
        <v>1026</v>
      </c>
      <c r="C385" s="2" t="s">
        <v>34</v>
      </c>
      <c r="D385" s="2" t="s">
        <v>1275</v>
      </c>
      <c r="E385" s="2">
        <v>4</v>
      </c>
      <c r="F385" s="2">
        <v>27.16516</v>
      </c>
      <c r="G385" s="2">
        <v>-80.256399999999999</v>
      </c>
      <c r="H385" s="2" t="s">
        <v>46</v>
      </c>
      <c r="I385" s="2" t="s">
        <v>46</v>
      </c>
      <c r="J385" s="2" t="s">
        <v>34</v>
      </c>
      <c r="K385" s="2" t="s">
        <v>46</v>
      </c>
      <c r="L385" s="2" t="s">
        <v>34</v>
      </c>
      <c r="M385" s="2" t="s">
        <v>34</v>
      </c>
      <c r="N385" s="2" t="s">
        <v>34</v>
      </c>
      <c r="O385" s="2" t="s">
        <v>34</v>
      </c>
      <c r="P385" s="3">
        <v>44927</v>
      </c>
      <c r="Q385" s="3">
        <v>73050</v>
      </c>
      <c r="R385" s="2" t="s">
        <v>1276</v>
      </c>
      <c r="S385" s="2" t="s">
        <v>1029</v>
      </c>
    </row>
    <row r="386" spans="1:19" hidden="1" x14ac:dyDescent="0.25">
      <c r="A386" s="2" t="s">
        <v>2208</v>
      </c>
      <c r="B386" s="2" t="s">
        <v>67</v>
      </c>
      <c r="C386" s="2" t="s">
        <v>77</v>
      </c>
      <c r="D386" s="2" t="s">
        <v>1434</v>
      </c>
      <c r="E386" s="2">
        <v>1</v>
      </c>
      <c r="F386" s="2">
        <v>29.227506000000002</v>
      </c>
      <c r="G386" s="2">
        <v>-83.134162000000003</v>
      </c>
      <c r="H386" s="2" t="s">
        <v>34</v>
      </c>
      <c r="I386" s="2" t="s">
        <v>46</v>
      </c>
      <c r="J386" s="2" t="s">
        <v>34</v>
      </c>
      <c r="K386" s="2" t="s">
        <v>46</v>
      </c>
      <c r="L386" s="2" t="s">
        <v>46</v>
      </c>
      <c r="M386" s="2" t="s">
        <v>34</v>
      </c>
      <c r="N386" s="2" t="s">
        <v>34</v>
      </c>
      <c r="O386" s="2" t="s">
        <v>34</v>
      </c>
      <c r="P386" s="3">
        <v>45077</v>
      </c>
      <c r="Q386" s="3">
        <v>73050</v>
      </c>
      <c r="R386" s="2" t="s">
        <v>1435</v>
      </c>
      <c r="S386" s="2" t="s">
        <v>70</v>
      </c>
    </row>
    <row r="387" spans="1:19" hidden="1" x14ac:dyDescent="0.25">
      <c r="A387" s="2" t="s">
        <v>2209</v>
      </c>
      <c r="B387" s="2" t="s">
        <v>67</v>
      </c>
      <c r="C387" s="2" t="s">
        <v>77</v>
      </c>
      <c r="D387" s="2" t="s">
        <v>1436</v>
      </c>
      <c r="E387" s="2">
        <v>2</v>
      </c>
      <c r="F387" s="2">
        <v>29.229101</v>
      </c>
      <c r="G387" s="2">
        <v>-83.135886999999997</v>
      </c>
      <c r="H387" s="2" t="s">
        <v>34</v>
      </c>
      <c r="I387" s="2" t="s">
        <v>46</v>
      </c>
      <c r="J387" s="2" t="s">
        <v>34</v>
      </c>
      <c r="K387" s="2" t="s">
        <v>46</v>
      </c>
      <c r="L387" s="2" t="s">
        <v>46</v>
      </c>
      <c r="M387" s="2" t="s">
        <v>34</v>
      </c>
      <c r="N387" s="2" t="s">
        <v>34</v>
      </c>
      <c r="O387" s="2" t="s">
        <v>34</v>
      </c>
      <c r="P387" s="3">
        <v>45077</v>
      </c>
      <c r="Q387" s="3">
        <v>73050</v>
      </c>
      <c r="R387" s="2" t="s">
        <v>1437</v>
      </c>
      <c r="S387" s="2" t="s">
        <v>70</v>
      </c>
    </row>
    <row r="388" spans="1:19" hidden="1" x14ac:dyDescent="0.25">
      <c r="A388" s="2" t="s">
        <v>2210</v>
      </c>
      <c r="B388" s="2" t="s">
        <v>67</v>
      </c>
      <c r="C388" s="2" t="s">
        <v>77</v>
      </c>
      <c r="D388" s="2" t="s">
        <v>1438</v>
      </c>
      <c r="E388" s="2">
        <v>3</v>
      </c>
      <c r="F388" s="2">
        <v>29.232572999999999</v>
      </c>
      <c r="G388" s="2">
        <v>-83.140765000000002</v>
      </c>
      <c r="H388" s="2" t="s">
        <v>34</v>
      </c>
      <c r="I388" s="2" t="s">
        <v>46</v>
      </c>
      <c r="J388" s="2" t="s">
        <v>34</v>
      </c>
      <c r="K388" s="2" t="s">
        <v>46</v>
      </c>
      <c r="L388" s="2" t="s">
        <v>46</v>
      </c>
      <c r="M388" s="2" t="s">
        <v>34</v>
      </c>
      <c r="N388" s="2" t="s">
        <v>34</v>
      </c>
      <c r="O388" s="2" t="s">
        <v>34</v>
      </c>
      <c r="P388" s="3">
        <v>45077</v>
      </c>
      <c r="Q388" s="3">
        <v>73050</v>
      </c>
      <c r="R388" s="2" t="s">
        <v>1439</v>
      </c>
      <c r="S388" s="2" t="s">
        <v>70</v>
      </c>
    </row>
    <row r="389" spans="1:19" hidden="1" x14ac:dyDescent="0.25">
      <c r="A389" s="2" t="s">
        <v>2211</v>
      </c>
      <c r="B389" s="2" t="s">
        <v>67</v>
      </c>
      <c r="C389" s="2" t="s">
        <v>77</v>
      </c>
      <c r="D389" s="2" t="s">
        <v>1440</v>
      </c>
      <c r="E389" s="2">
        <v>4</v>
      </c>
      <c r="F389" s="2">
        <v>29.234097999999999</v>
      </c>
      <c r="G389" s="2">
        <v>-83.142520000000005</v>
      </c>
      <c r="H389" s="2" t="s">
        <v>34</v>
      </c>
      <c r="I389" s="2" t="s">
        <v>46</v>
      </c>
      <c r="J389" s="2" t="s">
        <v>34</v>
      </c>
      <c r="K389" s="2" t="s">
        <v>46</v>
      </c>
      <c r="L389" s="2" t="s">
        <v>46</v>
      </c>
      <c r="M389" s="2" t="s">
        <v>34</v>
      </c>
      <c r="N389" s="2" t="s">
        <v>34</v>
      </c>
      <c r="O389" s="2" t="s">
        <v>34</v>
      </c>
      <c r="P389" s="3">
        <v>45077</v>
      </c>
      <c r="Q389" s="3">
        <v>73050</v>
      </c>
      <c r="R389" s="2" t="s">
        <v>1441</v>
      </c>
      <c r="S389" s="2" t="s">
        <v>70</v>
      </c>
    </row>
    <row r="390" spans="1:19" hidden="1" x14ac:dyDescent="0.25">
      <c r="A390" s="2" t="s">
        <v>2212</v>
      </c>
      <c r="B390" s="2" t="s">
        <v>67</v>
      </c>
      <c r="C390" s="2" t="s">
        <v>77</v>
      </c>
      <c r="D390" s="2" t="s">
        <v>1442</v>
      </c>
      <c r="E390" s="2">
        <v>5</v>
      </c>
      <c r="F390" s="2">
        <v>29.236775000000002</v>
      </c>
      <c r="G390" s="2">
        <v>-83.145456999999993</v>
      </c>
      <c r="H390" s="2" t="s">
        <v>34</v>
      </c>
      <c r="I390" s="2" t="s">
        <v>46</v>
      </c>
      <c r="J390" s="2" t="s">
        <v>34</v>
      </c>
      <c r="K390" s="2" t="s">
        <v>46</v>
      </c>
      <c r="L390" s="2" t="s">
        <v>46</v>
      </c>
      <c r="M390" s="2" t="s">
        <v>34</v>
      </c>
      <c r="N390" s="2" t="s">
        <v>34</v>
      </c>
      <c r="O390" s="2" t="s">
        <v>34</v>
      </c>
      <c r="P390" s="3">
        <v>45077</v>
      </c>
      <c r="Q390" s="3">
        <v>73050</v>
      </c>
      <c r="R390" s="2" t="s">
        <v>1443</v>
      </c>
      <c r="S390" s="2" t="s">
        <v>70</v>
      </c>
    </row>
    <row r="391" spans="1:19" hidden="1" x14ac:dyDescent="0.25">
      <c r="A391" s="2" t="s">
        <v>2213</v>
      </c>
      <c r="B391" s="2" t="s">
        <v>67</v>
      </c>
      <c r="C391" s="2" t="s">
        <v>77</v>
      </c>
      <c r="D391" s="2" t="s">
        <v>1444</v>
      </c>
      <c r="E391" s="2">
        <v>6</v>
      </c>
      <c r="F391" s="2">
        <v>29.230951999999998</v>
      </c>
      <c r="G391" s="2">
        <v>-83.137834999999995</v>
      </c>
      <c r="H391" s="2" t="s">
        <v>34</v>
      </c>
      <c r="I391" s="2" t="s">
        <v>46</v>
      </c>
      <c r="J391" s="2" t="s">
        <v>34</v>
      </c>
      <c r="K391" s="2" t="s">
        <v>46</v>
      </c>
      <c r="L391" s="2" t="s">
        <v>46</v>
      </c>
      <c r="M391" s="2" t="s">
        <v>34</v>
      </c>
      <c r="N391" s="2" t="s">
        <v>34</v>
      </c>
      <c r="O391" s="2" t="s">
        <v>34</v>
      </c>
      <c r="P391" s="3">
        <v>45077</v>
      </c>
      <c r="Q391" s="3">
        <v>73050</v>
      </c>
      <c r="R391" s="2" t="s">
        <v>1445</v>
      </c>
      <c r="S391" s="2" t="s">
        <v>70</v>
      </c>
    </row>
    <row r="392" spans="1:19" hidden="1" x14ac:dyDescent="0.25">
      <c r="A392" s="2" t="s">
        <v>2214</v>
      </c>
      <c r="B392" s="2" t="s">
        <v>67</v>
      </c>
      <c r="C392" s="2" t="s">
        <v>77</v>
      </c>
      <c r="D392" s="2" t="s">
        <v>1446</v>
      </c>
      <c r="E392" s="2">
        <v>1</v>
      </c>
      <c r="F392" s="2">
        <v>29.264115</v>
      </c>
      <c r="G392" s="2">
        <v>-83.110787000000002</v>
      </c>
      <c r="H392" s="2" t="s">
        <v>34</v>
      </c>
      <c r="I392" s="2" t="s">
        <v>46</v>
      </c>
      <c r="J392" s="2" t="s">
        <v>34</v>
      </c>
      <c r="K392" s="2" t="s">
        <v>46</v>
      </c>
      <c r="L392" s="2" t="s">
        <v>46</v>
      </c>
      <c r="M392" s="2" t="s">
        <v>34</v>
      </c>
      <c r="N392" s="2" t="s">
        <v>34</v>
      </c>
      <c r="O392" s="2" t="s">
        <v>34</v>
      </c>
      <c r="P392" s="3">
        <v>45077</v>
      </c>
      <c r="Q392" s="3">
        <v>73050</v>
      </c>
      <c r="R392" s="2" t="s">
        <v>1447</v>
      </c>
      <c r="S392" s="2" t="s">
        <v>70</v>
      </c>
    </row>
    <row r="393" spans="1:19" hidden="1" x14ac:dyDescent="0.25">
      <c r="A393" s="2" t="s">
        <v>2215</v>
      </c>
      <c r="B393" s="2" t="s">
        <v>67</v>
      </c>
      <c r="C393" s="2" t="s">
        <v>77</v>
      </c>
      <c r="D393" s="2" t="s">
        <v>1448</v>
      </c>
      <c r="E393" s="2">
        <v>2</v>
      </c>
      <c r="F393" s="2">
        <v>29.265635</v>
      </c>
      <c r="G393" s="2">
        <v>-83.117403999999993</v>
      </c>
      <c r="H393" s="2" t="s">
        <v>34</v>
      </c>
      <c r="I393" s="2" t="s">
        <v>46</v>
      </c>
      <c r="J393" s="2" t="s">
        <v>34</v>
      </c>
      <c r="K393" s="2" t="s">
        <v>46</v>
      </c>
      <c r="L393" s="2" t="s">
        <v>46</v>
      </c>
      <c r="M393" s="2" t="s">
        <v>34</v>
      </c>
      <c r="N393" s="2" t="s">
        <v>34</v>
      </c>
      <c r="O393" s="2" t="s">
        <v>34</v>
      </c>
      <c r="P393" s="3">
        <v>45077</v>
      </c>
      <c r="Q393" s="3">
        <v>73050</v>
      </c>
      <c r="R393" s="2" t="s">
        <v>1449</v>
      </c>
      <c r="S393" s="2" t="s">
        <v>70</v>
      </c>
    </row>
    <row r="394" spans="1:19" hidden="1" x14ac:dyDescent="0.25">
      <c r="A394" s="2" t="s">
        <v>2216</v>
      </c>
      <c r="B394" s="2" t="s">
        <v>67</v>
      </c>
      <c r="C394" s="2" t="s">
        <v>77</v>
      </c>
      <c r="D394" s="2" t="s">
        <v>1450</v>
      </c>
      <c r="E394" s="2">
        <v>3</v>
      </c>
      <c r="F394" s="2">
        <v>29.262910999999999</v>
      </c>
      <c r="G394" s="2">
        <v>-83.104777999999996</v>
      </c>
      <c r="H394" s="2" t="s">
        <v>34</v>
      </c>
      <c r="I394" s="2" t="s">
        <v>46</v>
      </c>
      <c r="J394" s="2" t="s">
        <v>34</v>
      </c>
      <c r="K394" s="2" t="s">
        <v>46</v>
      </c>
      <c r="L394" s="2" t="s">
        <v>46</v>
      </c>
      <c r="M394" s="2" t="s">
        <v>34</v>
      </c>
      <c r="N394" s="2" t="s">
        <v>34</v>
      </c>
      <c r="O394" s="2" t="s">
        <v>34</v>
      </c>
      <c r="P394" s="3">
        <v>45077</v>
      </c>
      <c r="Q394" s="3">
        <v>73050</v>
      </c>
      <c r="R394" s="2" t="s">
        <v>1451</v>
      </c>
      <c r="S394" s="2" t="s">
        <v>70</v>
      </c>
    </row>
    <row r="395" spans="1:19" hidden="1" x14ac:dyDescent="0.25">
      <c r="A395" s="2" t="s">
        <v>2217</v>
      </c>
      <c r="B395" s="2" t="s">
        <v>67</v>
      </c>
      <c r="C395" s="2" t="s">
        <v>77</v>
      </c>
      <c r="D395" s="2" t="s">
        <v>1452</v>
      </c>
      <c r="E395" s="2">
        <v>4</v>
      </c>
      <c r="F395" s="2">
        <v>29.267520999999999</v>
      </c>
      <c r="G395" s="2">
        <v>-83.107699999999994</v>
      </c>
      <c r="H395" s="2" t="s">
        <v>34</v>
      </c>
      <c r="I395" s="2" t="s">
        <v>46</v>
      </c>
      <c r="J395" s="2" t="s">
        <v>34</v>
      </c>
      <c r="K395" s="2" t="s">
        <v>46</v>
      </c>
      <c r="L395" s="2" t="s">
        <v>46</v>
      </c>
      <c r="M395" s="2" t="s">
        <v>34</v>
      </c>
      <c r="N395" s="2" t="s">
        <v>34</v>
      </c>
      <c r="O395" s="2" t="s">
        <v>34</v>
      </c>
      <c r="P395" s="3">
        <v>45077</v>
      </c>
      <c r="Q395" s="3">
        <v>73050</v>
      </c>
      <c r="R395" s="2" t="s">
        <v>1453</v>
      </c>
      <c r="S395" s="2" t="s">
        <v>70</v>
      </c>
    </row>
    <row r="396" spans="1:19" hidden="1" x14ac:dyDescent="0.25">
      <c r="A396" s="2" t="s">
        <v>2218</v>
      </c>
      <c r="B396" s="2" t="s">
        <v>67</v>
      </c>
      <c r="C396" s="2" t="s">
        <v>77</v>
      </c>
      <c r="D396" s="2" t="s">
        <v>1454</v>
      </c>
      <c r="E396" s="2">
        <v>5</v>
      </c>
      <c r="F396" s="2">
        <v>29.264074000000001</v>
      </c>
      <c r="G396" s="2">
        <v>-83.112545999999995</v>
      </c>
      <c r="H396" s="2" t="s">
        <v>34</v>
      </c>
      <c r="I396" s="2" t="s">
        <v>46</v>
      </c>
      <c r="J396" s="2" t="s">
        <v>34</v>
      </c>
      <c r="K396" s="2" t="s">
        <v>46</v>
      </c>
      <c r="L396" s="2" t="s">
        <v>46</v>
      </c>
      <c r="M396" s="2" t="s">
        <v>34</v>
      </c>
      <c r="N396" s="2" t="s">
        <v>34</v>
      </c>
      <c r="O396" s="2" t="s">
        <v>34</v>
      </c>
      <c r="P396" s="3">
        <v>45077</v>
      </c>
      <c r="Q396" s="3">
        <v>73050</v>
      </c>
      <c r="R396" s="2" t="s">
        <v>1455</v>
      </c>
      <c r="S396" s="2" t="s">
        <v>70</v>
      </c>
    </row>
    <row r="397" spans="1:19" hidden="1" x14ac:dyDescent="0.25">
      <c r="A397" s="2" t="s">
        <v>2219</v>
      </c>
      <c r="B397" s="2" t="s">
        <v>67</v>
      </c>
      <c r="C397" s="2" t="s">
        <v>77</v>
      </c>
      <c r="D397" s="2" t="s">
        <v>1456</v>
      </c>
      <c r="E397" s="2">
        <v>6</v>
      </c>
      <c r="F397" s="2">
        <v>29.269030000000001</v>
      </c>
      <c r="G397" s="2">
        <v>-83.112424000000004</v>
      </c>
      <c r="H397" s="2" t="s">
        <v>34</v>
      </c>
      <c r="I397" s="2" t="s">
        <v>46</v>
      </c>
      <c r="J397" s="2" t="s">
        <v>34</v>
      </c>
      <c r="K397" s="2" t="s">
        <v>46</v>
      </c>
      <c r="L397" s="2" t="s">
        <v>46</v>
      </c>
      <c r="M397" s="2" t="s">
        <v>34</v>
      </c>
      <c r="N397" s="2" t="s">
        <v>34</v>
      </c>
      <c r="O397" s="2" t="s">
        <v>34</v>
      </c>
      <c r="P397" s="3">
        <v>45077</v>
      </c>
      <c r="Q397" s="3">
        <v>73050</v>
      </c>
      <c r="R397" s="2" t="s">
        <v>1457</v>
      </c>
      <c r="S397" s="2" t="s">
        <v>70</v>
      </c>
    </row>
    <row r="398" spans="1:19" hidden="1" x14ac:dyDescent="0.25">
      <c r="A398" s="2" t="s">
        <v>2220</v>
      </c>
      <c r="B398" s="2" t="s">
        <v>67</v>
      </c>
      <c r="C398" s="2" t="s">
        <v>77</v>
      </c>
      <c r="D398" s="2" t="s">
        <v>1458</v>
      </c>
      <c r="E398" s="2">
        <v>1</v>
      </c>
      <c r="F398" s="2">
        <v>29.238714000000002</v>
      </c>
      <c r="G398" s="2">
        <v>-83.071095999999997</v>
      </c>
      <c r="H398" s="2" t="s">
        <v>34</v>
      </c>
      <c r="I398" s="2" t="s">
        <v>46</v>
      </c>
      <c r="J398" s="2" t="s">
        <v>34</v>
      </c>
      <c r="K398" s="2" t="s">
        <v>46</v>
      </c>
      <c r="L398" s="2" t="s">
        <v>46</v>
      </c>
      <c r="M398" s="2" t="s">
        <v>34</v>
      </c>
      <c r="N398" s="2" t="s">
        <v>34</v>
      </c>
      <c r="O398" s="2" t="s">
        <v>34</v>
      </c>
      <c r="P398" s="3">
        <v>45077</v>
      </c>
      <c r="Q398" s="3">
        <v>73050</v>
      </c>
      <c r="R398" s="2" t="s">
        <v>1459</v>
      </c>
      <c r="S398" s="2" t="s">
        <v>70</v>
      </c>
    </row>
    <row r="399" spans="1:19" hidden="1" x14ac:dyDescent="0.25">
      <c r="A399" s="2" t="s">
        <v>2221</v>
      </c>
      <c r="B399" s="2" t="s">
        <v>67</v>
      </c>
      <c r="C399" s="2" t="s">
        <v>77</v>
      </c>
      <c r="D399" s="2" t="s">
        <v>1460</v>
      </c>
      <c r="E399" s="2">
        <v>2</v>
      </c>
      <c r="F399" s="2">
        <v>29.239916000000001</v>
      </c>
      <c r="G399" s="2">
        <v>-83.073884000000007</v>
      </c>
      <c r="H399" s="2" t="s">
        <v>34</v>
      </c>
      <c r="I399" s="2" t="s">
        <v>46</v>
      </c>
      <c r="J399" s="2" t="s">
        <v>34</v>
      </c>
      <c r="K399" s="2" t="s">
        <v>46</v>
      </c>
      <c r="L399" s="2" t="s">
        <v>46</v>
      </c>
      <c r="M399" s="2" t="s">
        <v>34</v>
      </c>
      <c r="N399" s="2" t="s">
        <v>34</v>
      </c>
      <c r="O399" s="2" t="s">
        <v>34</v>
      </c>
      <c r="P399" s="3">
        <v>45077</v>
      </c>
      <c r="Q399" s="3">
        <v>73050</v>
      </c>
      <c r="R399" s="2" t="s">
        <v>1461</v>
      </c>
      <c r="S399" s="2" t="s">
        <v>70</v>
      </c>
    </row>
    <row r="400" spans="1:19" hidden="1" x14ac:dyDescent="0.25">
      <c r="A400" s="2" t="s">
        <v>2222</v>
      </c>
      <c r="B400" s="2" t="s">
        <v>67</v>
      </c>
      <c r="C400" s="2" t="s">
        <v>77</v>
      </c>
      <c r="D400" s="2" t="s">
        <v>1462</v>
      </c>
      <c r="E400" s="2">
        <v>3</v>
      </c>
      <c r="F400" s="2">
        <v>29.238382000000001</v>
      </c>
      <c r="G400" s="2">
        <v>-83.077701000000005</v>
      </c>
      <c r="H400" s="2" t="s">
        <v>34</v>
      </c>
      <c r="I400" s="2" t="s">
        <v>46</v>
      </c>
      <c r="J400" s="2" t="s">
        <v>34</v>
      </c>
      <c r="K400" s="2" t="s">
        <v>46</v>
      </c>
      <c r="L400" s="2" t="s">
        <v>46</v>
      </c>
      <c r="M400" s="2" t="s">
        <v>34</v>
      </c>
      <c r="N400" s="2" t="s">
        <v>34</v>
      </c>
      <c r="O400" s="2" t="s">
        <v>34</v>
      </c>
      <c r="P400" s="3">
        <v>45077</v>
      </c>
      <c r="Q400" s="3">
        <v>73050</v>
      </c>
      <c r="R400" s="2" t="s">
        <v>1463</v>
      </c>
      <c r="S400" s="2" t="s">
        <v>70</v>
      </c>
    </row>
    <row r="401" spans="1:19" hidden="1" x14ac:dyDescent="0.25">
      <c r="A401" s="2" t="s">
        <v>2223</v>
      </c>
      <c r="B401" s="2" t="s">
        <v>67</v>
      </c>
      <c r="C401" s="2" t="s">
        <v>77</v>
      </c>
      <c r="D401" s="2" t="s">
        <v>1464</v>
      </c>
      <c r="E401" s="2">
        <v>4</v>
      </c>
      <c r="F401" s="2">
        <v>29.234109</v>
      </c>
      <c r="G401" s="2">
        <v>-83.071511999999998</v>
      </c>
      <c r="H401" s="2" t="s">
        <v>34</v>
      </c>
      <c r="I401" s="2" t="s">
        <v>46</v>
      </c>
      <c r="J401" s="2" t="s">
        <v>34</v>
      </c>
      <c r="K401" s="2" t="s">
        <v>46</v>
      </c>
      <c r="L401" s="2" t="s">
        <v>46</v>
      </c>
      <c r="M401" s="2" t="s">
        <v>34</v>
      </c>
      <c r="N401" s="2" t="s">
        <v>34</v>
      </c>
      <c r="O401" s="2" t="s">
        <v>34</v>
      </c>
      <c r="P401" s="3">
        <v>45077</v>
      </c>
      <c r="Q401" s="3">
        <v>73050</v>
      </c>
      <c r="R401" s="2" t="s">
        <v>1465</v>
      </c>
      <c r="S401" s="2" t="s">
        <v>70</v>
      </c>
    </row>
    <row r="402" spans="1:19" hidden="1" x14ac:dyDescent="0.25">
      <c r="A402" s="2" t="s">
        <v>2224</v>
      </c>
      <c r="B402" s="2" t="s">
        <v>67</v>
      </c>
      <c r="C402" s="2" t="s">
        <v>77</v>
      </c>
      <c r="D402" s="2" t="s">
        <v>1573</v>
      </c>
      <c r="E402" s="2">
        <v>5</v>
      </c>
      <c r="F402" s="2">
        <v>29.230806999999999</v>
      </c>
      <c r="G402" s="2">
        <v>-83.077128000000002</v>
      </c>
      <c r="H402" s="2" t="s">
        <v>34</v>
      </c>
      <c r="I402" s="2" t="s">
        <v>46</v>
      </c>
      <c r="J402" s="2" t="s">
        <v>34</v>
      </c>
      <c r="K402" s="2" t="s">
        <v>46</v>
      </c>
      <c r="L402" s="2" t="s">
        <v>46</v>
      </c>
      <c r="M402" s="2" t="s">
        <v>34</v>
      </c>
      <c r="N402" s="2" t="s">
        <v>34</v>
      </c>
      <c r="O402" s="2" t="s">
        <v>34</v>
      </c>
      <c r="P402" s="3">
        <v>45077</v>
      </c>
      <c r="Q402" s="3">
        <v>73050</v>
      </c>
      <c r="R402" s="2" t="s">
        <v>1574</v>
      </c>
      <c r="S402" s="2" t="s">
        <v>70</v>
      </c>
    </row>
    <row r="403" spans="1:19" hidden="1" x14ac:dyDescent="0.25">
      <c r="A403" s="5" t="s">
        <v>1822</v>
      </c>
      <c r="B403" s="2" t="s">
        <v>31</v>
      </c>
      <c r="C403" s="2" t="s">
        <v>77</v>
      </c>
      <c r="D403" s="2" t="s">
        <v>567</v>
      </c>
      <c r="E403" s="2">
        <v>1</v>
      </c>
      <c r="F403" s="2">
        <v>29.671220000000002</v>
      </c>
      <c r="G403" s="2">
        <v>-84.905699999999996</v>
      </c>
      <c r="H403" s="2" t="s">
        <v>34</v>
      </c>
      <c r="I403" s="2" t="s">
        <v>34</v>
      </c>
      <c r="J403" s="2" t="s">
        <v>34</v>
      </c>
      <c r="K403" s="2" t="s">
        <v>34</v>
      </c>
      <c r="L403" s="2" t="s">
        <v>34</v>
      </c>
      <c r="M403" s="2" t="s">
        <v>34</v>
      </c>
      <c r="N403" s="2" t="s">
        <v>34</v>
      </c>
      <c r="O403" s="2" t="s">
        <v>34</v>
      </c>
      <c r="P403" s="3">
        <v>42156</v>
      </c>
      <c r="Q403" s="3">
        <v>43830</v>
      </c>
      <c r="R403" s="2" t="s">
        <v>568</v>
      </c>
      <c r="S403" s="2" t="s">
        <v>35</v>
      </c>
    </row>
    <row r="404" spans="1:19" hidden="1" x14ac:dyDescent="0.25">
      <c r="A404" s="5" t="s">
        <v>1823</v>
      </c>
      <c r="B404" s="2" t="s">
        <v>31</v>
      </c>
      <c r="C404" s="2" t="s">
        <v>77</v>
      </c>
      <c r="D404" s="2" t="s">
        <v>567</v>
      </c>
      <c r="E404" s="2">
        <v>2</v>
      </c>
      <c r="F404" s="2">
        <v>29.671500000000002</v>
      </c>
      <c r="G404" s="2">
        <v>-84.905119999999997</v>
      </c>
      <c r="H404" s="2" t="s">
        <v>34</v>
      </c>
      <c r="I404" s="2" t="s">
        <v>34</v>
      </c>
      <c r="J404" s="2" t="s">
        <v>34</v>
      </c>
      <c r="K404" s="2" t="s">
        <v>34</v>
      </c>
      <c r="L404" s="2" t="s">
        <v>34</v>
      </c>
      <c r="M404" s="2" t="s">
        <v>34</v>
      </c>
      <c r="N404" s="2" t="s">
        <v>34</v>
      </c>
      <c r="O404" s="2" t="s">
        <v>34</v>
      </c>
      <c r="P404" s="3">
        <v>42156</v>
      </c>
      <c r="Q404" s="3">
        <v>43830</v>
      </c>
      <c r="R404" s="2" t="s">
        <v>569</v>
      </c>
      <c r="S404" s="2" t="s">
        <v>35</v>
      </c>
    </row>
    <row r="405" spans="1:19" hidden="1" x14ac:dyDescent="0.25">
      <c r="A405" s="5" t="s">
        <v>1797</v>
      </c>
      <c r="B405" s="2" t="s">
        <v>67</v>
      </c>
      <c r="C405" s="2" t="s">
        <v>34</v>
      </c>
      <c r="D405" s="2" t="s">
        <v>68</v>
      </c>
      <c r="E405" s="2">
        <v>1</v>
      </c>
      <c r="F405" s="2">
        <v>29.435715999999999</v>
      </c>
      <c r="G405" s="2">
        <v>-83.264154000000005</v>
      </c>
      <c r="H405" s="2" t="s">
        <v>46</v>
      </c>
      <c r="I405" s="2" t="s">
        <v>34</v>
      </c>
      <c r="J405" s="2" t="s">
        <v>34</v>
      </c>
      <c r="K405" s="2" t="s">
        <v>46</v>
      </c>
      <c r="L405" s="2" t="s">
        <v>46</v>
      </c>
      <c r="M405" s="2" t="s">
        <v>46</v>
      </c>
      <c r="N405" s="2" t="s">
        <v>34</v>
      </c>
      <c r="O405" s="2" t="s">
        <v>34</v>
      </c>
      <c r="P405" s="3">
        <v>44562</v>
      </c>
      <c r="Q405" s="3">
        <v>73050</v>
      </c>
      <c r="R405" s="2" t="s">
        <v>69</v>
      </c>
      <c r="S405" s="2" t="s">
        <v>70</v>
      </c>
    </row>
    <row r="406" spans="1:19" hidden="1" x14ac:dyDescent="0.25">
      <c r="A406" s="5" t="s">
        <v>1798</v>
      </c>
      <c r="B406" s="2" t="s">
        <v>67</v>
      </c>
      <c r="C406" s="2" t="s">
        <v>34</v>
      </c>
      <c r="D406" s="2" t="s">
        <v>71</v>
      </c>
      <c r="E406" s="2">
        <v>2</v>
      </c>
      <c r="F406" s="2">
        <v>29.429815999999999</v>
      </c>
      <c r="G406" s="2">
        <v>-83.235363000000007</v>
      </c>
      <c r="H406" s="2" t="s">
        <v>46</v>
      </c>
      <c r="I406" s="2" t="s">
        <v>34</v>
      </c>
      <c r="J406" s="2" t="s">
        <v>34</v>
      </c>
      <c r="K406" s="2" t="s">
        <v>46</v>
      </c>
      <c r="L406" s="2" t="s">
        <v>46</v>
      </c>
      <c r="M406" s="2" t="s">
        <v>46</v>
      </c>
      <c r="N406" s="2" t="s">
        <v>34</v>
      </c>
      <c r="O406" s="2" t="s">
        <v>34</v>
      </c>
      <c r="P406" s="3">
        <v>44562</v>
      </c>
      <c r="Q406" s="3">
        <v>73050</v>
      </c>
      <c r="R406" s="2" t="s">
        <v>72</v>
      </c>
      <c r="S406" s="2" t="s">
        <v>70</v>
      </c>
    </row>
    <row r="407" spans="1:19" hidden="1" x14ac:dyDescent="0.25">
      <c r="A407" s="5" t="s">
        <v>1799</v>
      </c>
      <c r="B407" s="2" t="s">
        <v>67</v>
      </c>
      <c r="C407" s="2" t="s">
        <v>34</v>
      </c>
      <c r="D407" s="2" t="s">
        <v>73</v>
      </c>
      <c r="E407" s="2">
        <v>3</v>
      </c>
      <c r="F407" s="2">
        <v>29.416340999999999</v>
      </c>
      <c r="G407" s="2">
        <v>-83.240882999999997</v>
      </c>
      <c r="H407" s="2" t="s">
        <v>46</v>
      </c>
      <c r="I407" s="2" t="s">
        <v>34</v>
      </c>
      <c r="J407" s="2" t="s">
        <v>34</v>
      </c>
      <c r="K407" s="2" t="s">
        <v>46</v>
      </c>
      <c r="L407" s="2" t="s">
        <v>46</v>
      </c>
      <c r="M407" s="2" t="s">
        <v>46</v>
      </c>
      <c r="N407" s="2" t="s">
        <v>34</v>
      </c>
      <c r="O407" s="2" t="s">
        <v>34</v>
      </c>
      <c r="P407" s="3">
        <v>44562</v>
      </c>
      <c r="Q407" s="3">
        <v>73050</v>
      </c>
      <c r="R407" s="2" t="s">
        <v>74</v>
      </c>
      <c r="S407" s="2" t="s">
        <v>70</v>
      </c>
    </row>
    <row r="408" spans="1:19" hidden="1" x14ac:dyDescent="0.25">
      <c r="A408" s="5" t="s">
        <v>1800</v>
      </c>
      <c r="B408" s="2" t="s">
        <v>67</v>
      </c>
      <c r="C408" s="2" t="s">
        <v>34</v>
      </c>
      <c r="D408" s="2" t="s">
        <v>75</v>
      </c>
      <c r="E408" s="2">
        <v>4</v>
      </c>
      <c r="F408" s="2">
        <v>29.409869</v>
      </c>
      <c r="G408" s="2">
        <v>-83.215147000000002</v>
      </c>
      <c r="H408" s="2" t="s">
        <v>46</v>
      </c>
      <c r="I408" s="2" t="s">
        <v>34</v>
      </c>
      <c r="J408" s="2" t="s">
        <v>34</v>
      </c>
      <c r="K408" s="2" t="s">
        <v>46</v>
      </c>
      <c r="L408" s="2" t="s">
        <v>46</v>
      </c>
      <c r="M408" s="2" t="s">
        <v>46</v>
      </c>
      <c r="N408" s="2" t="s">
        <v>34</v>
      </c>
      <c r="O408" s="2" t="s">
        <v>34</v>
      </c>
      <c r="P408" s="3">
        <v>44562</v>
      </c>
      <c r="Q408" s="3">
        <v>73050</v>
      </c>
      <c r="R408" s="2" t="s">
        <v>76</v>
      </c>
      <c r="S408" s="2" t="s">
        <v>70</v>
      </c>
    </row>
    <row r="409" spans="1:19" hidden="1" x14ac:dyDescent="0.25">
      <c r="A409" s="5" t="s">
        <v>1801</v>
      </c>
      <c r="B409" s="2" t="s">
        <v>67</v>
      </c>
      <c r="C409" s="2" t="s">
        <v>77</v>
      </c>
      <c r="D409" s="2" t="s">
        <v>78</v>
      </c>
      <c r="E409" s="2">
        <v>5</v>
      </c>
      <c r="F409" s="2">
        <v>29.363316999999999</v>
      </c>
      <c r="G409" s="2">
        <v>-83.182406999999998</v>
      </c>
      <c r="H409" s="2" t="s">
        <v>46</v>
      </c>
      <c r="I409" s="2" t="s">
        <v>34</v>
      </c>
      <c r="J409" s="2" t="s">
        <v>34</v>
      </c>
      <c r="K409" s="2" t="s">
        <v>46</v>
      </c>
      <c r="L409" s="2" t="s">
        <v>46</v>
      </c>
      <c r="M409" s="2" t="s">
        <v>46</v>
      </c>
      <c r="N409" s="2" t="s">
        <v>34</v>
      </c>
      <c r="O409" s="2" t="s">
        <v>34</v>
      </c>
      <c r="P409" s="3">
        <v>44562</v>
      </c>
      <c r="Q409" s="3">
        <v>73050</v>
      </c>
      <c r="R409" s="2" t="s">
        <v>79</v>
      </c>
      <c r="S409" s="2" t="s">
        <v>70</v>
      </c>
    </row>
    <row r="410" spans="1:19" hidden="1" x14ac:dyDescent="0.25">
      <c r="A410" s="5" t="s">
        <v>1802</v>
      </c>
      <c r="B410" s="2" t="s">
        <v>67</v>
      </c>
      <c r="C410" s="2" t="s">
        <v>77</v>
      </c>
      <c r="D410" s="2" t="s">
        <v>80</v>
      </c>
      <c r="E410" s="2">
        <v>6</v>
      </c>
      <c r="F410" s="2">
        <v>29.296233000000001</v>
      </c>
      <c r="G410" s="2">
        <v>-83.184460000000001</v>
      </c>
      <c r="H410" s="2" t="s">
        <v>46</v>
      </c>
      <c r="I410" s="2" t="s">
        <v>34</v>
      </c>
      <c r="J410" s="2" t="s">
        <v>34</v>
      </c>
      <c r="K410" s="2" t="s">
        <v>46</v>
      </c>
      <c r="L410" s="2" t="s">
        <v>46</v>
      </c>
      <c r="M410" s="2" t="s">
        <v>46</v>
      </c>
      <c r="N410" s="2" t="s">
        <v>34</v>
      </c>
      <c r="O410" s="2" t="s">
        <v>34</v>
      </c>
      <c r="P410" s="3">
        <v>44562</v>
      </c>
      <c r="Q410" s="3">
        <v>73050</v>
      </c>
      <c r="R410" s="2" t="s">
        <v>81</v>
      </c>
      <c r="S410" s="2" t="s">
        <v>70</v>
      </c>
    </row>
    <row r="411" spans="1:19" hidden="1" x14ac:dyDescent="0.25">
      <c r="A411" s="5" t="s">
        <v>1803</v>
      </c>
      <c r="B411" s="2" t="s">
        <v>67</v>
      </c>
      <c r="C411" s="2" t="s">
        <v>77</v>
      </c>
      <c r="D411" s="2" t="s">
        <v>82</v>
      </c>
      <c r="E411" s="2">
        <v>7</v>
      </c>
      <c r="F411" s="2">
        <v>29.260636000000002</v>
      </c>
      <c r="G411" s="2">
        <v>-83.109335999999999</v>
      </c>
      <c r="H411" s="2" t="s">
        <v>46</v>
      </c>
      <c r="I411" s="2" t="s">
        <v>34</v>
      </c>
      <c r="J411" s="2" t="s">
        <v>34</v>
      </c>
      <c r="K411" s="2" t="s">
        <v>46</v>
      </c>
      <c r="L411" s="2" t="s">
        <v>46</v>
      </c>
      <c r="M411" s="2" t="s">
        <v>46</v>
      </c>
      <c r="N411" s="2" t="s">
        <v>34</v>
      </c>
      <c r="O411" s="2" t="s">
        <v>34</v>
      </c>
      <c r="P411" s="3">
        <v>44562</v>
      </c>
      <c r="Q411" s="3">
        <v>73050</v>
      </c>
      <c r="R411" s="2" t="s">
        <v>83</v>
      </c>
      <c r="S411" s="2" t="s">
        <v>70</v>
      </c>
    </row>
    <row r="412" spans="1:19" hidden="1" x14ac:dyDescent="0.25">
      <c r="A412" s="5" t="s">
        <v>1804</v>
      </c>
      <c r="B412" s="2" t="s">
        <v>67</v>
      </c>
      <c r="C412" s="2" t="s">
        <v>77</v>
      </c>
      <c r="D412" s="2" t="s">
        <v>84</v>
      </c>
      <c r="E412" s="2">
        <v>8</v>
      </c>
      <c r="F412" s="2">
        <v>29.236376</v>
      </c>
      <c r="G412" s="2">
        <v>-83.075220000000002</v>
      </c>
      <c r="H412" s="2" t="s">
        <v>46</v>
      </c>
      <c r="I412" s="2" t="s">
        <v>34</v>
      </c>
      <c r="J412" s="2" t="s">
        <v>34</v>
      </c>
      <c r="K412" s="2" t="s">
        <v>46</v>
      </c>
      <c r="L412" s="2" t="s">
        <v>46</v>
      </c>
      <c r="M412" s="2" t="s">
        <v>46</v>
      </c>
      <c r="N412" s="2" t="s">
        <v>34</v>
      </c>
      <c r="O412" s="2" t="s">
        <v>34</v>
      </c>
      <c r="P412" s="3">
        <v>44562</v>
      </c>
      <c r="Q412" s="3">
        <v>73050</v>
      </c>
      <c r="R412" s="2" t="s">
        <v>85</v>
      </c>
      <c r="S412" s="2" t="s">
        <v>70</v>
      </c>
    </row>
    <row r="413" spans="1:19" hidden="1" x14ac:dyDescent="0.25">
      <c r="A413" s="5" t="s">
        <v>1805</v>
      </c>
      <c r="B413" s="2" t="s">
        <v>67</v>
      </c>
      <c r="C413" s="2" t="s">
        <v>86</v>
      </c>
      <c r="D413" s="2" t="s">
        <v>87</v>
      </c>
      <c r="E413" s="2">
        <v>9</v>
      </c>
      <c r="F413" s="2">
        <v>29.194807000000001</v>
      </c>
      <c r="G413" s="2">
        <v>-83.083815999999999</v>
      </c>
      <c r="H413" s="2" t="s">
        <v>46</v>
      </c>
      <c r="I413" s="2" t="s">
        <v>34</v>
      </c>
      <c r="J413" s="2" t="s">
        <v>34</v>
      </c>
      <c r="K413" s="2" t="s">
        <v>46</v>
      </c>
      <c r="L413" s="2" t="s">
        <v>46</v>
      </c>
      <c r="M413" s="2" t="s">
        <v>46</v>
      </c>
      <c r="N413" s="2" t="s">
        <v>34</v>
      </c>
      <c r="O413" s="2" t="s">
        <v>34</v>
      </c>
      <c r="P413" s="3">
        <v>44562</v>
      </c>
      <c r="Q413" s="3">
        <v>73050</v>
      </c>
      <c r="R413" s="2" t="s">
        <v>88</v>
      </c>
      <c r="S413" s="2" t="s">
        <v>70</v>
      </c>
    </row>
    <row r="414" spans="1:19" hidden="1" x14ac:dyDescent="0.25">
      <c r="A414" s="5" t="s">
        <v>1806</v>
      </c>
      <c r="B414" s="2" t="s">
        <v>67</v>
      </c>
      <c r="C414" s="2" t="s">
        <v>86</v>
      </c>
      <c r="D414" s="2" t="s">
        <v>89</v>
      </c>
      <c r="E414" s="2">
        <v>10</v>
      </c>
      <c r="F414" s="2">
        <v>29.136063</v>
      </c>
      <c r="G414" s="2">
        <v>-83.055666000000002</v>
      </c>
      <c r="H414" s="2" t="s">
        <v>46</v>
      </c>
      <c r="I414" s="2" t="s">
        <v>34</v>
      </c>
      <c r="J414" s="2" t="s">
        <v>34</v>
      </c>
      <c r="K414" s="2" t="s">
        <v>46</v>
      </c>
      <c r="L414" s="2" t="s">
        <v>46</v>
      </c>
      <c r="M414" s="2" t="s">
        <v>46</v>
      </c>
      <c r="N414" s="2" t="s">
        <v>34</v>
      </c>
      <c r="O414" s="2" t="s">
        <v>34</v>
      </c>
      <c r="P414" s="3">
        <v>44562</v>
      </c>
      <c r="Q414" s="3">
        <v>73050</v>
      </c>
      <c r="R414" s="2" t="s">
        <v>90</v>
      </c>
      <c r="S414" s="2" t="s">
        <v>70</v>
      </c>
    </row>
    <row r="415" spans="1:19" hidden="1" x14ac:dyDescent="0.25">
      <c r="A415" s="5" t="s">
        <v>1807</v>
      </c>
      <c r="B415" s="2" t="s">
        <v>67</v>
      </c>
      <c r="C415" s="2" t="s">
        <v>86</v>
      </c>
      <c r="D415" s="2" t="s">
        <v>91</v>
      </c>
      <c r="E415" s="2">
        <v>11</v>
      </c>
      <c r="F415" s="2">
        <v>29.154803000000001</v>
      </c>
      <c r="G415" s="2">
        <v>-82.995542999999998</v>
      </c>
      <c r="H415" s="2" t="s">
        <v>46</v>
      </c>
      <c r="I415" s="2" t="s">
        <v>34</v>
      </c>
      <c r="J415" s="2" t="s">
        <v>34</v>
      </c>
      <c r="K415" s="2" t="s">
        <v>46</v>
      </c>
      <c r="L415" s="2" t="s">
        <v>46</v>
      </c>
      <c r="M415" s="2" t="s">
        <v>46</v>
      </c>
      <c r="N415" s="2" t="s">
        <v>34</v>
      </c>
      <c r="O415" s="2" t="s">
        <v>34</v>
      </c>
      <c r="P415" s="3">
        <v>44562</v>
      </c>
      <c r="Q415" s="3">
        <v>73050</v>
      </c>
      <c r="R415" s="2" t="s">
        <v>92</v>
      </c>
      <c r="S415" s="2" t="s">
        <v>70</v>
      </c>
    </row>
    <row r="416" spans="1:19" hidden="1" x14ac:dyDescent="0.25">
      <c r="A416" s="5" t="s">
        <v>1808</v>
      </c>
      <c r="B416" s="2" t="s">
        <v>67</v>
      </c>
      <c r="C416" s="2" t="s">
        <v>86</v>
      </c>
      <c r="D416" s="2" t="s">
        <v>93</v>
      </c>
      <c r="E416" s="2">
        <v>12</v>
      </c>
      <c r="F416" s="2">
        <v>29.172815</v>
      </c>
      <c r="G416" s="2">
        <v>-82.989328</v>
      </c>
      <c r="H416" s="2" t="s">
        <v>46</v>
      </c>
      <c r="I416" s="2" t="s">
        <v>34</v>
      </c>
      <c r="J416" s="2" t="s">
        <v>34</v>
      </c>
      <c r="K416" s="2" t="s">
        <v>46</v>
      </c>
      <c r="L416" s="2" t="s">
        <v>46</v>
      </c>
      <c r="M416" s="2" t="s">
        <v>46</v>
      </c>
      <c r="N416" s="2" t="s">
        <v>34</v>
      </c>
      <c r="O416" s="2" t="s">
        <v>34</v>
      </c>
      <c r="P416" s="3">
        <v>44562</v>
      </c>
      <c r="Q416" s="3">
        <v>73050</v>
      </c>
      <c r="R416" s="2" t="s">
        <v>94</v>
      </c>
      <c r="S416" s="2" t="s">
        <v>70</v>
      </c>
    </row>
    <row r="417" spans="1:19" hidden="1" x14ac:dyDescent="0.25">
      <c r="A417" s="5" t="s">
        <v>1790</v>
      </c>
      <c r="B417" s="2" t="s">
        <v>31</v>
      </c>
      <c r="C417" s="2" t="s">
        <v>32</v>
      </c>
      <c r="D417" s="2" t="s">
        <v>33</v>
      </c>
      <c r="E417" s="2">
        <v>531</v>
      </c>
      <c r="F417" s="2">
        <v>29.715910000000001</v>
      </c>
      <c r="G417" s="2">
        <v>-84.884110000000007</v>
      </c>
      <c r="H417" s="2" t="s">
        <v>34</v>
      </c>
      <c r="I417" s="2" t="s">
        <v>34</v>
      </c>
      <c r="J417" s="2" t="s">
        <v>34</v>
      </c>
      <c r="K417" s="2" t="s">
        <v>34</v>
      </c>
      <c r="L417" s="2" t="s">
        <v>34</v>
      </c>
      <c r="M417" s="2" t="s">
        <v>34</v>
      </c>
      <c r="N417" s="2" t="s">
        <v>34</v>
      </c>
      <c r="O417" s="2" t="s">
        <v>34</v>
      </c>
      <c r="P417" s="3">
        <v>45200</v>
      </c>
      <c r="Q417" s="3">
        <v>73050</v>
      </c>
      <c r="R417" s="2" t="s">
        <v>33</v>
      </c>
      <c r="S417" s="2" t="s">
        <v>35</v>
      </c>
    </row>
    <row r="418" spans="1:19" hidden="1" x14ac:dyDescent="0.25">
      <c r="A418" s="5" t="s">
        <v>1791</v>
      </c>
      <c r="B418" s="2" t="s">
        <v>31</v>
      </c>
      <c r="C418" s="2" t="s">
        <v>32</v>
      </c>
      <c r="D418" s="2" t="s">
        <v>36</v>
      </c>
      <c r="E418" s="2">
        <v>532</v>
      </c>
      <c r="F418" s="2">
        <v>29.702369999999998</v>
      </c>
      <c r="G418" s="2">
        <v>-84.882919999999999</v>
      </c>
      <c r="H418" s="2" t="s">
        <v>34</v>
      </c>
      <c r="I418" s="2" t="s">
        <v>34</v>
      </c>
      <c r="J418" s="2" t="s">
        <v>34</v>
      </c>
      <c r="K418" s="2" t="s">
        <v>34</v>
      </c>
      <c r="L418" s="2" t="s">
        <v>34</v>
      </c>
      <c r="M418" s="2" t="s">
        <v>34</v>
      </c>
      <c r="N418" s="2" t="s">
        <v>34</v>
      </c>
      <c r="O418" s="2" t="s">
        <v>34</v>
      </c>
      <c r="P418" s="3">
        <v>45200</v>
      </c>
      <c r="Q418" s="3">
        <v>73050</v>
      </c>
      <c r="R418" s="2" t="s">
        <v>36</v>
      </c>
      <c r="S418" s="2" t="s">
        <v>35</v>
      </c>
    </row>
    <row r="419" spans="1:19" hidden="1" x14ac:dyDescent="0.25">
      <c r="A419" s="5" t="s">
        <v>1792</v>
      </c>
      <c r="B419" s="2" t="s">
        <v>31</v>
      </c>
      <c r="C419" s="2" t="s">
        <v>32</v>
      </c>
      <c r="D419" s="2" t="s">
        <v>37</v>
      </c>
      <c r="E419" s="2">
        <v>533</v>
      </c>
      <c r="F419" s="2">
        <v>29.705020000000001</v>
      </c>
      <c r="G419" s="2">
        <v>-84.873019999999997</v>
      </c>
      <c r="H419" s="2" t="s">
        <v>34</v>
      </c>
      <c r="I419" s="2" t="s">
        <v>34</v>
      </c>
      <c r="J419" s="2" t="s">
        <v>34</v>
      </c>
      <c r="K419" s="2" t="s">
        <v>34</v>
      </c>
      <c r="L419" s="2" t="s">
        <v>34</v>
      </c>
      <c r="M419" s="2" t="s">
        <v>34</v>
      </c>
      <c r="N419" s="2" t="s">
        <v>34</v>
      </c>
      <c r="O419" s="2" t="s">
        <v>34</v>
      </c>
      <c r="P419" s="3">
        <v>45200</v>
      </c>
      <c r="Q419" s="3">
        <v>73050</v>
      </c>
      <c r="R419" s="2" t="s">
        <v>37</v>
      </c>
      <c r="S419" s="2" t="s">
        <v>35</v>
      </c>
    </row>
    <row r="420" spans="1:19" hidden="1" x14ac:dyDescent="0.25">
      <c r="A420" s="5" t="s">
        <v>1793</v>
      </c>
      <c r="B420" s="2" t="s">
        <v>31</v>
      </c>
      <c r="C420" s="2" t="s">
        <v>32</v>
      </c>
      <c r="D420" s="2" t="s">
        <v>38</v>
      </c>
      <c r="E420" s="2">
        <v>534</v>
      </c>
      <c r="F420" s="2">
        <v>29.68807</v>
      </c>
      <c r="G420" s="2">
        <v>-84.873500000000007</v>
      </c>
      <c r="H420" s="2" t="s">
        <v>34</v>
      </c>
      <c r="I420" s="2" t="s">
        <v>34</v>
      </c>
      <c r="J420" s="2" t="s">
        <v>34</v>
      </c>
      <c r="K420" s="2" t="s">
        <v>34</v>
      </c>
      <c r="L420" s="2" t="s">
        <v>34</v>
      </c>
      <c r="M420" s="2" t="s">
        <v>34</v>
      </c>
      <c r="N420" s="2" t="s">
        <v>34</v>
      </c>
      <c r="O420" s="2" t="s">
        <v>34</v>
      </c>
      <c r="P420" s="3">
        <v>45200</v>
      </c>
      <c r="Q420" s="3">
        <v>73050</v>
      </c>
      <c r="R420" s="2" t="s">
        <v>38</v>
      </c>
      <c r="S420" s="2" t="s">
        <v>35</v>
      </c>
    </row>
    <row r="421" spans="1:19" hidden="1" x14ac:dyDescent="0.25">
      <c r="A421" s="5" t="s">
        <v>1794</v>
      </c>
      <c r="B421" s="2" t="s">
        <v>31</v>
      </c>
      <c r="C421" s="2" t="s">
        <v>32</v>
      </c>
      <c r="D421" s="2" t="s">
        <v>39</v>
      </c>
      <c r="E421" s="2">
        <v>535</v>
      </c>
      <c r="F421" s="2">
        <v>29.68177</v>
      </c>
      <c r="G421" s="2">
        <v>-84.869339999999994</v>
      </c>
      <c r="H421" s="2" t="s">
        <v>34</v>
      </c>
      <c r="I421" s="2" t="s">
        <v>34</v>
      </c>
      <c r="J421" s="2" t="s">
        <v>34</v>
      </c>
      <c r="K421" s="2" t="s">
        <v>34</v>
      </c>
      <c r="L421" s="2" t="s">
        <v>34</v>
      </c>
      <c r="M421" s="2" t="s">
        <v>34</v>
      </c>
      <c r="N421" s="2" t="s">
        <v>34</v>
      </c>
      <c r="O421" s="2" t="s">
        <v>34</v>
      </c>
      <c r="P421" s="3">
        <v>45200</v>
      </c>
      <c r="Q421" s="3">
        <v>73050</v>
      </c>
      <c r="R421" s="2" t="s">
        <v>39</v>
      </c>
      <c r="S421" s="2" t="s">
        <v>35</v>
      </c>
    </row>
    <row r="422" spans="1:19" hidden="1" x14ac:dyDescent="0.25">
      <c r="A422" s="5" t="s">
        <v>1795</v>
      </c>
      <c r="B422" s="2" t="s">
        <v>31</v>
      </c>
      <c r="C422" s="2" t="s">
        <v>32</v>
      </c>
      <c r="D422" s="2" t="s">
        <v>40</v>
      </c>
      <c r="E422" s="2">
        <v>536</v>
      </c>
      <c r="F422" s="2">
        <v>29.702290000000001</v>
      </c>
      <c r="G422" s="2">
        <v>-84.857100000000003</v>
      </c>
      <c r="H422" s="2" t="s">
        <v>34</v>
      </c>
      <c r="I422" s="2" t="s">
        <v>34</v>
      </c>
      <c r="J422" s="2" t="s">
        <v>34</v>
      </c>
      <c r="K422" s="2" t="s">
        <v>34</v>
      </c>
      <c r="L422" s="2" t="s">
        <v>34</v>
      </c>
      <c r="M422" s="2" t="s">
        <v>34</v>
      </c>
      <c r="N422" s="2" t="s">
        <v>34</v>
      </c>
      <c r="O422" s="2" t="s">
        <v>34</v>
      </c>
      <c r="P422" s="3">
        <v>45200</v>
      </c>
      <c r="Q422" s="3">
        <v>73050</v>
      </c>
      <c r="R422" s="2" t="s">
        <v>40</v>
      </c>
      <c r="S422" s="2" t="s">
        <v>35</v>
      </c>
    </row>
    <row r="423" spans="1:19" hidden="1" x14ac:dyDescent="0.25">
      <c r="A423" s="5" t="s">
        <v>1796</v>
      </c>
      <c r="B423" s="2" t="s">
        <v>31</v>
      </c>
      <c r="C423" s="2" t="s">
        <v>32</v>
      </c>
      <c r="D423" s="2" t="s">
        <v>41</v>
      </c>
      <c r="E423" s="2">
        <v>537</v>
      </c>
      <c r="F423" s="2">
        <v>29.707689999999999</v>
      </c>
      <c r="G423" s="2">
        <v>-84.848740000000006</v>
      </c>
      <c r="H423" s="2" t="s">
        <v>34</v>
      </c>
      <c r="I423" s="2" t="s">
        <v>34</v>
      </c>
      <c r="J423" s="2" t="s">
        <v>34</v>
      </c>
      <c r="K423" s="2" t="s">
        <v>34</v>
      </c>
      <c r="L423" s="2" t="s">
        <v>34</v>
      </c>
      <c r="M423" s="2" t="s">
        <v>34</v>
      </c>
      <c r="N423" s="2" t="s">
        <v>34</v>
      </c>
      <c r="O423" s="2" t="s">
        <v>34</v>
      </c>
      <c r="P423" s="3">
        <v>45200</v>
      </c>
      <c r="Q423" s="3">
        <v>73050</v>
      </c>
      <c r="R423" s="2" t="s">
        <v>41</v>
      </c>
      <c r="S423" s="2" t="s">
        <v>35</v>
      </c>
    </row>
    <row r="424" spans="1:19" hidden="1" x14ac:dyDescent="0.25">
      <c r="A424" s="5" t="s">
        <v>1815</v>
      </c>
      <c r="B424" s="2" t="s">
        <v>67</v>
      </c>
      <c r="C424" s="2" t="s">
        <v>77</v>
      </c>
      <c r="D424" s="2" t="s">
        <v>127</v>
      </c>
      <c r="E424" s="2">
        <v>6</v>
      </c>
      <c r="F424" s="2">
        <v>29.23574</v>
      </c>
      <c r="G424" s="2">
        <v>-83.072470999999993</v>
      </c>
      <c r="H424" s="2" t="s">
        <v>34</v>
      </c>
      <c r="I424" s="2" t="s">
        <v>46</v>
      </c>
      <c r="J424" s="2" t="s">
        <v>34</v>
      </c>
      <c r="K424" s="2" t="s">
        <v>46</v>
      </c>
      <c r="L424" s="2" t="s">
        <v>46</v>
      </c>
      <c r="M424" s="2" t="s">
        <v>34</v>
      </c>
      <c r="N424" s="2" t="s">
        <v>34</v>
      </c>
      <c r="O424" s="2" t="s">
        <v>34</v>
      </c>
      <c r="P424" s="3">
        <v>45077</v>
      </c>
      <c r="Q424" s="3">
        <v>73050</v>
      </c>
      <c r="R424" s="2" t="s">
        <v>128</v>
      </c>
      <c r="S424" s="2" t="s">
        <v>70</v>
      </c>
    </row>
    <row r="425" spans="1:19" hidden="1" x14ac:dyDescent="0.25">
      <c r="A425" s="5" t="s">
        <v>1816</v>
      </c>
      <c r="B425" s="2" t="s">
        <v>67</v>
      </c>
      <c r="C425" s="2" t="s">
        <v>77</v>
      </c>
      <c r="D425" s="2" t="s">
        <v>129</v>
      </c>
      <c r="E425" s="2">
        <v>1</v>
      </c>
      <c r="F425" s="2">
        <v>29.267499999999998</v>
      </c>
      <c r="G425" s="2">
        <v>-83.082499999999996</v>
      </c>
      <c r="H425" s="2" t="s">
        <v>34</v>
      </c>
      <c r="I425" s="2" t="s">
        <v>46</v>
      </c>
      <c r="J425" s="2" t="s">
        <v>34</v>
      </c>
      <c r="K425" s="2" t="s">
        <v>46</v>
      </c>
      <c r="L425" s="2" t="s">
        <v>46</v>
      </c>
      <c r="M425" s="2" t="s">
        <v>34</v>
      </c>
      <c r="N425" s="2" t="s">
        <v>34</v>
      </c>
      <c r="O425" s="2" t="s">
        <v>34</v>
      </c>
      <c r="P425" s="3">
        <v>45077</v>
      </c>
      <c r="Q425" s="3">
        <v>73050</v>
      </c>
      <c r="R425" s="2" t="s">
        <v>130</v>
      </c>
      <c r="S425" s="2" t="s">
        <v>70</v>
      </c>
    </row>
    <row r="426" spans="1:19" hidden="1" x14ac:dyDescent="0.25">
      <c r="A426" s="5" t="s">
        <v>1817</v>
      </c>
      <c r="B426" s="2" t="s">
        <v>67</v>
      </c>
      <c r="C426" s="2" t="s">
        <v>77</v>
      </c>
      <c r="D426" s="2" t="s">
        <v>131</v>
      </c>
      <c r="E426" s="2">
        <v>2</v>
      </c>
      <c r="F426" s="2">
        <v>29.259167000000001</v>
      </c>
      <c r="G426" s="2">
        <v>-83.075833000000003</v>
      </c>
      <c r="H426" s="2" t="s">
        <v>34</v>
      </c>
      <c r="I426" s="2" t="s">
        <v>46</v>
      </c>
      <c r="J426" s="2" t="s">
        <v>34</v>
      </c>
      <c r="K426" s="2" t="s">
        <v>46</v>
      </c>
      <c r="L426" s="2" t="s">
        <v>46</v>
      </c>
      <c r="M426" s="2" t="s">
        <v>34</v>
      </c>
      <c r="N426" s="2" t="s">
        <v>34</v>
      </c>
      <c r="O426" s="2" t="s">
        <v>34</v>
      </c>
      <c r="P426" s="3">
        <v>45077</v>
      </c>
      <c r="Q426" s="3">
        <v>73050</v>
      </c>
      <c r="R426" s="2" t="s">
        <v>132</v>
      </c>
      <c r="S426" s="2" t="s">
        <v>70</v>
      </c>
    </row>
    <row r="427" spans="1:19" hidden="1" x14ac:dyDescent="0.25">
      <c r="A427" s="5" t="s">
        <v>1818</v>
      </c>
      <c r="B427" s="2" t="s">
        <v>67</v>
      </c>
      <c r="C427" s="2" t="s">
        <v>77</v>
      </c>
      <c r="D427" s="2" t="s">
        <v>133</v>
      </c>
      <c r="E427" s="2">
        <v>3</v>
      </c>
      <c r="F427" s="2">
        <v>29.264167</v>
      </c>
      <c r="G427" s="2">
        <v>-83.080832999999998</v>
      </c>
      <c r="H427" s="2" t="s">
        <v>34</v>
      </c>
      <c r="I427" s="2" t="s">
        <v>46</v>
      </c>
      <c r="J427" s="2" t="s">
        <v>34</v>
      </c>
      <c r="K427" s="2" t="s">
        <v>46</v>
      </c>
      <c r="L427" s="2" t="s">
        <v>46</v>
      </c>
      <c r="M427" s="2" t="s">
        <v>34</v>
      </c>
      <c r="N427" s="2" t="s">
        <v>34</v>
      </c>
      <c r="O427" s="2" t="s">
        <v>34</v>
      </c>
      <c r="P427" s="3">
        <v>45077</v>
      </c>
      <c r="Q427" s="3">
        <v>73050</v>
      </c>
      <c r="R427" s="2" t="s">
        <v>134</v>
      </c>
      <c r="S427" s="2" t="s">
        <v>70</v>
      </c>
    </row>
    <row r="428" spans="1:19" hidden="1" x14ac:dyDescent="0.25">
      <c r="A428" s="5" t="s">
        <v>1819</v>
      </c>
      <c r="B428" s="2" t="s">
        <v>67</v>
      </c>
      <c r="C428" s="2" t="s">
        <v>77</v>
      </c>
      <c r="D428" s="2" t="s">
        <v>135</v>
      </c>
      <c r="E428" s="2">
        <v>4</v>
      </c>
      <c r="F428" s="2">
        <v>29.265833000000001</v>
      </c>
      <c r="G428" s="2">
        <v>-83.080832999999998</v>
      </c>
      <c r="H428" s="2" t="s">
        <v>34</v>
      </c>
      <c r="I428" s="2" t="s">
        <v>46</v>
      </c>
      <c r="J428" s="2" t="s">
        <v>34</v>
      </c>
      <c r="K428" s="2" t="s">
        <v>46</v>
      </c>
      <c r="L428" s="2" t="s">
        <v>46</v>
      </c>
      <c r="M428" s="2" t="s">
        <v>34</v>
      </c>
      <c r="N428" s="2" t="s">
        <v>34</v>
      </c>
      <c r="O428" s="2" t="s">
        <v>34</v>
      </c>
      <c r="P428" s="3">
        <v>45077</v>
      </c>
      <c r="Q428" s="3">
        <v>73050</v>
      </c>
      <c r="R428" s="2" t="s">
        <v>136</v>
      </c>
      <c r="S428" s="2" t="s">
        <v>70</v>
      </c>
    </row>
    <row r="429" spans="1:19" hidden="1" x14ac:dyDescent="0.25">
      <c r="A429" s="5" t="s">
        <v>1820</v>
      </c>
      <c r="B429" s="2" t="s">
        <v>67</v>
      </c>
      <c r="C429" s="2" t="s">
        <v>77</v>
      </c>
      <c r="D429" s="2" t="s">
        <v>137</v>
      </c>
      <c r="E429" s="2">
        <v>5</v>
      </c>
      <c r="F429" s="2">
        <v>29.260833000000002</v>
      </c>
      <c r="G429" s="2">
        <v>-83.069166999999993</v>
      </c>
      <c r="H429" s="2" t="s">
        <v>34</v>
      </c>
      <c r="I429" s="2" t="s">
        <v>46</v>
      </c>
      <c r="J429" s="2" t="s">
        <v>34</v>
      </c>
      <c r="K429" s="2" t="s">
        <v>46</v>
      </c>
      <c r="L429" s="2" t="s">
        <v>46</v>
      </c>
      <c r="M429" s="2" t="s">
        <v>34</v>
      </c>
      <c r="N429" s="2" t="s">
        <v>34</v>
      </c>
      <c r="O429" s="2" t="s">
        <v>34</v>
      </c>
      <c r="P429" s="3">
        <v>45077</v>
      </c>
      <c r="Q429" s="3">
        <v>73050</v>
      </c>
      <c r="R429" s="2" t="s">
        <v>138</v>
      </c>
      <c r="S429" s="2" t="s">
        <v>70</v>
      </c>
    </row>
    <row r="430" spans="1:19" hidden="1" x14ac:dyDescent="0.25">
      <c r="A430" s="5" t="s">
        <v>1821</v>
      </c>
      <c r="B430" s="2" t="s">
        <v>67</v>
      </c>
      <c r="C430" s="2" t="s">
        <v>77</v>
      </c>
      <c r="D430" s="2" t="s">
        <v>139</v>
      </c>
      <c r="E430" s="2">
        <v>6</v>
      </c>
      <c r="F430" s="2">
        <v>29.260833000000002</v>
      </c>
      <c r="G430" s="2">
        <v>-83.074167000000003</v>
      </c>
      <c r="H430" s="2" t="s">
        <v>34</v>
      </c>
      <c r="I430" s="2" t="s">
        <v>46</v>
      </c>
      <c r="J430" s="2" t="s">
        <v>34</v>
      </c>
      <c r="K430" s="2" t="s">
        <v>46</v>
      </c>
      <c r="L430" s="2" t="s">
        <v>46</v>
      </c>
      <c r="M430" s="2" t="s">
        <v>34</v>
      </c>
      <c r="N430" s="2" t="s">
        <v>34</v>
      </c>
      <c r="O430" s="2" t="s">
        <v>34</v>
      </c>
      <c r="P430" s="3">
        <v>45077</v>
      </c>
      <c r="Q430" s="3">
        <v>73050</v>
      </c>
      <c r="R430" s="2" t="s">
        <v>140</v>
      </c>
      <c r="S430" s="2" t="s">
        <v>70</v>
      </c>
    </row>
    <row r="431" spans="1:19" hidden="1" x14ac:dyDescent="0.25">
      <c r="A431" s="5" t="s">
        <v>1809</v>
      </c>
      <c r="B431" s="2" t="s">
        <v>97</v>
      </c>
      <c r="C431" s="2" t="s">
        <v>77</v>
      </c>
      <c r="D431" s="2" t="s">
        <v>98</v>
      </c>
      <c r="E431" s="2">
        <v>1</v>
      </c>
      <c r="F431" s="2">
        <v>29.074480000000001</v>
      </c>
      <c r="G431" s="2">
        <v>-82.804879999999997</v>
      </c>
      <c r="H431" s="2" t="s">
        <v>46</v>
      </c>
      <c r="I431" s="2" t="s">
        <v>34</v>
      </c>
      <c r="J431" s="2" t="s">
        <v>34</v>
      </c>
      <c r="K431" s="2" t="s">
        <v>34</v>
      </c>
      <c r="L431" s="2" t="s">
        <v>34</v>
      </c>
      <c r="M431" s="2" t="s">
        <v>34</v>
      </c>
      <c r="N431" s="2" t="s">
        <v>34</v>
      </c>
      <c r="O431" s="2" t="s">
        <v>34</v>
      </c>
      <c r="P431" s="3">
        <v>45323</v>
      </c>
      <c r="Q431" s="3">
        <v>73050</v>
      </c>
      <c r="R431" s="2" t="s">
        <v>99</v>
      </c>
      <c r="S431" s="2" t="s">
        <v>100</v>
      </c>
    </row>
    <row r="432" spans="1:19" hidden="1" x14ac:dyDescent="0.25">
      <c r="A432" s="5" t="s">
        <v>1810</v>
      </c>
      <c r="B432" s="2" t="s">
        <v>97</v>
      </c>
      <c r="C432" s="2" t="s">
        <v>77</v>
      </c>
      <c r="D432" s="2" t="s">
        <v>101</v>
      </c>
      <c r="E432" s="2">
        <v>2</v>
      </c>
      <c r="F432" s="2">
        <v>29.071380000000001</v>
      </c>
      <c r="G432" s="2">
        <v>-82.782830000000004</v>
      </c>
      <c r="H432" s="2" t="s">
        <v>46</v>
      </c>
      <c r="I432" s="2" t="s">
        <v>34</v>
      </c>
      <c r="J432" s="2" t="s">
        <v>34</v>
      </c>
      <c r="K432" s="2" t="s">
        <v>34</v>
      </c>
      <c r="L432" s="2" t="s">
        <v>34</v>
      </c>
      <c r="M432" s="2" t="s">
        <v>34</v>
      </c>
      <c r="N432" s="2" t="s">
        <v>34</v>
      </c>
      <c r="O432" s="2" t="s">
        <v>34</v>
      </c>
      <c r="P432" s="3">
        <v>45323</v>
      </c>
      <c r="Q432" s="3">
        <v>73050</v>
      </c>
      <c r="R432" s="2" t="s">
        <v>102</v>
      </c>
      <c r="S432" s="2" t="s">
        <v>100</v>
      </c>
    </row>
    <row r="433" spans="1:19" hidden="1" x14ac:dyDescent="0.25">
      <c r="A433" s="5" t="s">
        <v>1811</v>
      </c>
      <c r="B433" s="2" t="s">
        <v>97</v>
      </c>
      <c r="C433" s="2" t="s">
        <v>77</v>
      </c>
      <c r="D433" s="2" t="s">
        <v>103</v>
      </c>
      <c r="E433" s="2">
        <v>3</v>
      </c>
      <c r="F433" s="2">
        <v>29.040469999999999</v>
      </c>
      <c r="G433" s="2">
        <v>-82.786689999999993</v>
      </c>
      <c r="H433" s="2" t="s">
        <v>46</v>
      </c>
      <c r="I433" s="2" t="s">
        <v>34</v>
      </c>
      <c r="J433" s="2" t="s">
        <v>34</v>
      </c>
      <c r="K433" s="2" t="s">
        <v>34</v>
      </c>
      <c r="L433" s="2" t="s">
        <v>34</v>
      </c>
      <c r="M433" s="2" t="s">
        <v>34</v>
      </c>
      <c r="N433" s="2" t="s">
        <v>34</v>
      </c>
      <c r="O433" s="2" t="s">
        <v>34</v>
      </c>
      <c r="P433" s="3">
        <v>45323</v>
      </c>
      <c r="Q433" s="3">
        <v>73050</v>
      </c>
      <c r="R433" s="2" t="s">
        <v>104</v>
      </c>
      <c r="S433" s="2" t="s">
        <v>100</v>
      </c>
    </row>
    <row r="434" spans="1:19" hidden="1" x14ac:dyDescent="0.25">
      <c r="A434" s="5" t="s">
        <v>1812</v>
      </c>
      <c r="B434" s="2" t="s">
        <v>97</v>
      </c>
      <c r="C434" s="2" t="s">
        <v>77</v>
      </c>
      <c r="D434" s="2" t="s">
        <v>105</v>
      </c>
      <c r="E434" s="2">
        <v>4</v>
      </c>
      <c r="F434" s="2">
        <v>29.01483</v>
      </c>
      <c r="G434" s="2">
        <v>-82.754249999999999</v>
      </c>
      <c r="H434" s="2" t="s">
        <v>46</v>
      </c>
      <c r="I434" s="2" t="s">
        <v>34</v>
      </c>
      <c r="J434" s="2" t="s">
        <v>34</v>
      </c>
      <c r="K434" s="2" t="s">
        <v>34</v>
      </c>
      <c r="L434" s="2" t="s">
        <v>34</v>
      </c>
      <c r="M434" s="2" t="s">
        <v>34</v>
      </c>
      <c r="N434" s="2" t="s">
        <v>34</v>
      </c>
      <c r="O434" s="2" t="s">
        <v>34</v>
      </c>
      <c r="P434" s="3">
        <v>45323</v>
      </c>
      <c r="Q434" s="3">
        <v>73050</v>
      </c>
      <c r="R434" s="2" t="s">
        <v>106</v>
      </c>
      <c r="S434" s="2" t="s">
        <v>100</v>
      </c>
    </row>
    <row r="435" spans="1:19" hidden="1" x14ac:dyDescent="0.25">
      <c r="A435" s="5" t="s">
        <v>1813</v>
      </c>
      <c r="B435" s="2" t="s">
        <v>97</v>
      </c>
      <c r="C435" s="2" t="s">
        <v>86</v>
      </c>
      <c r="D435" s="2" t="s">
        <v>107</v>
      </c>
      <c r="E435" s="2">
        <v>5</v>
      </c>
      <c r="F435" s="2">
        <v>28.946269999999998</v>
      </c>
      <c r="G435" s="2">
        <v>-82.733350000000002</v>
      </c>
      <c r="H435" s="2" t="s">
        <v>46</v>
      </c>
      <c r="I435" s="2" t="s">
        <v>34</v>
      </c>
      <c r="J435" s="2" t="s">
        <v>34</v>
      </c>
      <c r="K435" s="2" t="s">
        <v>34</v>
      </c>
      <c r="L435" s="2" t="s">
        <v>34</v>
      </c>
      <c r="M435" s="2" t="s">
        <v>34</v>
      </c>
      <c r="N435" s="2" t="s">
        <v>34</v>
      </c>
      <c r="O435" s="2" t="s">
        <v>34</v>
      </c>
      <c r="P435" s="3">
        <v>45323</v>
      </c>
      <c r="Q435" s="3">
        <v>73050</v>
      </c>
      <c r="R435" s="2" t="s">
        <v>108</v>
      </c>
      <c r="S435" s="2" t="s">
        <v>100</v>
      </c>
    </row>
    <row r="436" spans="1:19" hidden="1" x14ac:dyDescent="0.25">
      <c r="A436" s="5" t="s">
        <v>1814</v>
      </c>
      <c r="B436" s="2" t="s">
        <v>97</v>
      </c>
      <c r="C436" s="2" t="s">
        <v>86</v>
      </c>
      <c r="D436" s="2" t="s">
        <v>109</v>
      </c>
      <c r="E436" s="2">
        <v>6</v>
      </c>
      <c r="F436" s="2">
        <v>28.927140000000001</v>
      </c>
      <c r="G436" s="2">
        <v>-82.693309999999997</v>
      </c>
      <c r="H436" s="2" t="s">
        <v>46</v>
      </c>
      <c r="I436" s="2" t="s">
        <v>34</v>
      </c>
      <c r="J436" s="2" t="s">
        <v>34</v>
      </c>
      <c r="K436" s="2" t="s">
        <v>34</v>
      </c>
      <c r="L436" s="2" t="s">
        <v>34</v>
      </c>
      <c r="M436" s="2" t="s">
        <v>34</v>
      </c>
      <c r="N436" s="2" t="s">
        <v>34</v>
      </c>
      <c r="O436" s="2" t="s">
        <v>34</v>
      </c>
      <c r="P436" s="3">
        <v>45323</v>
      </c>
      <c r="Q436" s="3">
        <v>73050</v>
      </c>
      <c r="R436" s="2" t="s">
        <v>110</v>
      </c>
      <c r="S436" s="2" t="s">
        <v>100</v>
      </c>
    </row>
    <row r="437" spans="1:19" hidden="1" x14ac:dyDescent="0.25">
      <c r="A437" s="2" t="s">
        <v>1603</v>
      </c>
      <c r="B437" s="2" t="s">
        <v>43</v>
      </c>
      <c r="C437" s="2" t="s">
        <v>32</v>
      </c>
      <c r="D437" s="2" t="s">
        <v>1604</v>
      </c>
      <c r="E437" s="2">
        <v>5</v>
      </c>
      <c r="F437" s="2">
        <v>26.5351</v>
      </c>
      <c r="G437" s="2">
        <v>-81.996099999999998</v>
      </c>
      <c r="H437" s="2" t="s">
        <v>34</v>
      </c>
      <c r="I437" s="2" t="s">
        <v>46</v>
      </c>
      <c r="J437" s="2" t="s">
        <v>34</v>
      </c>
      <c r="K437" s="2" t="s">
        <v>34</v>
      </c>
      <c r="L437" s="2" t="s">
        <v>34</v>
      </c>
      <c r="M437" s="2" t="s">
        <v>34</v>
      </c>
      <c r="N437" s="2" t="s">
        <v>34</v>
      </c>
      <c r="O437" s="2" t="s">
        <v>34</v>
      </c>
      <c r="P437" s="3">
        <v>45077</v>
      </c>
      <c r="Q437" s="3">
        <v>45108</v>
      </c>
      <c r="R437" s="2" t="s">
        <v>1605</v>
      </c>
      <c r="S437" s="2" t="s">
        <v>48</v>
      </c>
    </row>
    <row r="438" spans="1:19" hidden="1" x14ac:dyDescent="0.25">
      <c r="A438" s="2" t="s">
        <v>1606</v>
      </c>
      <c r="B438" s="2" t="s">
        <v>43</v>
      </c>
      <c r="C438" s="2" t="s">
        <v>77</v>
      </c>
      <c r="D438" s="2" t="s">
        <v>1607</v>
      </c>
      <c r="E438" s="2">
        <v>6</v>
      </c>
      <c r="F438" s="2">
        <v>26.819310000000002</v>
      </c>
      <c r="G438" s="2">
        <v>-82.059520000000006</v>
      </c>
      <c r="H438" s="2" t="s">
        <v>34</v>
      </c>
      <c r="I438" s="2" t="s">
        <v>46</v>
      </c>
      <c r="J438" s="2" t="s">
        <v>34</v>
      </c>
      <c r="K438" s="2" t="s">
        <v>34</v>
      </c>
      <c r="L438" s="2" t="s">
        <v>34</v>
      </c>
      <c r="M438" s="2" t="s">
        <v>34</v>
      </c>
      <c r="N438" s="2" t="s">
        <v>34</v>
      </c>
      <c r="O438" s="2" t="s">
        <v>34</v>
      </c>
      <c r="P438" s="3">
        <v>45077</v>
      </c>
      <c r="Q438" s="3">
        <v>45108</v>
      </c>
      <c r="R438" s="2" t="s">
        <v>1608</v>
      </c>
      <c r="S438" s="2" t="s">
        <v>48</v>
      </c>
    </row>
    <row r="439" spans="1:19" hidden="1" x14ac:dyDescent="0.25">
      <c r="A439" s="2" t="s">
        <v>1609</v>
      </c>
      <c r="B439" s="2" t="s">
        <v>43</v>
      </c>
      <c r="C439" s="2" t="s">
        <v>77</v>
      </c>
      <c r="D439" s="2" t="s">
        <v>1610</v>
      </c>
      <c r="E439" s="2">
        <v>7</v>
      </c>
      <c r="F439" s="2">
        <v>26.819400000000002</v>
      </c>
      <c r="G439" s="2">
        <v>-82.057419999999993</v>
      </c>
      <c r="H439" s="2" t="s">
        <v>34</v>
      </c>
      <c r="I439" s="2" t="s">
        <v>46</v>
      </c>
      <c r="J439" s="2" t="s">
        <v>34</v>
      </c>
      <c r="K439" s="2" t="s">
        <v>34</v>
      </c>
      <c r="L439" s="2" t="s">
        <v>34</v>
      </c>
      <c r="M439" s="2" t="s">
        <v>34</v>
      </c>
      <c r="N439" s="2" t="s">
        <v>34</v>
      </c>
      <c r="O439" s="2" t="s">
        <v>34</v>
      </c>
      <c r="P439" s="3">
        <v>45077</v>
      </c>
      <c r="Q439" s="3">
        <v>45108</v>
      </c>
      <c r="R439" s="2" t="s">
        <v>1611</v>
      </c>
      <c r="S439" s="2" t="s">
        <v>48</v>
      </c>
    </row>
    <row r="440" spans="1:19" hidden="1" x14ac:dyDescent="0.25">
      <c r="A440" s="2" t="s">
        <v>1612</v>
      </c>
      <c r="B440" s="2" t="s">
        <v>43</v>
      </c>
      <c r="C440" s="2" t="s">
        <v>77</v>
      </c>
      <c r="D440" s="2" t="s">
        <v>1613</v>
      </c>
      <c r="E440" s="2">
        <v>8</v>
      </c>
      <c r="F440" s="2">
        <v>26.81739</v>
      </c>
      <c r="G440" s="2">
        <v>-82.056989999999999</v>
      </c>
      <c r="H440" s="2" t="s">
        <v>34</v>
      </c>
      <c r="I440" s="2" t="s">
        <v>46</v>
      </c>
      <c r="J440" s="2" t="s">
        <v>34</v>
      </c>
      <c r="K440" s="2" t="s">
        <v>34</v>
      </c>
      <c r="L440" s="2" t="s">
        <v>34</v>
      </c>
      <c r="M440" s="2" t="s">
        <v>34</v>
      </c>
      <c r="N440" s="2" t="s">
        <v>34</v>
      </c>
      <c r="O440" s="2" t="s">
        <v>34</v>
      </c>
      <c r="P440" s="3">
        <v>45077</v>
      </c>
      <c r="Q440" s="3">
        <v>45108</v>
      </c>
      <c r="R440" s="2" t="s">
        <v>1614</v>
      </c>
      <c r="S440" s="2" t="s">
        <v>48</v>
      </c>
    </row>
    <row r="441" spans="1:19" hidden="1" x14ac:dyDescent="0.25">
      <c r="A441" s="2" t="s">
        <v>1615</v>
      </c>
      <c r="B441" s="2" t="s">
        <v>43</v>
      </c>
      <c r="C441" s="2" t="s">
        <v>77</v>
      </c>
      <c r="D441" s="2" t="s">
        <v>1616</v>
      </c>
      <c r="E441" s="2">
        <v>9</v>
      </c>
      <c r="F441" s="2">
        <v>26.804500000000001</v>
      </c>
      <c r="G441" s="2">
        <v>-82.055989999999994</v>
      </c>
      <c r="H441" s="2" t="s">
        <v>34</v>
      </c>
      <c r="I441" s="2" t="s">
        <v>46</v>
      </c>
      <c r="J441" s="2" t="s">
        <v>34</v>
      </c>
      <c r="K441" s="2" t="s">
        <v>34</v>
      </c>
      <c r="L441" s="2" t="s">
        <v>34</v>
      </c>
      <c r="M441" s="2" t="s">
        <v>34</v>
      </c>
      <c r="N441" s="2" t="s">
        <v>34</v>
      </c>
      <c r="O441" s="2" t="s">
        <v>34</v>
      </c>
      <c r="P441" s="3">
        <v>45077</v>
      </c>
      <c r="Q441" s="3">
        <v>45108</v>
      </c>
      <c r="R441" s="2" t="s">
        <v>1617</v>
      </c>
      <c r="S441" s="2" t="s">
        <v>48</v>
      </c>
    </row>
    <row r="442" spans="1:19" hidden="1" x14ac:dyDescent="0.25">
      <c r="A442" s="2" t="s">
        <v>1618</v>
      </c>
      <c r="B442" s="2" t="s">
        <v>43</v>
      </c>
      <c r="C442" s="2" t="s">
        <v>77</v>
      </c>
      <c r="D442" s="2" t="s">
        <v>1619</v>
      </c>
      <c r="E442" s="2">
        <v>10</v>
      </c>
      <c r="F442" s="2">
        <v>26.803570000000001</v>
      </c>
      <c r="G442" s="2">
        <v>-82.053939999999997</v>
      </c>
      <c r="H442" s="2" t="s">
        <v>34</v>
      </c>
      <c r="I442" s="2" t="s">
        <v>46</v>
      </c>
      <c r="J442" s="2" t="s">
        <v>34</v>
      </c>
      <c r="K442" s="2" t="s">
        <v>34</v>
      </c>
      <c r="L442" s="2" t="s">
        <v>34</v>
      </c>
      <c r="M442" s="2" t="s">
        <v>34</v>
      </c>
      <c r="N442" s="2" t="s">
        <v>34</v>
      </c>
      <c r="O442" s="2" t="s">
        <v>34</v>
      </c>
      <c r="P442" s="3">
        <v>45077</v>
      </c>
      <c r="Q442" s="3">
        <v>45108</v>
      </c>
      <c r="R442" s="2" t="s">
        <v>1620</v>
      </c>
      <c r="S442" s="2" t="s">
        <v>48</v>
      </c>
    </row>
    <row r="443" spans="1:19" hidden="1" x14ac:dyDescent="0.25">
      <c r="A443" s="2" t="s">
        <v>1621</v>
      </c>
      <c r="B443" s="2" t="s">
        <v>43</v>
      </c>
      <c r="C443" s="2" t="s">
        <v>77</v>
      </c>
      <c r="D443" s="2" t="s">
        <v>1622</v>
      </c>
      <c r="E443" s="2">
        <v>11</v>
      </c>
      <c r="F443" s="2">
        <v>26.85914</v>
      </c>
      <c r="G443" s="2">
        <v>-82.058040000000005</v>
      </c>
      <c r="H443" s="2" t="s">
        <v>34</v>
      </c>
      <c r="I443" s="2" t="s">
        <v>46</v>
      </c>
      <c r="J443" s="2" t="s">
        <v>34</v>
      </c>
      <c r="K443" s="2" t="s">
        <v>34</v>
      </c>
      <c r="L443" s="2" t="s">
        <v>34</v>
      </c>
      <c r="M443" s="2" t="s">
        <v>34</v>
      </c>
      <c r="N443" s="2" t="s">
        <v>34</v>
      </c>
      <c r="O443" s="2" t="s">
        <v>34</v>
      </c>
      <c r="P443" s="3">
        <v>45077</v>
      </c>
      <c r="Q443" s="3">
        <v>45108</v>
      </c>
      <c r="R443" s="2" t="s">
        <v>1623</v>
      </c>
      <c r="S443" s="2" t="s">
        <v>48</v>
      </c>
    </row>
    <row r="444" spans="1:19" hidden="1" x14ac:dyDescent="0.25">
      <c r="A444" s="2" t="s">
        <v>1624</v>
      </c>
      <c r="B444" s="2" t="s">
        <v>43</v>
      </c>
      <c r="C444" s="2" t="s">
        <v>77</v>
      </c>
      <c r="D444" s="2" t="s">
        <v>1625</v>
      </c>
      <c r="E444" s="2">
        <v>12</v>
      </c>
      <c r="F444" s="2">
        <v>26.879560000000001</v>
      </c>
      <c r="G444" s="2">
        <v>-82.060379999999995</v>
      </c>
      <c r="H444" s="2" t="s">
        <v>34</v>
      </c>
      <c r="I444" s="2" t="s">
        <v>46</v>
      </c>
      <c r="J444" s="2" t="s">
        <v>34</v>
      </c>
      <c r="K444" s="2" t="s">
        <v>34</v>
      </c>
      <c r="L444" s="2" t="s">
        <v>34</v>
      </c>
      <c r="M444" s="2" t="s">
        <v>34</v>
      </c>
      <c r="N444" s="2" t="s">
        <v>34</v>
      </c>
      <c r="O444" s="2" t="s">
        <v>34</v>
      </c>
      <c r="P444" s="3">
        <v>45077</v>
      </c>
      <c r="Q444" s="3">
        <v>45108</v>
      </c>
      <c r="R444" s="2" t="s">
        <v>1626</v>
      </c>
      <c r="S444" s="2" t="s">
        <v>48</v>
      </c>
    </row>
    <row r="445" spans="1:19" hidden="1" x14ac:dyDescent="0.25">
      <c r="A445" s="2" t="s">
        <v>1627</v>
      </c>
      <c r="B445" s="2" t="s">
        <v>43</v>
      </c>
      <c r="C445" s="2" t="s">
        <v>60</v>
      </c>
      <c r="D445" s="2" t="s">
        <v>1628</v>
      </c>
      <c r="E445" s="2">
        <v>13</v>
      </c>
      <c r="F445" s="2">
        <v>26.827680000000001</v>
      </c>
      <c r="G445" s="2">
        <v>-82.267600000000002</v>
      </c>
      <c r="H445" s="2" t="s">
        <v>34</v>
      </c>
      <c r="I445" s="2" t="s">
        <v>46</v>
      </c>
      <c r="J445" s="2" t="s">
        <v>34</v>
      </c>
      <c r="K445" s="2" t="s">
        <v>34</v>
      </c>
      <c r="L445" s="2" t="s">
        <v>34</v>
      </c>
      <c r="M445" s="2" t="s">
        <v>34</v>
      </c>
      <c r="N445" s="2" t="s">
        <v>34</v>
      </c>
      <c r="O445" s="2" t="s">
        <v>34</v>
      </c>
      <c r="P445" s="3">
        <v>45169</v>
      </c>
      <c r="Q445" s="3">
        <v>45200</v>
      </c>
      <c r="R445" s="2" t="s">
        <v>1629</v>
      </c>
      <c r="S445" s="2" t="s">
        <v>48</v>
      </c>
    </row>
    <row r="446" spans="1:19" hidden="1" x14ac:dyDescent="0.25">
      <c r="A446" s="2" t="s">
        <v>1630</v>
      </c>
      <c r="B446" s="2" t="s">
        <v>43</v>
      </c>
      <c r="C446" s="2" t="s">
        <v>60</v>
      </c>
      <c r="D446" s="2" t="s">
        <v>1631</v>
      </c>
      <c r="E446" s="2">
        <v>14</v>
      </c>
      <c r="F446" s="2">
        <v>26.827279999999998</v>
      </c>
      <c r="G446" s="2">
        <v>-82.264740000000003</v>
      </c>
      <c r="H446" s="2" t="s">
        <v>34</v>
      </c>
      <c r="I446" s="2" t="s">
        <v>46</v>
      </c>
      <c r="J446" s="2" t="s">
        <v>34</v>
      </c>
      <c r="K446" s="2" t="s">
        <v>34</v>
      </c>
      <c r="L446" s="2" t="s">
        <v>34</v>
      </c>
      <c r="M446" s="2" t="s">
        <v>34</v>
      </c>
      <c r="N446" s="2" t="s">
        <v>34</v>
      </c>
      <c r="O446" s="2" t="s">
        <v>34</v>
      </c>
      <c r="P446" s="3">
        <v>45169</v>
      </c>
      <c r="Q446" s="3">
        <v>45200</v>
      </c>
      <c r="R446" s="2" t="s">
        <v>1632</v>
      </c>
      <c r="S446" s="2" t="s">
        <v>48</v>
      </c>
    </row>
    <row r="447" spans="1:19" hidden="1" x14ac:dyDescent="0.25">
      <c r="A447" s="2" t="s">
        <v>1633</v>
      </c>
      <c r="B447" s="2" t="s">
        <v>43</v>
      </c>
      <c r="C447" s="2" t="s">
        <v>60</v>
      </c>
      <c r="D447" s="2" t="s">
        <v>1634</v>
      </c>
      <c r="E447" s="2">
        <v>15</v>
      </c>
      <c r="F447" s="2">
        <v>26.816590000000001</v>
      </c>
      <c r="G447" s="2">
        <v>-82.254300000000001</v>
      </c>
      <c r="H447" s="2" t="s">
        <v>34</v>
      </c>
      <c r="I447" s="2" t="s">
        <v>46</v>
      </c>
      <c r="J447" s="2" t="s">
        <v>34</v>
      </c>
      <c r="K447" s="2" t="s">
        <v>34</v>
      </c>
      <c r="L447" s="2" t="s">
        <v>34</v>
      </c>
      <c r="M447" s="2" t="s">
        <v>34</v>
      </c>
      <c r="N447" s="2" t="s">
        <v>34</v>
      </c>
      <c r="O447" s="2" t="s">
        <v>34</v>
      </c>
      <c r="P447" s="3">
        <v>45169</v>
      </c>
      <c r="Q447" s="3">
        <v>45200</v>
      </c>
      <c r="R447" s="2" t="s">
        <v>1635</v>
      </c>
      <c r="S447" s="2" t="s">
        <v>48</v>
      </c>
    </row>
    <row r="448" spans="1:19" hidden="1" x14ac:dyDescent="0.25">
      <c r="A448" s="2" t="s">
        <v>1636</v>
      </c>
      <c r="B448" s="2" t="s">
        <v>43</v>
      </c>
      <c r="C448" s="2" t="s">
        <v>60</v>
      </c>
      <c r="D448" s="2" t="s">
        <v>1637</v>
      </c>
      <c r="E448" s="2">
        <v>16</v>
      </c>
      <c r="F448" s="2">
        <v>26.82001</v>
      </c>
      <c r="G448" s="2">
        <v>-82.248220000000003</v>
      </c>
      <c r="H448" s="2" t="s">
        <v>34</v>
      </c>
      <c r="I448" s="2" t="s">
        <v>46</v>
      </c>
      <c r="J448" s="2" t="s">
        <v>34</v>
      </c>
      <c r="K448" s="2" t="s">
        <v>34</v>
      </c>
      <c r="L448" s="2" t="s">
        <v>34</v>
      </c>
      <c r="M448" s="2" t="s">
        <v>34</v>
      </c>
      <c r="N448" s="2" t="s">
        <v>34</v>
      </c>
      <c r="O448" s="2" t="s">
        <v>34</v>
      </c>
      <c r="P448" s="3">
        <v>45169</v>
      </c>
      <c r="Q448" s="3">
        <v>45200</v>
      </c>
      <c r="R448" s="2" t="s">
        <v>1638</v>
      </c>
      <c r="S448" s="2" t="s">
        <v>48</v>
      </c>
    </row>
    <row r="449" spans="1:19" hidden="1" x14ac:dyDescent="0.25">
      <c r="A449" s="2" t="s">
        <v>1639</v>
      </c>
      <c r="B449" s="2" t="s">
        <v>43</v>
      </c>
      <c r="C449" s="2" t="s">
        <v>60</v>
      </c>
      <c r="D449" s="2" t="s">
        <v>1640</v>
      </c>
      <c r="E449" s="2">
        <v>17</v>
      </c>
      <c r="F449" s="2">
        <v>26.78708</v>
      </c>
      <c r="G449" s="2">
        <v>-82.21078</v>
      </c>
      <c r="H449" s="2" t="s">
        <v>34</v>
      </c>
      <c r="I449" s="2" t="s">
        <v>46</v>
      </c>
      <c r="J449" s="2" t="s">
        <v>34</v>
      </c>
      <c r="K449" s="2" t="s">
        <v>34</v>
      </c>
      <c r="L449" s="2" t="s">
        <v>34</v>
      </c>
      <c r="M449" s="2" t="s">
        <v>34</v>
      </c>
      <c r="N449" s="2" t="s">
        <v>34</v>
      </c>
      <c r="O449" s="2" t="s">
        <v>34</v>
      </c>
      <c r="P449" s="3">
        <v>45169</v>
      </c>
      <c r="Q449" s="3">
        <v>45200</v>
      </c>
      <c r="R449" s="2" t="s">
        <v>1641</v>
      </c>
      <c r="S449" s="2" t="s">
        <v>48</v>
      </c>
    </row>
    <row r="450" spans="1:19" hidden="1" x14ac:dyDescent="0.25">
      <c r="A450" s="2" t="s">
        <v>1642</v>
      </c>
      <c r="B450" s="2" t="s">
        <v>43</v>
      </c>
      <c r="C450" s="2" t="s">
        <v>60</v>
      </c>
      <c r="D450" s="2" t="s">
        <v>1643</v>
      </c>
      <c r="E450" s="2">
        <v>18</v>
      </c>
      <c r="F450" s="2">
        <v>26.788229999999999</v>
      </c>
      <c r="G450" s="2">
        <v>-82.212000000000003</v>
      </c>
      <c r="H450" s="2" t="s">
        <v>34</v>
      </c>
      <c r="I450" s="2" t="s">
        <v>46</v>
      </c>
      <c r="J450" s="2" t="s">
        <v>34</v>
      </c>
      <c r="K450" s="2" t="s">
        <v>34</v>
      </c>
      <c r="L450" s="2" t="s">
        <v>34</v>
      </c>
      <c r="M450" s="2" t="s">
        <v>34</v>
      </c>
      <c r="N450" s="2" t="s">
        <v>34</v>
      </c>
      <c r="O450" s="2" t="s">
        <v>34</v>
      </c>
      <c r="P450" s="3">
        <v>45169</v>
      </c>
      <c r="Q450" s="3">
        <v>45200</v>
      </c>
      <c r="R450" s="2" t="s">
        <v>1644</v>
      </c>
      <c r="S450" s="2" t="s">
        <v>48</v>
      </c>
    </row>
    <row r="451" spans="1:19" hidden="1" x14ac:dyDescent="0.25">
      <c r="A451" s="2" t="s">
        <v>1645</v>
      </c>
      <c r="B451" s="2" t="s">
        <v>43</v>
      </c>
      <c r="C451" s="2" t="s">
        <v>60</v>
      </c>
      <c r="D451" s="2" t="s">
        <v>1646</v>
      </c>
      <c r="E451" s="2">
        <v>19</v>
      </c>
      <c r="F451" s="2">
        <v>26.78931</v>
      </c>
      <c r="G451" s="2">
        <v>-82.21078</v>
      </c>
      <c r="H451" s="2" t="s">
        <v>34</v>
      </c>
      <c r="I451" s="2" t="s">
        <v>46</v>
      </c>
      <c r="J451" s="2" t="s">
        <v>34</v>
      </c>
      <c r="K451" s="2" t="s">
        <v>34</v>
      </c>
      <c r="L451" s="2" t="s">
        <v>34</v>
      </c>
      <c r="M451" s="2" t="s">
        <v>34</v>
      </c>
      <c r="N451" s="2" t="s">
        <v>34</v>
      </c>
      <c r="O451" s="2" t="s">
        <v>34</v>
      </c>
      <c r="P451" s="3">
        <v>45169</v>
      </c>
      <c r="Q451" s="3">
        <v>45200</v>
      </c>
      <c r="R451" s="2" t="s">
        <v>1647</v>
      </c>
      <c r="S451" s="2" t="s">
        <v>48</v>
      </c>
    </row>
    <row r="452" spans="1:19" hidden="1" x14ac:dyDescent="0.25">
      <c r="A452" s="2" t="s">
        <v>1648</v>
      </c>
      <c r="B452" s="2" t="s">
        <v>43</v>
      </c>
      <c r="C452" s="2" t="s">
        <v>60</v>
      </c>
      <c r="D452" s="2" t="s">
        <v>1649</v>
      </c>
      <c r="E452" s="2">
        <v>20</v>
      </c>
      <c r="F452" s="2">
        <v>26.78659</v>
      </c>
      <c r="G452" s="2">
        <v>-82.209549999999993</v>
      </c>
      <c r="H452" s="2" t="s">
        <v>34</v>
      </c>
      <c r="I452" s="2" t="s">
        <v>46</v>
      </c>
      <c r="J452" s="2" t="s">
        <v>34</v>
      </c>
      <c r="K452" s="2" t="s">
        <v>34</v>
      </c>
      <c r="L452" s="2" t="s">
        <v>34</v>
      </c>
      <c r="M452" s="2" t="s">
        <v>34</v>
      </c>
      <c r="N452" s="2" t="s">
        <v>34</v>
      </c>
      <c r="O452" s="2" t="s">
        <v>34</v>
      </c>
      <c r="P452" s="3">
        <v>45169</v>
      </c>
      <c r="Q452" s="3">
        <v>45200</v>
      </c>
      <c r="R452" s="2" t="s">
        <v>1650</v>
      </c>
      <c r="S452" s="2" t="s">
        <v>48</v>
      </c>
    </row>
    <row r="453" spans="1:19" hidden="1" x14ac:dyDescent="0.25">
      <c r="A453" s="2" t="s">
        <v>1651</v>
      </c>
      <c r="B453" s="2" t="s">
        <v>43</v>
      </c>
      <c r="C453" s="2" t="s">
        <v>60</v>
      </c>
      <c r="D453" s="2" t="s">
        <v>1652</v>
      </c>
      <c r="E453" s="2">
        <v>21</v>
      </c>
      <c r="F453" s="2">
        <v>26.78633</v>
      </c>
      <c r="G453" s="2">
        <v>-82.201669999999993</v>
      </c>
      <c r="H453" s="2" t="s">
        <v>34</v>
      </c>
      <c r="I453" s="2" t="s">
        <v>46</v>
      </c>
      <c r="J453" s="2" t="s">
        <v>34</v>
      </c>
      <c r="K453" s="2" t="s">
        <v>34</v>
      </c>
      <c r="L453" s="2" t="s">
        <v>34</v>
      </c>
      <c r="M453" s="2" t="s">
        <v>34</v>
      </c>
      <c r="N453" s="2" t="s">
        <v>34</v>
      </c>
      <c r="O453" s="2" t="s">
        <v>34</v>
      </c>
      <c r="P453" s="3">
        <v>45169</v>
      </c>
      <c r="Q453" s="3">
        <v>45200</v>
      </c>
      <c r="R453" s="2" t="s">
        <v>1653</v>
      </c>
      <c r="S453" s="2" t="s">
        <v>48</v>
      </c>
    </row>
    <row r="454" spans="1:19" hidden="1" x14ac:dyDescent="0.25">
      <c r="A454" s="2" t="s">
        <v>1654</v>
      </c>
      <c r="B454" s="2" t="s">
        <v>43</v>
      </c>
      <c r="C454" s="2" t="s">
        <v>60</v>
      </c>
      <c r="D454" s="2" t="s">
        <v>1655</v>
      </c>
      <c r="E454" s="2">
        <v>22</v>
      </c>
      <c r="F454" s="2">
        <v>26.783529999999999</v>
      </c>
      <c r="G454" s="2">
        <v>-82.194599999999994</v>
      </c>
      <c r="H454" s="2" t="s">
        <v>34</v>
      </c>
      <c r="I454" s="2" t="s">
        <v>46</v>
      </c>
      <c r="J454" s="2" t="s">
        <v>34</v>
      </c>
      <c r="K454" s="2" t="s">
        <v>34</v>
      </c>
      <c r="L454" s="2" t="s">
        <v>34</v>
      </c>
      <c r="M454" s="2" t="s">
        <v>34</v>
      </c>
      <c r="N454" s="2" t="s">
        <v>34</v>
      </c>
      <c r="O454" s="2" t="s">
        <v>34</v>
      </c>
      <c r="P454" s="3">
        <v>45169</v>
      </c>
      <c r="Q454" s="3">
        <v>45200</v>
      </c>
      <c r="R454" s="2" t="s">
        <v>1656</v>
      </c>
      <c r="S454" s="2" t="s">
        <v>48</v>
      </c>
    </row>
    <row r="455" spans="1:19" hidden="1" x14ac:dyDescent="0.25">
      <c r="A455" s="2" t="s">
        <v>1657</v>
      </c>
      <c r="B455" s="2" t="s">
        <v>43</v>
      </c>
      <c r="C455" s="2" t="s">
        <v>60</v>
      </c>
      <c r="D455" s="2" t="s">
        <v>1658</v>
      </c>
      <c r="E455" s="2">
        <v>23</v>
      </c>
      <c r="F455" s="2">
        <v>26.784199999999998</v>
      </c>
      <c r="G455" s="2">
        <v>-82.192710000000005</v>
      </c>
      <c r="H455" s="2" t="s">
        <v>34</v>
      </c>
      <c r="I455" s="2" t="s">
        <v>46</v>
      </c>
      <c r="J455" s="2" t="s">
        <v>34</v>
      </c>
      <c r="K455" s="2" t="s">
        <v>34</v>
      </c>
      <c r="L455" s="2" t="s">
        <v>34</v>
      </c>
      <c r="M455" s="2" t="s">
        <v>34</v>
      </c>
      <c r="N455" s="2" t="s">
        <v>34</v>
      </c>
      <c r="O455" s="2" t="s">
        <v>34</v>
      </c>
      <c r="P455" s="3">
        <v>45169</v>
      </c>
      <c r="Q455" s="3">
        <v>45200</v>
      </c>
      <c r="R455" s="2" t="s">
        <v>1659</v>
      </c>
      <c r="S455" s="2" t="s">
        <v>48</v>
      </c>
    </row>
    <row r="456" spans="1:19" hidden="1" x14ac:dyDescent="0.25">
      <c r="A456" s="2" t="s">
        <v>1660</v>
      </c>
      <c r="B456" s="2" t="s">
        <v>43</v>
      </c>
      <c r="C456" s="2" t="s">
        <v>60</v>
      </c>
      <c r="D456" s="2" t="s">
        <v>1661</v>
      </c>
      <c r="E456" s="2">
        <v>24</v>
      </c>
      <c r="F456" s="2">
        <v>26.784459999999999</v>
      </c>
      <c r="G456" s="2">
        <v>-82.189490000000006</v>
      </c>
      <c r="H456" s="2" t="s">
        <v>34</v>
      </c>
      <c r="I456" s="2" t="s">
        <v>46</v>
      </c>
      <c r="J456" s="2" t="s">
        <v>34</v>
      </c>
      <c r="K456" s="2" t="s">
        <v>34</v>
      </c>
      <c r="L456" s="2" t="s">
        <v>34</v>
      </c>
      <c r="M456" s="2" t="s">
        <v>34</v>
      </c>
      <c r="N456" s="2" t="s">
        <v>34</v>
      </c>
      <c r="O456" s="2" t="s">
        <v>34</v>
      </c>
      <c r="P456" s="3">
        <v>45169</v>
      </c>
      <c r="Q456" s="3">
        <v>45200</v>
      </c>
      <c r="R456" s="2" t="s">
        <v>1662</v>
      </c>
      <c r="S456" s="2" t="s">
        <v>48</v>
      </c>
    </row>
    <row r="457" spans="1:19" hidden="1" x14ac:dyDescent="0.25">
      <c r="A457" s="2" t="s">
        <v>42</v>
      </c>
      <c r="B457" s="2" t="s">
        <v>43</v>
      </c>
      <c r="C457" s="2" t="s">
        <v>44</v>
      </c>
      <c r="D457" s="2" t="s">
        <v>45</v>
      </c>
      <c r="E457" s="2">
        <v>30</v>
      </c>
      <c r="F457" s="2">
        <v>26.604759999999999</v>
      </c>
      <c r="G457" s="2">
        <v>-82.050740000000005</v>
      </c>
      <c r="H457" s="2" t="s">
        <v>34</v>
      </c>
      <c r="I457" s="2" t="s">
        <v>46</v>
      </c>
      <c r="J457" s="2" t="s">
        <v>34</v>
      </c>
      <c r="K457" s="2" t="s">
        <v>34</v>
      </c>
      <c r="L457" s="2" t="s">
        <v>34</v>
      </c>
      <c r="M457" s="2" t="s">
        <v>34</v>
      </c>
      <c r="N457" s="2" t="s">
        <v>34</v>
      </c>
      <c r="O457" s="2" t="s">
        <v>34</v>
      </c>
      <c r="P457" s="3">
        <v>45199</v>
      </c>
      <c r="Q457" s="3">
        <v>45231</v>
      </c>
      <c r="R457" s="2" t="s">
        <v>47</v>
      </c>
      <c r="S457" s="2" t="s">
        <v>48</v>
      </c>
    </row>
    <row r="458" spans="1:19" hidden="1" x14ac:dyDescent="0.25">
      <c r="A458" s="2" t="s">
        <v>49</v>
      </c>
      <c r="B458" s="2" t="s">
        <v>43</v>
      </c>
      <c r="C458" s="2" t="s">
        <v>44</v>
      </c>
      <c r="D458" s="2" t="s">
        <v>50</v>
      </c>
      <c r="E458" s="2">
        <v>31</v>
      </c>
      <c r="F458" s="2">
        <v>26.55481</v>
      </c>
      <c r="G458" s="2">
        <v>-82.07687</v>
      </c>
      <c r="H458" s="2" t="s">
        <v>34</v>
      </c>
      <c r="I458" s="2" t="s">
        <v>46</v>
      </c>
      <c r="J458" s="2" t="s">
        <v>34</v>
      </c>
      <c r="K458" s="2" t="s">
        <v>34</v>
      </c>
      <c r="L458" s="2" t="s">
        <v>34</v>
      </c>
      <c r="M458" s="2" t="s">
        <v>34</v>
      </c>
      <c r="N458" s="2" t="s">
        <v>34</v>
      </c>
      <c r="O458" s="2" t="s">
        <v>34</v>
      </c>
      <c r="P458" s="3">
        <v>45199</v>
      </c>
      <c r="Q458" s="3">
        <v>45231</v>
      </c>
      <c r="R458" s="2" t="s">
        <v>51</v>
      </c>
      <c r="S458" s="2" t="s">
        <v>48</v>
      </c>
    </row>
    <row r="459" spans="1:19" hidden="1" x14ac:dyDescent="0.25">
      <c r="A459" s="2" t="s">
        <v>52</v>
      </c>
      <c r="B459" s="2" t="s">
        <v>43</v>
      </c>
      <c r="C459" s="2" t="s">
        <v>44</v>
      </c>
      <c r="D459" s="2" t="s">
        <v>53</v>
      </c>
      <c r="E459" s="2">
        <v>32</v>
      </c>
      <c r="F459" s="2">
        <v>26.56728</v>
      </c>
      <c r="G459" s="2">
        <v>-82.074700000000007</v>
      </c>
      <c r="H459" s="2" t="s">
        <v>34</v>
      </c>
      <c r="I459" s="2" t="s">
        <v>46</v>
      </c>
      <c r="J459" s="2" t="s">
        <v>34</v>
      </c>
      <c r="K459" s="2" t="s">
        <v>34</v>
      </c>
      <c r="L459" s="2" t="s">
        <v>34</v>
      </c>
      <c r="M459" s="2" t="s">
        <v>34</v>
      </c>
      <c r="N459" s="2" t="s">
        <v>34</v>
      </c>
      <c r="O459" s="2" t="s">
        <v>34</v>
      </c>
      <c r="P459" s="3">
        <v>45199</v>
      </c>
      <c r="Q459" s="3">
        <v>45231</v>
      </c>
      <c r="R459" s="2" t="s">
        <v>54</v>
      </c>
      <c r="S459" s="2" t="s">
        <v>48</v>
      </c>
    </row>
    <row r="460" spans="1:19" hidden="1" x14ac:dyDescent="0.25">
      <c r="A460" s="2" t="s">
        <v>55</v>
      </c>
      <c r="B460" s="2" t="s">
        <v>43</v>
      </c>
      <c r="C460" s="2" t="s">
        <v>44</v>
      </c>
      <c r="D460" s="2" t="s">
        <v>56</v>
      </c>
      <c r="E460" s="2">
        <v>33</v>
      </c>
      <c r="F460" s="2">
        <v>26.565480000000001</v>
      </c>
      <c r="G460" s="2">
        <v>-82.065560000000005</v>
      </c>
      <c r="H460" s="2" t="s">
        <v>34</v>
      </c>
      <c r="I460" s="2" t="s">
        <v>46</v>
      </c>
      <c r="J460" s="2" t="s">
        <v>34</v>
      </c>
      <c r="K460" s="2" t="s">
        <v>34</v>
      </c>
      <c r="L460" s="2" t="s">
        <v>34</v>
      </c>
      <c r="M460" s="2" t="s">
        <v>34</v>
      </c>
      <c r="N460" s="2" t="s">
        <v>34</v>
      </c>
      <c r="O460" s="2" t="s">
        <v>34</v>
      </c>
      <c r="P460" s="3">
        <v>45199</v>
      </c>
      <c r="Q460" s="3">
        <v>45231</v>
      </c>
      <c r="R460" s="2" t="s">
        <v>57</v>
      </c>
      <c r="S460" s="2" t="s">
        <v>48</v>
      </c>
    </row>
    <row r="461" spans="1:19" hidden="1" x14ac:dyDescent="0.25">
      <c r="A461" s="2" t="s">
        <v>1705</v>
      </c>
      <c r="B461" s="2" t="s">
        <v>43</v>
      </c>
      <c r="C461" s="2" t="s">
        <v>32</v>
      </c>
      <c r="D461" s="2" t="s">
        <v>1706</v>
      </c>
      <c r="E461" s="2">
        <v>35</v>
      </c>
      <c r="F461" s="2">
        <v>26.558479999999999</v>
      </c>
      <c r="G461" s="2">
        <v>-81.922790000000006</v>
      </c>
      <c r="H461" s="2" t="s">
        <v>34</v>
      </c>
      <c r="I461" s="2" t="s">
        <v>46</v>
      </c>
      <c r="J461" s="2" t="s">
        <v>34</v>
      </c>
      <c r="K461" s="2" t="s">
        <v>34</v>
      </c>
      <c r="L461" s="2" t="s">
        <v>34</v>
      </c>
      <c r="M461" s="2" t="s">
        <v>34</v>
      </c>
      <c r="N461" s="2" t="s">
        <v>34</v>
      </c>
      <c r="O461" s="2" t="s">
        <v>34</v>
      </c>
      <c r="P461" s="3">
        <v>45291</v>
      </c>
      <c r="Q461" s="3">
        <v>45383</v>
      </c>
      <c r="R461" s="2" t="s">
        <v>1707</v>
      </c>
      <c r="S461" s="2" t="s">
        <v>48</v>
      </c>
    </row>
    <row r="462" spans="1:19" hidden="1" x14ac:dyDescent="0.25">
      <c r="A462" s="2" t="s">
        <v>1708</v>
      </c>
      <c r="B462" s="2" t="s">
        <v>43</v>
      </c>
      <c r="C462" s="2" t="s">
        <v>44</v>
      </c>
      <c r="D462" s="2" t="s">
        <v>1709</v>
      </c>
      <c r="E462" s="2">
        <v>36</v>
      </c>
      <c r="F462" s="2">
        <v>26.511559999999999</v>
      </c>
      <c r="G462" s="2">
        <v>-82.066109999999995</v>
      </c>
      <c r="H462" s="2" t="s">
        <v>34</v>
      </c>
      <c r="I462" s="2" t="s">
        <v>46</v>
      </c>
      <c r="J462" s="2" t="s">
        <v>34</v>
      </c>
      <c r="K462" s="2" t="s">
        <v>34</v>
      </c>
      <c r="L462" s="2" t="s">
        <v>34</v>
      </c>
      <c r="M462" s="2" t="s">
        <v>34</v>
      </c>
      <c r="N462" s="2" t="s">
        <v>34</v>
      </c>
      <c r="O462" s="2" t="s">
        <v>34</v>
      </c>
      <c r="P462" s="3">
        <v>45291</v>
      </c>
      <c r="Q462" s="3">
        <v>45383</v>
      </c>
      <c r="R462" s="2" t="s">
        <v>1710</v>
      </c>
      <c r="S462" s="2" t="s">
        <v>48</v>
      </c>
    </row>
    <row r="463" spans="1:19" hidden="1" x14ac:dyDescent="0.25">
      <c r="A463" s="2" t="s">
        <v>1711</v>
      </c>
      <c r="B463" s="2" t="s">
        <v>43</v>
      </c>
      <c r="C463" s="2" t="s">
        <v>44</v>
      </c>
      <c r="D463" s="2" t="s">
        <v>1712</v>
      </c>
      <c r="E463" s="2">
        <v>37</v>
      </c>
      <c r="F463" s="2">
        <v>26.50995</v>
      </c>
      <c r="G463" s="2">
        <v>-82.063730000000007</v>
      </c>
      <c r="H463" s="2" t="s">
        <v>34</v>
      </c>
      <c r="I463" s="2" t="s">
        <v>46</v>
      </c>
      <c r="J463" s="2" t="s">
        <v>34</v>
      </c>
      <c r="K463" s="2" t="s">
        <v>34</v>
      </c>
      <c r="L463" s="2" t="s">
        <v>34</v>
      </c>
      <c r="M463" s="2" t="s">
        <v>34</v>
      </c>
      <c r="N463" s="2" t="s">
        <v>34</v>
      </c>
      <c r="O463" s="2" t="s">
        <v>34</v>
      </c>
      <c r="P463" s="3">
        <v>45291</v>
      </c>
      <c r="Q463" s="3">
        <v>45383</v>
      </c>
      <c r="R463" s="2" t="s">
        <v>1713</v>
      </c>
      <c r="S463" s="2" t="s">
        <v>48</v>
      </c>
    </row>
    <row r="464" spans="1:19" hidden="1" x14ac:dyDescent="0.25">
      <c r="A464" s="2" t="s">
        <v>1714</v>
      </c>
      <c r="B464" s="2" t="s">
        <v>43</v>
      </c>
      <c r="C464" s="2" t="s">
        <v>44</v>
      </c>
      <c r="D464" s="2" t="s">
        <v>1715</v>
      </c>
      <c r="E464" s="2">
        <v>38</v>
      </c>
      <c r="F464" s="2">
        <v>26.505520000000001</v>
      </c>
      <c r="G464" s="2">
        <v>-82.0595</v>
      </c>
      <c r="H464" s="2" t="s">
        <v>34</v>
      </c>
      <c r="I464" s="2" t="s">
        <v>46</v>
      </c>
      <c r="J464" s="2" t="s">
        <v>34</v>
      </c>
      <c r="K464" s="2" t="s">
        <v>34</v>
      </c>
      <c r="L464" s="2" t="s">
        <v>34</v>
      </c>
      <c r="M464" s="2" t="s">
        <v>34</v>
      </c>
      <c r="N464" s="2" t="s">
        <v>34</v>
      </c>
      <c r="O464" s="2" t="s">
        <v>34</v>
      </c>
      <c r="P464" s="3">
        <v>45291</v>
      </c>
      <c r="Q464" s="3">
        <v>45383</v>
      </c>
      <c r="R464" s="2" t="s">
        <v>1716</v>
      </c>
      <c r="S464" s="2" t="s">
        <v>48</v>
      </c>
    </row>
    <row r="465" spans="1:19" hidden="1" x14ac:dyDescent="0.25">
      <c r="A465" s="2" t="s">
        <v>1717</v>
      </c>
      <c r="B465" s="2" t="s">
        <v>43</v>
      </c>
      <c r="C465" s="2" t="s">
        <v>44</v>
      </c>
      <c r="D465" s="2" t="s">
        <v>1718</v>
      </c>
      <c r="E465" s="2">
        <v>39</v>
      </c>
      <c r="F465" s="2">
        <v>26.510079999999999</v>
      </c>
      <c r="G465" s="2">
        <v>-82.021720999999999</v>
      </c>
      <c r="H465" s="2" t="s">
        <v>34</v>
      </c>
      <c r="I465" s="2" t="s">
        <v>46</v>
      </c>
      <c r="J465" s="2" t="s">
        <v>34</v>
      </c>
      <c r="K465" s="2" t="s">
        <v>34</v>
      </c>
      <c r="L465" s="2" t="s">
        <v>34</v>
      </c>
      <c r="M465" s="2" t="s">
        <v>34</v>
      </c>
      <c r="N465" s="2" t="s">
        <v>34</v>
      </c>
      <c r="O465" s="2" t="s">
        <v>34</v>
      </c>
      <c r="P465" s="3">
        <v>45291</v>
      </c>
      <c r="Q465" s="3">
        <v>45383</v>
      </c>
      <c r="R465" s="2" t="s">
        <v>1719</v>
      </c>
      <c r="S465" s="2" t="s">
        <v>48</v>
      </c>
    </row>
    <row r="466" spans="1:19" hidden="1" x14ac:dyDescent="0.25">
      <c r="A466" s="2" t="s">
        <v>1720</v>
      </c>
      <c r="B466" s="2" t="s">
        <v>43</v>
      </c>
      <c r="C466" s="2" t="s">
        <v>44</v>
      </c>
      <c r="D466" s="2" t="s">
        <v>1721</v>
      </c>
      <c r="E466" s="2">
        <v>40</v>
      </c>
      <c r="F466" s="2">
        <v>26.51098</v>
      </c>
      <c r="G466" s="2">
        <v>-82.05829</v>
      </c>
      <c r="H466" s="2" t="s">
        <v>34</v>
      </c>
      <c r="I466" s="2" t="s">
        <v>46</v>
      </c>
      <c r="J466" s="2" t="s">
        <v>34</v>
      </c>
      <c r="K466" s="2" t="s">
        <v>34</v>
      </c>
      <c r="L466" s="2" t="s">
        <v>34</v>
      </c>
      <c r="M466" s="2" t="s">
        <v>34</v>
      </c>
      <c r="N466" s="2" t="s">
        <v>34</v>
      </c>
      <c r="O466" s="2" t="s">
        <v>34</v>
      </c>
      <c r="P466" s="3">
        <v>45291</v>
      </c>
      <c r="Q466" s="3">
        <v>45383</v>
      </c>
      <c r="R466" s="2" t="s">
        <v>1722</v>
      </c>
      <c r="S466" s="2" t="s">
        <v>48</v>
      </c>
    </row>
    <row r="467" spans="1:19" hidden="1" x14ac:dyDescent="0.25">
      <c r="A467" s="2" t="s">
        <v>1723</v>
      </c>
      <c r="B467" s="2" t="s">
        <v>43</v>
      </c>
      <c r="C467" s="2" t="s">
        <v>44</v>
      </c>
      <c r="D467" s="2" t="s">
        <v>1724</v>
      </c>
      <c r="E467" s="2">
        <v>41</v>
      </c>
      <c r="F467" s="2">
        <v>26.514479999999999</v>
      </c>
      <c r="G467" s="2">
        <v>-82.052009999999996</v>
      </c>
      <c r="H467" s="2" t="s">
        <v>34</v>
      </c>
      <c r="I467" s="2" t="s">
        <v>46</v>
      </c>
      <c r="J467" s="2" t="s">
        <v>34</v>
      </c>
      <c r="K467" s="2" t="s">
        <v>34</v>
      </c>
      <c r="L467" s="2" t="s">
        <v>34</v>
      </c>
      <c r="M467" s="2" t="s">
        <v>34</v>
      </c>
      <c r="N467" s="2" t="s">
        <v>34</v>
      </c>
      <c r="O467" s="2" t="s">
        <v>34</v>
      </c>
      <c r="P467" s="3">
        <v>45291</v>
      </c>
      <c r="Q467" s="3">
        <v>45383</v>
      </c>
      <c r="R467" s="2" t="s">
        <v>1725</v>
      </c>
      <c r="S467" s="2" t="s">
        <v>48</v>
      </c>
    </row>
    <row r="468" spans="1:19" hidden="1" x14ac:dyDescent="0.25">
      <c r="A468" s="2" t="s">
        <v>111</v>
      </c>
      <c r="B468" s="2" t="s">
        <v>43</v>
      </c>
      <c r="C468" s="2" t="s">
        <v>112</v>
      </c>
      <c r="D468" s="2" t="s">
        <v>113</v>
      </c>
      <c r="E468" s="2">
        <v>42</v>
      </c>
      <c r="F468" s="2">
        <v>26.680700000000002</v>
      </c>
      <c r="G468" s="2">
        <v>-82.208100000000002</v>
      </c>
      <c r="H468" s="2" t="s">
        <v>34</v>
      </c>
      <c r="I468" s="2" t="s">
        <v>46</v>
      </c>
      <c r="J468" s="2" t="s">
        <v>34</v>
      </c>
      <c r="K468" s="2" t="s">
        <v>34</v>
      </c>
      <c r="L468" s="2" t="s">
        <v>34</v>
      </c>
      <c r="M468" s="2" t="s">
        <v>34</v>
      </c>
      <c r="N468" s="2" t="s">
        <v>34</v>
      </c>
      <c r="O468" s="2" t="s">
        <v>34</v>
      </c>
      <c r="P468" s="3">
        <v>45443</v>
      </c>
      <c r="Q468" s="3">
        <v>45474</v>
      </c>
      <c r="R468" s="2" t="s">
        <v>114</v>
      </c>
      <c r="S468" s="2" t="s">
        <v>48</v>
      </c>
    </row>
    <row r="469" spans="1:19" hidden="1" x14ac:dyDescent="0.25">
      <c r="A469" s="2" t="s">
        <v>111</v>
      </c>
      <c r="B469" s="2" t="s">
        <v>43</v>
      </c>
      <c r="C469" s="2" t="s">
        <v>112</v>
      </c>
      <c r="D469" s="2" t="s">
        <v>113</v>
      </c>
      <c r="E469" s="2">
        <v>42</v>
      </c>
      <c r="F469" s="2">
        <v>26.680700000000002</v>
      </c>
      <c r="G469" s="2">
        <v>-82.208100000000002</v>
      </c>
      <c r="H469" s="2" t="s">
        <v>34</v>
      </c>
      <c r="I469" s="2" t="s">
        <v>46</v>
      </c>
      <c r="J469" s="2" t="s">
        <v>34</v>
      </c>
      <c r="K469" s="2" t="s">
        <v>34</v>
      </c>
      <c r="L469" s="2" t="s">
        <v>34</v>
      </c>
      <c r="M469" s="2" t="s">
        <v>34</v>
      </c>
      <c r="N469" s="2" t="s">
        <v>34</v>
      </c>
      <c r="O469" s="2" t="s">
        <v>34</v>
      </c>
      <c r="P469" s="3">
        <v>45443</v>
      </c>
      <c r="Q469" s="3">
        <v>45474</v>
      </c>
      <c r="R469" s="2" t="s">
        <v>114</v>
      </c>
      <c r="S469" s="2" t="s">
        <v>48</v>
      </c>
    </row>
    <row r="470" spans="1:19" hidden="1" x14ac:dyDescent="0.25">
      <c r="A470" s="2" t="s">
        <v>115</v>
      </c>
      <c r="B470" s="2" t="s">
        <v>43</v>
      </c>
      <c r="C470" s="2" t="s">
        <v>112</v>
      </c>
      <c r="D470" s="2" t="s">
        <v>116</v>
      </c>
      <c r="E470" s="2">
        <v>43</v>
      </c>
      <c r="F470" s="2">
        <v>26.686499999999999</v>
      </c>
      <c r="G470" s="2">
        <v>-82.21105</v>
      </c>
      <c r="H470" s="2" t="s">
        <v>34</v>
      </c>
      <c r="I470" s="2" t="s">
        <v>46</v>
      </c>
      <c r="J470" s="2" t="s">
        <v>34</v>
      </c>
      <c r="K470" s="2" t="s">
        <v>34</v>
      </c>
      <c r="L470" s="2" t="s">
        <v>34</v>
      </c>
      <c r="M470" s="2" t="s">
        <v>34</v>
      </c>
      <c r="N470" s="2" t="s">
        <v>34</v>
      </c>
      <c r="O470" s="2" t="s">
        <v>34</v>
      </c>
      <c r="P470" s="3">
        <v>45443</v>
      </c>
      <c r="Q470" s="3">
        <v>45474</v>
      </c>
      <c r="R470" s="2" t="s">
        <v>117</v>
      </c>
      <c r="S470" s="2" t="s">
        <v>48</v>
      </c>
    </row>
    <row r="471" spans="1:19" hidden="1" x14ac:dyDescent="0.25">
      <c r="A471" s="2" t="s">
        <v>115</v>
      </c>
      <c r="B471" s="2" t="s">
        <v>43</v>
      </c>
      <c r="C471" s="2" t="s">
        <v>112</v>
      </c>
      <c r="D471" s="2" t="s">
        <v>116</v>
      </c>
      <c r="E471" s="2">
        <v>43</v>
      </c>
      <c r="F471" s="2">
        <v>26.686499999999999</v>
      </c>
      <c r="G471" s="2">
        <v>-82.21105</v>
      </c>
      <c r="H471" s="2" t="s">
        <v>34</v>
      </c>
      <c r="I471" s="2" t="s">
        <v>46</v>
      </c>
      <c r="J471" s="2" t="s">
        <v>34</v>
      </c>
      <c r="K471" s="2" t="s">
        <v>34</v>
      </c>
      <c r="L471" s="2" t="s">
        <v>34</v>
      </c>
      <c r="M471" s="2" t="s">
        <v>34</v>
      </c>
      <c r="N471" s="2" t="s">
        <v>34</v>
      </c>
      <c r="O471" s="2" t="s">
        <v>34</v>
      </c>
      <c r="P471" s="3">
        <v>45443</v>
      </c>
      <c r="Q471" s="3">
        <v>45474</v>
      </c>
      <c r="R471" s="2" t="s">
        <v>117</v>
      </c>
      <c r="S471" s="2" t="s">
        <v>48</v>
      </c>
    </row>
    <row r="472" spans="1:19" hidden="1" x14ac:dyDescent="0.25">
      <c r="A472" s="2" t="s">
        <v>118</v>
      </c>
      <c r="B472" s="2" t="s">
        <v>43</v>
      </c>
      <c r="C472" s="2" t="s">
        <v>112</v>
      </c>
      <c r="D472" s="2" t="s">
        <v>119</v>
      </c>
      <c r="E472" s="2">
        <v>44</v>
      </c>
      <c r="F472" s="2">
        <v>26.687639999999998</v>
      </c>
      <c r="G472" s="2">
        <v>-82.213040000000007</v>
      </c>
      <c r="H472" s="2" t="s">
        <v>34</v>
      </c>
      <c r="I472" s="2" t="s">
        <v>46</v>
      </c>
      <c r="J472" s="2" t="s">
        <v>34</v>
      </c>
      <c r="K472" s="2" t="s">
        <v>34</v>
      </c>
      <c r="L472" s="2" t="s">
        <v>34</v>
      </c>
      <c r="M472" s="2" t="s">
        <v>34</v>
      </c>
      <c r="N472" s="2" t="s">
        <v>34</v>
      </c>
      <c r="O472" s="2" t="s">
        <v>34</v>
      </c>
      <c r="P472" s="3">
        <v>45443</v>
      </c>
      <c r="Q472" s="3">
        <v>45474</v>
      </c>
      <c r="R472" s="2" t="s">
        <v>120</v>
      </c>
      <c r="S472" s="2" t="s">
        <v>48</v>
      </c>
    </row>
    <row r="473" spans="1:19" hidden="1" x14ac:dyDescent="0.25">
      <c r="A473" s="2" t="s">
        <v>118</v>
      </c>
      <c r="B473" s="2" t="s">
        <v>43</v>
      </c>
      <c r="C473" s="2" t="s">
        <v>112</v>
      </c>
      <c r="D473" s="2" t="s">
        <v>119</v>
      </c>
      <c r="E473" s="2">
        <v>44</v>
      </c>
      <c r="F473" s="2">
        <v>26.687639999999998</v>
      </c>
      <c r="G473" s="2">
        <v>-82.213040000000007</v>
      </c>
      <c r="H473" s="2" t="s">
        <v>34</v>
      </c>
      <c r="I473" s="2" t="s">
        <v>46</v>
      </c>
      <c r="J473" s="2" t="s">
        <v>34</v>
      </c>
      <c r="K473" s="2" t="s">
        <v>34</v>
      </c>
      <c r="L473" s="2" t="s">
        <v>34</v>
      </c>
      <c r="M473" s="2" t="s">
        <v>34</v>
      </c>
      <c r="N473" s="2" t="s">
        <v>34</v>
      </c>
      <c r="O473" s="2" t="s">
        <v>34</v>
      </c>
      <c r="P473" s="3">
        <v>45443</v>
      </c>
      <c r="Q473" s="3">
        <v>45474</v>
      </c>
      <c r="R473" s="2" t="s">
        <v>120</v>
      </c>
      <c r="S473" s="2" t="s">
        <v>48</v>
      </c>
    </row>
    <row r="474" spans="1:19" hidden="1" x14ac:dyDescent="0.25">
      <c r="A474" s="2" t="s">
        <v>121</v>
      </c>
      <c r="B474" s="2" t="s">
        <v>43</v>
      </c>
      <c r="C474" s="2" t="s">
        <v>112</v>
      </c>
      <c r="D474" s="2" t="s">
        <v>122</v>
      </c>
      <c r="E474" s="2">
        <v>45</v>
      </c>
      <c r="F474" s="2">
        <v>26.684280000000001</v>
      </c>
      <c r="G474" s="2">
        <v>-82.218879999999999</v>
      </c>
      <c r="H474" s="2" t="s">
        <v>34</v>
      </c>
      <c r="I474" s="2" t="s">
        <v>46</v>
      </c>
      <c r="J474" s="2" t="s">
        <v>34</v>
      </c>
      <c r="K474" s="2" t="s">
        <v>34</v>
      </c>
      <c r="L474" s="2" t="s">
        <v>34</v>
      </c>
      <c r="M474" s="2" t="s">
        <v>34</v>
      </c>
      <c r="N474" s="2" t="s">
        <v>34</v>
      </c>
      <c r="O474" s="2" t="s">
        <v>34</v>
      </c>
      <c r="P474" s="3">
        <v>45443</v>
      </c>
      <c r="Q474" s="3">
        <v>45474</v>
      </c>
      <c r="R474" s="2" t="s">
        <v>123</v>
      </c>
      <c r="S474" s="2" t="s">
        <v>48</v>
      </c>
    </row>
    <row r="475" spans="1:19" hidden="1" x14ac:dyDescent="0.25">
      <c r="A475" s="2" t="s">
        <v>121</v>
      </c>
      <c r="B475" s="2" t="s">
        <v>43</v>
      </c>
      <c r="C475" s="2" t="s">
        <v>112</v>
      </c>
      <c r="D475" s="2" t="s">
        <v>122</v>
      </c>
      <c r="E475" s="2">
        <v>45</v>
      </c>
      <c r="F475" s="2">
        <v>26.684280000000001</v>
      </c>
      <c r="G475" s="2">
        <v>-82.218879999999999</v>
      </c>
      <c r="H475" s="2" t="s">
        <v>34</v>
      </c>
      <c r="I475" s="2" t="s">
        <v>46</v>
      </c>
      <c r="J475" s="2" t="s">
        <v>34</v>
      </c>
      <c r="K475" s="2" t="s">
        <v>34</v>
      </c>
      <c r="L475" s="2" t="s">
        <v>34</v>
      </c>
      <c r="M475" s="2" t="s">
        <v>34</v>
      </c>
      <c r="N475" s="2" t="s">
        <v>34</v>
      </c>
      <c r="O475" s="2" t="s">
        <v>34</v>
      </c>
      <c r="P475" s="3">
        <v>45443</v>
      </c>
      <c r="Q475" s="3">
        <v>45474</v>
      </c>
      <c r="R475" s="2" t="s">
        <v>123</v>
      </c>
      <c r="S475" s="2" t="s">
        <v>48</v>
      </c>
    </row>
    <row r="476" spans="1:19" hidden="1" x14ac:dyDescent="0.25">
      <c r="A476" s="2" t="s">
        <v>124</v>
      </c>
      <c r="B476" s="2" t="s">
        <v>43</v>
      </c>
      <c r="C476" s="2" t="s">
        <v>112</v>
      </c>
      <c r="D476" s="2" t="s">
        <v>125</v>
      </c>
      <c r="E476" s="2">
        <v>46</v>
      </c>
      <c r="F476" s="2">
        <v>26.680109999999999</v>
      </c>
      <c r="G476" s="2">
        <v>-82.209199999999996</v>
      </c>
      <c r="H476" s="2" t="s">
        <v>34</v>
      </c>
      <c r="I476" s="2" t="s">
        <v>46</v>
      </c>
      <c r="J476" s="2" t="s">
        <v>34</v>
      </c>
      <c r="K476" s="2" t="s">
        <v>34</v>
      </c>
      <c r="L476" s="2" t="s">
        <v>34</v>
      </c>
      <c r="M476" s="2" t="s">
        <v>34</v>
      </c>
      <c r="N476" s="2" t="s">
        <v>34</v>
      </c>
      <c r="O476" s="2" t="s">
        <v>34</v>
      </c>
      <c r="P476" s="3">
        <v>45443</v>
      </c>
      <c r="Q476" s="3">
        <v>45474</v>
      </c>
      <c r="R476" s="2" t="s">
        <v>126</v>
      </c>
      <c r="S476" s="2" t="s">
        <v>48</v>
      </c>
    </row>
    <row r="477" spans="1:19" hidden="1" x14ac:dyDescent="0.25">
      <c r="A477" s="2" t="s">
        <v>124</v>
      </c>
      <c r="B477" s="2" t="s">
        <v>43</v>
      </c>
      <c r="C477" s="2" t="s">
        <v>112</v>
      </c>
      <c r="D477" s="2" t="s">
        <v>125</v>
      </c>
      <c r="E477" s="2">
        <v>46</v>
      </c>
      <c r="F477" s="2">
        <v>26.680109999999999</v>
      </c>
      <c r="G477" s="2">
        <v>-82.209199999999996</v>
      </c>
      <c r="H477" s="2" t="s">
        <v>34</v>
      </c>
      <c r="I477" s="2" t="s">
        <v>46</v>
      </c>
      <c r="J477" s="2" t="s">
        <v>34</v>
      </c>
      <c r="K477" s="2" t="s">
        <v>34</v>
      </c>
      <c r="L477" s="2" t="s">
        <v>34</v>
      </c>
      <c r="M477" s="2" t="s">
        <v>34</v>
      </c>
      <c r="N477" s="2" t="s">
        <v>34</v>
      </c>
      <c r="O477" s="2" t="s">
        <v>34</v>
      </c>
      <c r="P477" s="3">
        <v>45443</v>
      </c>
      <c r="Q477" s="3">
        <v>45474</v>
      </c>
      <c r="R477" s="2" t="s">
        <v>126</v>
      </c>
      <c r="S477" s="2" t="s">
        <v>48</v>
      </c>
    </row>
    <row r="478" spans="1:19" hidden="1" x14ac:dyDescent="0.25">
      <c r="A478" s="2" t="s">
        <v>1726</v>
      </c>
      <c r="B478" s="2" t="s">
        <v>43</v>
      </c>
      <c r="C478" s="2" t="s">
        <v>112</v>
      </c>
      <c r="D478" s="2" t="s">
        <v>1727</v>
      </c>
      <c r="E478" s="2">
        <v>47</v>
      </c>
      <c r="F478" s="2">
        <v>26.679089999999999</v>
      </c>
      <c r="G478" s="2">
        <v>-82.211870000000005</v>
      </c>
      <c r="H478" s="2" t="s">
        <v>34</v>
      </c>
      <c r="I478" s="2" t="s">
        <v>46</v>
      </c>
      <c r="J478" s="2" t="s">
        <v>34</v>
      </c>
      <c r="K478" s="2" t="s">
        <v>34</v>
      </c>
      <c r="L478" s="2" t="s">
        <v>34</v>
      </c>
      <c r="M478" s="2" t="s">
        <v>34</v>
      </c>
      <c r="N478" s="2" t="s">
        <v>34</v>
      </c>
      <c r="O478" s="2" t="s">
        <v>34</v>
      </c>
      <c r="P478" s="3">
        <v>45443</v>
      </c>
      <c r="Q478" s="3">
        <v>45474</v>
      </c>
      <c r="R478" s="2" t="s">
        <v>1728</v>
      </c>
      <c r="S478" s="2" t="s">
        <v>48</v>
      </c>
    </row>
    <row r="479" spans="1:19" hidden="1" x14ac:dyDescent="0.25">
      <c r="A479" s="2" t="s">
        <v>1726</v>
      </c>
      <c r="B479" s="2" t="s">
        <v>43</v>
      </c>
      <c r="C479" s="2" t="s">
        <v>112</v>
      </c>
      <c r="D479" s="2" t="s">
        <v>1727</v>
      </c>
      <c r="E479" s="2">
        <v>47</v>
      </c>
      <c r="F479" s="2">
        <v>26.679089999999999</v>
      </c>
      <c r="G479" s="2">
        <v>-82.211870000000005</v>
      </c>
      <c r="H479" s="2" t="s">
        <v>34</v>
      </c>
      <c r="I479" s="2" t="s">
        <v>46</v>
      </c>
      <c r="J479" s="2" t="s">
        <v>34</v>
      </c>
      <c r="K479" s="2" t="s">
        <v>34</v>
      </c>
      <c r="L479" s="2" t="s">
        <v>34</v>
      </c>
      <c r="M479" s="2" t="s">
        <v>34</v>
      </c>
      <c r="N479" s="2" t="s">
        <v>34</v>
      </c>
      <c r="O479" s="2" t="s">
        <v>34</v>
      </c>
      <c r="P479" s="3">
        <v>45443</v>
      </c>
      <c r="Q479" s="3">
        <v>45474</v>
      </c>
      <c r="R479" s="2" t="s">
        <v>1728</v>
      </c>
      <c r="S479" s="2" t="s">
        <v>48</v>
      </c>
    </row>
    <row r="480" spans="1:19" hidden="1" x14ac:dyDescent="0.25">
      <c r="A480" s="2" t="s">
        <v>1729</v>
      </c>
      <c r="B480" s="2" t="s">
        <v>43</v>
      </c>
      <c r="C480" s="2" t="s">
        <v>112</v>
      </c>
      <c r="D480" s="2" t="s">
        <v>1730</v>
      </c>
      <c r="E480" s="2">
        <v>48</v>
      </c>
      <c r="F480" s="2">
        <v>26.676449999999999</v>
      </c>
      <c r="G480" s="2">
        <v>-82.210949999999997</v>
      </c>
      <c r="H480" s="2" t="s">
        <v>34</v>
      </c>
      <c r="I480" s="2" t="s">
        <v>46</v>
      </c>
      <c r="J480" s="2" t="s">
        <v>34</v>
      </c>
      <c r="K480" s="2" t="s">
        <v>34</v>
      </c>
      <c r="L480" s="2" t="s">
        <v>34</v>
      </c>
      <c r="M480" s="2" t="s">
        <v>34</v>
      </c>
      <c r="N480" s="2" t="s">
        <v>34</v>
      </c>
      <c r="O480" s="2" t="s">
        <v>34</v>
      </c>
      <c r="P480" s="3">
        <v>45443</v>
      </c>
      <c r="Q480" s="3">
        <v>45474</v>
      </c>
      <c r="R480" s="2" t="s">
        <v>1731</v>
      </c>
      <c r="S480" s="2" t="s">
        <v>48</v>
      </c>
    </row>
    <row r="481" spans="1:19" hidden="1" x14ac:dyDescent="0.25">
      <c r="A481" s="2" t="s">
        <v>1729</v>
      </c>
      <c r="B481" s="2" t="s">
        <v>43</v>
      </c>
      <c r="C481" s="2" t="s">
        <v>112</v>
      </c>
      <c r="D481" s="2" t="s">
        <v>1730</v>
      </c>
      <c r="E481" s="2">
        <v>48</v>
      </c>
      <c r="F481" s="2">
        <v>26.676449999999999</v>
      </c>
      <c r="G481" s="2">
        <v>-82.210949999999997</v>
      </c>
      <c r="H481" s="2" t="s">
        <v>34</v>
      </c>
      <c r="I481" s="2" t="s">
        <v>46</v>
      </c>
      <c r="J481" s="2" t="s">
        <v>34</v>
      </c>
      <c r="K481" s="2" t="s">
        <v>34</v>
      </c>
      <c r="L481" s="2" t="s">
        <v>34</v>
      </c>
      <c r="M481" s="2" t="s">
        <v>34</v>
      </c>
      <c r="N481" s="2" t="s">
        <v>34</v>
      </c>
      <c r="O481" s="2" t="s">
        <v>34</v>
      </c>
      <c r="P481" s="3">
        <v>45443</v>
      </c>
      <c r="Q481" s="3">
        <v>45474</v>
      </c>
      <c r="R481" s="2" t="s">
        <v>1731</v>
      </c>
      <c r="S481" s="2" t="s">
        <v>48</v>
      </c>
    </row>
    <row r="482" spans="1:19" hidden="1" x14ac:dyDescent="0.25">
      <c r="A482" s="2" t="s">
        <v>469</v>
      </c>
      <c r="B482" s="2" t="s">
        <v>43</v>
      </c>
      <c r="C482" s="2" t="s">
        <v>44</v>
      </c>
      <c r="D482" s="2" t="s">
        <v>470</v>
      </c>
      <c r="E482" s="2">
        <v>49</v>
      </c>
      <c r="F482" s="2">
        <v>26.50752</v>
      </c>
      <c r="G482" s="2">
        <v>-82.063789999999997</v>
      </c>
      <c r="H482" s="2" t="s">
        <v>34</v>
      </c>
      <c r="I482" s="2" t="s">
        <v>46</v>
      </c>
      <c r="J482" s="2" t="s">
        <v>34</v>
      </c>
      <c r="K482" s="2" t="s">
        <v>34</v>
      </c>
      <c r="L482" s="2" t="s">
        <v>34</v>
      </c>
      <c r="M482" s="2" t="s">
        <v>34</v>
      </c>
      <c r="N482" s="2" t="s">
        <v>34</v>
      </c>
      <c r="O482" s="2" t="s">
        <v>34</v>
      </c>
      <c r="P482" s="3">
        <v>45504</v>
      </c>
      <c r="Q482" s="3">
        <v>45536</v>
      </c>
      <c r="R482" s="2" t="s">
        <v>471</v>
      </c>
      <c r="S482" s="2" t="s">
        <v>48</v>
      </c>
    </row>
    <row r="483" spans="1:19" hidden="1" x14ac:dyDescent="0.25">
      <c r="A483" s="2" t="s">
        <v>472</v>
      </c>
      <c r="B483" s="2" t="s">
        <v>43</v>
      </c>
      <c r="C483" s="2" t="s">
        <v>44</v>
      </c>
      <c r="D483" s="2" t="s">
        <v>473</v>
      </c>
      <c r="E483" s="2">
        <v>50</v>
      </c>
      <c r="F483" s="2">
        <v>26.508320000000001</v>
      </c>
      <c r="G483" s="2">
        <v>-82.059820000000002</v>
      </c>
      <c r="H483" s="2" t="s">
        <v>34</v>
      </c>
      <c r="I483" s="2" t="s">
        <v>46</v>
      </c>
      <c r="J483" s="2" t="s">
        <v>34</v>
      </c>
      <c r="K483" s="2" t="s">
        <v>34</v>
      </c>
      <c r="L483" s="2" t="s">
        <v>34</v>
      </c>
      <c r="M483" s="2" t="s">
        <v>34</v>
      </c>
      <c r="N483" s="2" t="s">
        <v>34</v>
      </c>
      <c r="O483" s="2" t="s">
        <v>34</v>
      </c>
      <c r="P483" s="3">
        <v>45504</v>
      </c>
      <c r="Q483" s="3">
        <v>45536</v>
      </c>
      <c r="R483" s="2" t="s">
        <v>474</v>
      </c>
      <c r="S483" s="2" t="s">
        <v>48</v>
      </c>
    </row>
    <row r="484" spans="1:19" hidden="1" x14ac:dyDescent="0.25">
      <c r="A484" s="2" t="s">
        <v>475</v>
      </c>
      <c r="B484" s="2" t="s">
        <v>43</v>
      </c>
      <c r="C484" s="2" t="s">
        <v>44</v>
      </c>
      <c r="D484" s="2" t="s">
        <v>476</v>
      </c>
      <c r="E484" s="2">
        <v>51</v>
      </c>
      <c r="F484" s="2">
        <v>26.505960000000002</v>
      </c>
      <c r="G484" s="2">
        <v>-82.060419999999993</v>
      </c>
      <c r="H484" s="2" t="s">
        <v>34</v>
      </c>
      <c r="I484" s="2" t="s">
        <v>46</v>
      </c>
      <c r="J484" s="2" t="s">
        <v>34</v>
      </c>
      <c r="K484" s="2" t="s">
        <v>34</v>
      </c>
      <c r="L484" s="2" t="s">
        <v>34</v>
      </c>
      <c r="M484" s="2" t="s">
        <v>34</v>
      </c>
      <c r="N484" s="2" t="s">
        <v>34</v>
      </c>
      <c r="O484" s="2" t="s">
        <v>34</v>
      </c>
      <c r="P484" s="3">
        <v>45504</v>
      </c>
      <c r="Q484" s="3">
        <v>45536</v>
      </c>
      <c r="R484" s="2" t="s">
        <v>477</v>
      </c>
      <c r="S484" s="2" t="s">
        <v>48</v>
      </c>
    </row>
    <row r="485" spans="1:19" hidden="1" x14ac:dyDescent="0.25">
      <c r="A485" s="2" t="s">
        <v>478</v>
      </c>
      <c r="B485" s="2" t="s">
        <v>43</v>
      </c>
      <c r="C485" s="2" t="s">
        <v>44</v>
      </c>
      <c r="D485" s="2" t="s">
        <v>479</v>
      </c>
      <c r="E485" s="2">
        <v>52</v>
      </c>
      <c r="F485" s="2">
        <v>26.505019999999998</v>
      </c>
      <c r="G485" s="2">
        <v>-82.059719999999999</v>
      </c>
      <c r="H485" s="2" t="s">
        <v>34</v>
      </c>
      <c r="I485" s="2" t="s">
        <v>46</v>
      </c>
      <c r="J485" s="2" t="s">
        <v>34</v>
      </c>
      <c r="K485" s="2" t="s">
        <v>34</v>
      </c>
      <c r="L485" s="2" t="s">
        <v>34</v>
      </c>
      <c r="M485" s="2" t="s">
        <v>34</v>
      </c>
      <c r="N485" s="2" t="s">
        <v>34</v>
      </c>
      <c r="O485" s="2" t="s">
        <v>34</v>
      </c>
      <c r="P485" s="3">
        <v>45504</v>
      </c>
      <c r="Q485" s="3">
        <v>45536</v>
      </c>
      <c r="R485" s="2" t="s">
        <v>480</v>
      </c>
      <c r="S485" s="2" t="s">
        <v>48</v>
      </c>
    </row>
    <row r="486" spans="1:19" hidden="1" x14ac:dyDescent="0.25">
      <c r="A486" s="2" t="s">
        <v>481</v>
      </c>
      <c r="B486" s="2" t="s">
        <v>43</v>
      </c>
      <c r="C486" s="2" t="s">
        <v>44</v>
      </c>
      <c r="D486" s="2" t="s">
        <v>482</v>
      </c>
      <c r="E486" s="2">
        <v>53</v>
      </c>
      <c r="F486" s="2">
        <v>26.487500000000001</v>
      </c>
      <c r="G486" s="2">
        <v>-82.054169999999999</v>
      </c>
      <c r="H486" s="2" t="s">
        <v>34</v>
      </c>
      <c r="I486" s="2" t="s">
        <v>46</v>
      </c>
      <c r="J486" s="2" t="s">
        <v>34</v>
      </c>
      <c r="K486" s="2" t="s">
        <v>34</v>
      </c>
      <c r="L486" s="2" t="s">
        <v>34</v>
      </c>
      <c r="M486" s="2" t="s">
        <v>34</v>
      </c>
      <c r="N486" s="2" t="s">
        <v>34</v>
      </c>
      <c r="O486" s="2" t="s">
        <v>34</v>
      </c>
      <c r="P486" s="3">
        <v>45504</v>
      </c>
      <c r="Q486" s="3">
        <v>45536</v>
      </c>
      <c r="R486" s="2" t="s">
        <v>483</v>
      </c>
      <c r="S486" s="2" t="s">
        <v>48</v>
      </c>
    </row>
    <row r="487" spans="1:19" hidden="1" x14ac:dyDescent="0.25">
      <c r="A487" s="2" t="s">
        <v>484</v>
      </c>
      <c r="B487" s="2" t="s">
        <v>43</v>
      </c>
      <c r="C487" s="2" t="s">
        <v>44</v>
      </c>
      <c r="D487" s="2" t="s">
        <v>485</v>
      </c>
      <c r="E487" s="2">
        <v>54</v>
      </c>
      <c r="F487" s="2">
        <v>26.495830000000002</v>
      </c>
      <c r="G487" s="2">
        <v>-82.007499999999993</v>
      </c>
      <c r="H487" s="2" t="s">
        <v>34</v>
      </c>
      <c r="I487" s="2" t="s">
        <v>46</v>
      </c>
      <c r="J487" s="2" t="s">
        <v>34</v>
      </c>
      <c r="K487" s="2" t="s">
        <v>34</v>
      </c>
      <c r="L487" s="2" t="s">
        <v>34</v>
      </c>
      <c r="M487" s="2" t="s">
        <v>34</v>
      </c>
      <c r="N487" s="2" t="s">
        <v>34</v>
      </c>
      <c r="O487" s="2" t="s">
        <v>34</v>
      </c>
      <c r="P487" s="3">
        <v>45504</v>
      </c>
      <c r="Q487" s="3">
        <v>45536</v>
      </c>
      <c r="R487" s="2" t="s">
        <v>486</v>
      </c>
      <c r="S487" s="2" t="s">
        <v>48</v>
      </c>
    </row>
    <row r="488" spans="1:19" hidden="1" x14ac:dyDescent="0.25">
      <c r="A488" s="2" t="s">
        <v>487</v>
      </c>
      <c r="B488" s="2" t="s">
        <v>43</v>
      </c>
      <c r="C488" s="2" t="s">
        <v>44</v>
      </c>
      <c r="D488" s="2" t="s">
        <v>488</v>
      </c>
      <c r="E488" s="2">
        <v>55</v>
      </c>
      <c r="F488" s="2">
        <v>26.494350000000001</v>
      </c>
      <c r="G488" s="2">
        <v>-82.008970000000005</v>
      </c>
      <c r="H488" s="2" t="s">
        <v>34</v>
      </c>
      <c r="I488" s="2" t="s">
        <v>46</v>
      </c>
      <c r="J488" s="2" t="s">
        <v>34</v>
      </c>
      <c r="K488" s="2" t="s">
        <v>34</v>
      </c>
      <c r="L488" s="2" t="s">
        <v>34</v>
      </c>
      <c r="M488" s="2" t="s">
        <v>34</v>
      </c>
      <c r="N488" s="2" t="s">
        <v>34</v>
      </c>
      <c r="O488" s="2" t="s">
        <v>34</v>
      </c>
      <c r="P488" s="3">
        <v>45504</v>
      </c>
      <c r="Q488" s="3">
        <v>45536</v>
      </c>
      <c r="R488" s="2" t="s">
        <v>489</v>
      </c>
      <c r="S488" s="2" t="s">
        <v>48</v>
      </c>
    </row>
    <row r="489" spans="1:19" hidden="1" x14ac:dyDescent="0.25">
      <c r="A489" s="2" t="s">
        <v>490</v>
      </c>
      <c r="B489" s="2" t="s">
        <v>43</v>
      </c>
      <c r="C489" s="2" t="s">
        <v>44</v>
      </c>
      <c r="D489" s="2" t="s">
        <v>491</v>
      </c>
      <c r="E489" s="2">
        <v>56</v>
      </c>
      <c r="F489" s="2">
        <v>26.494009999999999</v>
      </c>
      <c r="G489" s="2">
        <v>-82.003900000000002</v>
      </c>
      <c r="H489" s="2" t="s">
        <v>34</v>
      </c>
      <c r="I489" s="2" t="s">
        <v>46</v>
      </c>
      <c r="J489" s="2" t="s">
        <v>34</v>
      </c>
      <c r="K489" s="2" t="s">
        <v>34</v>
      </c>
      <c r="L489" s="2" t="s">
        <v>34</v>
      </c>
      <c r="M489" s="2" t="s">
        <v>34</v>
      </c>
      <c r="N489" s="2" t="s">
        <v>34</v>
      </c>
      <c r="O489" s="2" t="s">
        <v>34</v>
      </c>
      <c r="P489" s="3">
        <v>45504</v>
      </c>
      <c r="Q489" s="3">
        <v>45536</v>
      </c>
      <c r="R489" s="2" t="s">
        <v>492</v>
      </c>
      <c r="S489" s="2" t="s">
        <v>48</v>
      </c>
    </row>
    <row r="490" spans="1:19" hidden="1" x14ac:dyDescent="0.25">
      <c r="A490" s="2" t="s">
        <v>493</v>
      </c>
      <c r="B490" s="2" t="s">
        <v>43</v>
      </c>
      <c r="C490" s="2" t="s">
        <v>44</v>
      </c>
      <c r="D490" s="2" t="s">
        <v>494</v>
      </c>
      <c r="E490" s="2">
        <v>57</v>
      </c>
      <c r="F490" s="2">
        <v>26.495439999999999</v>
      </c>
      <c r="G490" s="2">
        <v>-82.004940000000005</v>
      </c>
      <c r="H490" s="2" t="s">
        <v>34</v>
      </c>
      <c r="I490" s="2" t="s">
        <v>46</v>
      </c>
      <c r="J490" s="2" t="s">
        <v>34</v>
      </c>
      <c r="K490" s="2" t="s">
        <v>34</v>
      </c>
      <c r="L490" s="2" t="s">
        <v>34</v>
      </c>
      <c r="M490" s="2" t="s">
        <v>34</v>
      </c>
      <c r="N490" s="2" t="s">
        <v>34</v>
      </c>
      <c r="O490" s="2" t="s">
        <v>34</v>
      </c>
      <c r="P490" s="3">
        <v>45504</v>
      </c>
      <c r="Q490" s="3">
        <v>45536</v>
      </c>
      <c r="R490" s="2" t="s">
        <v>495</v>
      </c>
      <c r="S490" s="2" t="s">
        <v>48</v>
      </c>
    </row>
    <row r="491" spans="1:19" hidden="1" x14ac:dyDescent="0.25">
      <c r="A491" s="2" t="s">
        <v>496</v>
      </c>
      <c r="B491" s="2" t="s">
        <v>43</v>
      </c>
      <c r="C491" s="2" t="s">
        <v>44</v>
      </c>
      <c r="D491" s="2" t="s">
        <v>497</v>
      </c>
      <c r="E491" s="2">
        <v>58</v>
      </c>
      <c r="F491" s="2">
        <v>26.50779</v>
      </c>
      <c r="G491" s="2">
        <v>-82.009649999999993</v>
      </c>
      <c r="H491" s="2" t="s">
        <v>34</v>
      </c>
      <c r="I491" s="2" t="s">
        <v>46</v>
      </c>
      <c r="J491" s="2" t="s">
        <v>34</v>
      </c>
      <c r="K491" s="2" t="s">
        <v>34</v>
      </c>
      <c r="L491" s="2" t="s">
        <v>34</v>
      </c>
      <c r="M491" s="2" t="s">
        <v>34</v>
      </c>
      <c r="N491" s="2" t="s">
        <v>34</v>
      </c>
      <c r="O491" s="2" t="s">
        <v>34</v>
      </c>
      <c r="P491" s="3">
        <v>45504</v>
      </c>
      <c r="Q491" s="3">
        <v>45536</v>
      </c>
      <c r="R491" s="2" t="s">
        <v>498</v>
      </c>
      <c r="S491" s="2" t="s">
        <v>48</v>
      </c>
    </row>
    <row r="492" spans="1:19" hidden="1" x14ac:dyDescent="0.25">
      <c r="A492" s="2" t="s">
        <v>141</v>
      </c>
      <c r="B492" s="2" t="s">
        <v>97</v>
      </c>
      <c r="C492" s="2" t="s">
        <v>34</v>
      </c>
      <c r="D492" s="2" t="s">
        <v>142</v>
      </c>
      <c r="E492" s="2">
        <v>90</v>
      </c>
      <c r="F492" s="2">
        <v>29.163229999999999</v>
      </c>
      <c r="G492" s="2">
        <v>-82.858779999999996</v>
      </c>
      <c r="H492" s="2" t="s">
        <v>34</v>
      </c>
      <c r="I492" s="2" t="s">
        <v>46</v>
      </c>
      <c r="J492" s="2" t="s">
        <v>34</v>
      </c>
      <c r="K492" s="2" t="s">
        <v>34</v>
      </c>
      <c r="L492" s="2" t="s">
        <v>34</v>
      </c>
      <c r="M492" s="2" t="s">
        <v>34</v>
      </c>
      <c r="N492" s="2" t="s">
        <v>34</v>
      </c>
      <c r="O492" s="2" t="s">
        <v>34</v>
      </c>
      <c r="P492" s="3">
        <v>44773</v>
      </c>
      <c r="Q492" s="3">
        <v>44986</v>
      </c>
      <c r="R492" s="2" t="s">
        <v>143</v>
      </c>
      <c r="S492" s="2" t="s">
        <v>100</v>
      </c>
    </row>
    <row r="493" spans="1:19" hidden="1" x14ac:dyDescent="0.25">
      <c r="A493" s="2" t="s">
        <v>144</v>
      </c>
      <c r="B493" s="2" t="s">
        <v>97</v>
      </c>
      <c r="C493" s="2" t="s">
        <v>34</v>
      </c>
      <c r="D493" s="2" t="s">
        <v>145</v>
      </c>
      <c r="E493" s="2">
        <v>109</v>
      </c>
      <c r="F493" s="2">
        <v>29.16357</v>
      </c>
      <c r="G493" s="2">
        <v>-82.89349</v>
      </c>
      <c r="H493" s="2" t="s">
        <v>34</v>
      </c>
      <c r="I493" s="2" t="s">
        <v>46</v>
      </c>
      <c r="J493" s="2" t="s">
        <v>34</v>
      </c>
      <c r="K493" s="2" t="s">
        <v>34</v>
      </c>
      <c r="L493" s="2" t="s">
        <v>34</v>
      </c>
      <c r="M493" s="2" t="s">
        <v>34</v>
      </c>
      <c r="N493" s="2" t="s">
        <v>34</v>
      </c>
      <c r="O493" s="2" t="s">
        <v>34</v>
      </c>
      <c r="P493" s="3">
        <v>44773</v>
      </c>
      <c r="Q493" s="3">
        <v>44986</v>
      </c>
      <c r="R493" s="2" t="s">
        <v>146</v>
      </c>
      <c r="S493" s="2" t="s">
        <v>100</v>
      </c>
    </row>
    <row r="494" spans="1:19" hidden="1" x14ac:dyDescent="0.25">
      <c r="A494" s="2" t="s">
        <v>147</v>
      </c>
      <c r="B494" s="2" t="s">
        <v>97</v>
      </c>
      <c r="C494" s="2" t="s">
        <v>34</v>
      </c>
      <c r="D494" s="2" t="s">
        <v>148</v>
      </c>
      <c r="E494" s="2">
        <v>46</v>
      </c>
      <c r="F494" s="2">
        <v>29.157309999999999</v>
      </c>
      <c r="G494" s="2">
        <v>-82.881910000000005</v>
      </c>
      <c r="H494" s="2" t="s">
        <v>34</v>
      </c>
      <c r="I494" s="2" t="s">
        <v>46</v>
      </c>
      <c r="J494" s="2" t="s">
        <v>34</v>
      </c>
      <c r="K494" s="2" t="s">
        <v>34</v>
      </c>
      <c r="L494" s="2" t="s">
        <v>34</v>
      </c>
      <c r="M494" s="2" t="s">
        <v>34</v>
      </c>
      <c r="N494" s="2" t="s">
        <v>34</v>
      </c>
      <c r="O494" s="2" t="s">
        <v>34</v>
      </c>
      <c r="P494" s="3">
        <v>44773</v>
      </c>
      <c r="Q494" s="3">
        <v>44986</v>
      </c>
      <c r="R494" s="2" t="s">
        <v>149</v>
      </c>
      <c r="S494" s="2" t="s">
        <v>100</v>
      </c>
    </row>
    <row r="495" spans="1:19" hidden="1" x14ac:dyDescent="0.25">
      <c r="A495" s="2" t="s">
        <v>150</v>
      </c>
      <c r="B495" s="2" t="s">
        <v>97</v>
      </c>
      <c r="C495" s="2" t="s">
        <v>34</v>
      </c>
      <c r="D495" s="2" t="s">
        <v>151</v>
      </c>
      <c r="E495" s="2">
        <v>14</v>
      </c>
      <c r="F495" s="2">
        <v>29.112269999999999</v>
      </c>
      <c r="G495" s="2">
        <v>-82.810410000000005</v>
      </c>
      <c r="H495" s="2" t="s">
        <v>34</v>
      </c>
      <c r="I495" s="2" t="s">
        <v>46</v>
      </c>
      <c r="J495" s="2" t="s">
        <v>34</v>
      </c>
      <c r="K495" s="2" t="s">
        <v>34</v>
      </c>
      <c r="L495" s="2" t="s">
        <v>34</v>
      </c>
      <c r="M495" s="2" t="s">
        <v>34</v>
      </c>
      <c r="N495" s="2" t="s">
        <v>34</v>
      </c>
      <c r="O495" s="2" t="s">
        <v>34</v>
      </c>
      <c r="P495" s="3">
        <v>44773</v>
      </c>
      <c r="Q495" s="3">
        <v>44986</v>
      </c>
      <c r="R495" s="2" t="s">
        <v>152</v>
      </c>
      <c r="S495" s="2" t="s">
        <v>100</v>
      </c>
    </row>
    <row r="496" spans="1:19" hidden="1" x14ac:dyDescent="0.25">
      <c r="A496" s="2" t="s">
        <v>153</v>
      </c>
      <c r="B496" s="2" t="s">
        <v>97</v>
      </c>
      <c r="C496" s="2" t="s">
        <v>34</v>
      </c>
      <c r="D496" s="2" t="s">
        <v>154</v>
      </c>
      <c r="E496" s="2">
        <v>21</v>
      </c>
      <c r="F496" s="2">
        <v>29.114740000000001</v>
      </c>
      <c r="G496" s="2">
        <v>-82.818269999999998</v>
      </c>
      <c r="H496" s="2" t="s">
        <v>34</v>
      </c>
      <c r="I496" s="2" t="s">
        <v>46</v>
      </c>
      <c r="J496" s="2" t="s">
        <v>34</v>
      </c>
      <c r="K496" s="2" t="s">
        <v>34</v>
      </c>
      <c r="L496" s="2" t="s">
        <v>34</v>
      </c>
      <c r="M496" s="2" t="s">
        <v>34</v>
      </c>
      <c r="N496" s="2" t="s">
        <v>34</v>
      </c>
      <c r="O496" s="2" t="s">
        <v>34</v>
      </c>
      <c r="P496" s="3">
        <v>44773</v>
      </c>
      <c r="Q496" s="3">
        <v>44986</v>
      </c>
      <c r="R496" s="2" t="s">
        <v>155</v>
      </c>
      <c r="S496" s="2" t="s">
        <v>100</v>
      </c>
    </row>
    <row r="497" spans="1:19" hidden="1" x14ac:dyDescent="0.25">
      <c r="A497" s="2" t="s">
        <v>156</v>
      </c>
      <c r="B497" s="2" t="s">
        <v>97</v>
      </c>
      <c r="C497" s="2" t="s">
        <v>34</v>
      </c>
      <c r="D497" s="2" t="s">
        <v>157</v>
      </c>
      <c r="E497" s="2">
        <v>15</v>
      </c>
      <c r="F497" s="2">
        <v>29.112469999999998</v>
      </c>
      <c r="G497" s="2">
        <v>-82.809330000000003</v>
      </c>
      <c r="H497" s="2" t="s">
        <v>34</v>
      </c>
      <c r="I497" s="2" t="s">
        <v>46</v>
      </c>
      <c r="J497" s="2" t="s">
        <v>34</v>
      </c>
      <c r="K497" s="2" t="s">
        <v>34</v>
      </c>
      <c r="L497" s="2" t="s">
        <v>34</v>
      </c>
      <c r="M497" s="2" t="s">
        <v>34</v>
      </c>
      <c r="N497" s="2" t="s">
        <v>34</v>
      </c>
      <c r="O497" s="2" t="s">
        <v>34</v>
      </c>
      <c r="P497" s="3">
        <v>44773</v>
      </c>
      <c r="Q497" s="3">
        <v>44986</v>
      </c>
      <c r="R497" s="2" t="s">
        <v>158</v>
      </c>
      <c r="S497" s="2" t="s">
        <v>100</v>
      </c>
    </row>
    <row r="498" spans="1:19" hidden="1" x14ac:dyDescent="0.25">
      <c r="A498" s="2" t="s">
        <v>159</v>
      </c>
      <c r="B498" s="2" t="s">
        <v>97</v>
      </c>
      <c r="C498" s="2" t="s">
        <v>34</v>
      </c>
      <c r="D498" s="2" t="s">
        <v>160</v>
      </c>
      <c r="E498" s="2">
        <v>26</v>
      </c>
      <c r="F498" s="2">
        <v>29.116309999999999</v>
      </c>
      <c r="G498" s="2">
        <v>-82.819659999999999</v>
      </c>
      <c r="H498" s="2" t="s">
        <v>34</v>
      </c>
      <c r="I498" s="2" t="s">
        <v>46</v>
      </c>
      <c r="J498" s="2" t="s">
        <v>34</v>
      </c>
      <c r="K498" s="2" t="s">
        <v>34</v>
      </c>
      <c r="L498" s="2" t="s">
        <v>34</v>
      </c>
      <c r="M498" s="2" t="s">
        <v>34</v>
      </c>
      <c r="N498" s="2" t="s">
        <v>34</v>
      </c>
      <c r="O498" s="2" t="s">
        <v>34</v>
      </c>
      <c r="P498" s="3">
        <v>44773</v>
      </c>
      <c r="Q498" s="3">
        <v>44986</v>
      </c>
      <c r="R498" s="2" t="s">
        <v>161</v>
      </c>
      <c r="S498" s="2" t="s">
        <v>100</v>
      </c>
    </row>
    <row r="499" spans="1:19" hidden="1" x14ac:dyDescent="0.25">
      <c r="A499" s="2" t="s">
        <v>162</v>
      </c>
      <c r="B499" s="2" t="s">
        <v>97</v>
      </c>
      <c r="C499" s="2" t="s">
        <v>77</v>
      </c>
      <c r="D499" s="2" t="s">
        <v>163</v>
      </c>
      <c r="E499" s="2">
        <v>408</v>
      </c>
      <c r="F499" s="2">
        <v>29.0731</v>
      </c>
      <c r="G499" s="2">
        <v>-82.809650000000005</v>
      </c>
      <c r="H499" s="2" t="s">
        <v>34</v>
      </c>
      <c r="I499" s="2" t="s">
        <v>46</v>
      </c>
      <c r="J499" s="2" t="s">
        <v>34</v>
      </c>
      <c r="K499" s="2" t="s">
        <v>34</v>
      </c>
      <c r="L499" s="2" t="s">
        <v>34</v>
      </c>
      <c r="M499" s="2" t="s">
        <v>34</v>
      </c>
      <c r="N499" s="2" t="s">
        <v>34</v>
      </c>
      <c r="O499" s="2" t="s">
        <v>34</v>
      </c>
      <c r="P499" s="3">
        <v>44773</v>
      </c>
      <c r="Q499" s="3">
        <v>44986</v>
      </c>
      <c r="R499" s="2" t="s">
        <v>164</v>
      </c>
      <c r="S499" s="2" t="s">
        <v>100</v>
      </c>
    </row>
    <row r="500" spans="1:19" hidden="1" x14ac:dyDescent="0.25">
      <c r="A500" s="2" t="s">
        <v>165</v>
      </c>
      <c r="B500" s="2" t="s">
        <v>97</v>
      </c>
      <c r="C500" s="2" t="s">
        <v>34</v>
      </c>
      <c r="D500" s="2" t="s">
        <v>166</v>
      </c>
      <c r="E500" s="2">
        <v>30</v>
      </c>
      <c r="F500" s="2">
        <v>29.08962</v>
      </c>
      <c r="G500" s="2">
        <v>-82.811610000000002</v>
      </c>
      <c r="H500" s="2" t="s">
        <v>34</v>
      </c>
      <c r="I500" s="2" t="s">
        <v>46</v>
      </c>
      <c r="J500" s="2" t="s">
        <v>34</v>
      </c>
      <c r="K500" s="2" t="s">
        <v>34</v>
      </c>
      <c r="L500" s="2" t="s">
        <v>34</v>
      </c>
      <c r="M500" s="2" t="s">
        <v>34</v>
      </c>
      <c r="N500" s="2" t="s">
        <v>34</v>
      </c>
      <c r="O500" s="2" t="s">
        <v>34</v>
      </c>
      <c r="P500" s="3">
        <v>44773</v>
      </c>
      <c r="Q500" s="3">
        <v>44986</v>
      </c>
      <c r="R500" s="2" t="s">
        <v>167</v>
      </c>
      <c r="S500" s="2" t="s">
        <v>100</v>
      </c>
    </row>
    <row r="501" spans="1:19" hidden="1" x14ac:dyDescent="0.25">
      <c r="A501" s="2" t="s">
        <v>168</v>
      </c>
      <c r="B501" s="2" t="s">
        <v>97</v>
      </c>
      <c r="C501" s="2" t="s">
        <v>34</v>
      </c>
      <c r="D501" s="2" t="s">
        <v>169</v>
      </c>
      <c r="E501" s="2">
        <v>31</v>
      </c>
      <c r="F501" s="2">
        <v>29.091290000000001</v>
      </c>
      <c r="G501" s="2">
        <v>-82.809470000000005</v>
      </c>
      <c r="H501" s="2" t="s">
        <v>34</v>
      </c>
      <c r="I501" s="2" t="s">
        <v>46</v>
      </c>
      <c r="J501" s="2" t="s">
        <v>34</v>
      </c>
      <c r="K501" s="2" t="s">
        <v>34</v>
      </c>
      <c r="L501" s="2" t="s">
        <v>34</v>
      </c>
      <c r="M501" s="2" t="s">
        <v>34</v>
      </c>
      <c r="N501" s="2" t="s">
        <v>34</v>
      </c>
      <c r="O501" s="2" t="s">
        <v>34</v>
      </c>
      <c r="P501" s="3">
        <v>44773</v>
      </c>
      <c r="Q501" s="3">
        <v>44986</v>
      </c>
      <c r="R501" s="2" t="s">
        <v>170</v>
      </c>
      <c r="S501" s="2" t="s">
        <v>100</v>
      </c>
    </row>
    <row r="502" spans="1:19" hidden="1" x14ac:dyDescent="0.25">
      <c r="A502" s="2" t="s">
        <v>171</v>
      </c>
      <c r="B502" s="2" t="s">
        <v>97</v>
      </c>
      <c r="C502" s="2" t="s">
        <v>77</v>
      </c>
      <c r="D502" s="2" t="s">
        <v>172</v>
      </c>
      <c r="E502" s="2">
        <v>407</v>
      </c>
      <c r="F502" s="2">
        <v>29.072320000000001</v>
      </c>
      <c r="G502" s="2">
        <v>-82.810469999999995</v>
      </c>
      <c r="H502" s="2" t="s">
        <v>34</v>
      </c>
      <c r="I502" s="2" t="s">
        <v>46</v>
      </c>
      <c r="J502" s="2" t="s">
        <v>34</v>
      </c>
      <c r="K502" s="2" t="s">
        <v>34</v>
      </c>
      <c r="L502" s="2" t="s">
        <v>34</v>
      </c>
      <c r="M502" s="2" t="s">
        <v>34</v>
      </c>
      <c r="N502" s="2" t="s">
        <v>34</v>
      </c>
      <c r="O502" s="2" t="s">
        <v>34</v>
      </c>
      <c r="P502" s="3">
        <v>44773</v>
      </c>
      <c r="Q502" s="3">
        <v>44986</v>
      </c>
      <c r="R502" s="2" t="s">
        <v>173</v>
      </c>
      <c r="S502" s="2" t="s">
        <v>100</v>
      </c>
    </row>
    <row r="503" spans="1:19" hidden="1" x14ac:dyDescent="0.25">
      <c r="A503" s="2" t="s">
        <v>174</v>
      </c>
      <c r="B503" s="2" t="s">
        <v>97</v>
      </c>
      <c r="C503" s="2" t="s">
        <v>77</v>
      </c>
      <c r="D503" s="2" t="s">
        <v>175</v>
      </c>
      <c r="E503" s="2">
        <v>300</v>
      </c>
      <c r="F503" s="2">
        <v>29.05292</v>
      </c>
      <c r="G503" s="2">
        <v>-82.79477</v>
      </c>
      <c r="H503" s="2" t="s">
        <v>34</v>
      </c>
      <c r="I503" s="2" t="s">
        <v>46</v>
      </c>
      <c r="J503" s="2" t="s">
        <v>34</v>
      </c>
      <c r="K503" s="2" t="s">
        <v>34</v>
      </c>
      <c r="L503" s="2" t="s">
        <v>34</v>
      </c>
      <c r="M503" s="2" t="s">
        <v>34</v>
      </c>
      <c r="N503" s="2" t="s">
        <v>34</v>
      </c>
      <c r="O503" s="2" t="s">
        <v>34</v>
      </c>
      <c r="P503" s="3">
        <v>44773</v>
      </c>
      <c r="Q503" s="3">
        <v>44986</v>
      </c>
      <c r="R503" s="2" t="s">
        <v>176</v>
      </c>
      <c r="S503" s="2" t="s">
        <v>100</v>
      </c>
    </row>
    <row r="504" spans="1:19" hidden="1" x14ac:dyDescent="0.25">
      <c r="A504" s="2" t="s">
        <v>177</v>
      </c>
      <c r="B504" s="2" t="s">
        <v>97</v>
      </c>
      <c r="C504" s="2" t="s">
        <v>77</v>
      </c>
      <c r="D504" s="2" t="s">
        <v>178</v>
      </c>
      <c r="E504" s="2">
        <v>321</v>
      </c>
      <c r="F504" s="2">
        <v>29.054279999999999</v>
      </c>
      <c r="G504" s="2">
        <v>-82.786259999999999</v>
      </c>
      <c r="H504" s="2" t="s">
        <v>34</v>
      </c>
      <c r="I504" s="2" t="s">
        <v>46</v>
      </c>
      <c r="J504" s="2" t="s">
        <v>34</v>
      </c>
      <c r="K504" s="2" t="s">
        <v>34</v>
      </c>
      <c r="L504" s="2" t="s">
        <v>34</v>
      </c>
      <c r="M504" s="2" t="s">
        <v>34</v>
      </c>
      <c r="N504" s="2" t="s">
        <v>34</v>
      </c>
      <c r="O504" s="2" t="s">
        <v>34</v>
      </c>
      <c r="P504" s="3">
        <v>44773</v>
      </c>
      <c r="Q504" s="3">
        <v>44986</v>
      </c>
      <c r="R504" s="2" t="s">
        <v>179</v>
      </c>
      <c r="S504" s="2" t="s">
        <v>100</v>
      </c>
    </row>
    <row r="505" spans="1:19" hidden="1" x14ac:dyDescent="0.25">
      <c r="A505" s="2" t="s">
        <v>180</v>
      </c>
      <c r="B505" s="2" t="s">
        <v>97</v>
      </c>
      <c r="C505" s="2" t="s">
        <v>77</v>
      </c>
      <c r="D505" s="2" t="s">
        <v>181</v>
      </c>
      <c r="E505" s="2">
        <v>334</v>
      </c>
      <c r="F505" s="2">
        <v>29.056290000000001</v>
      </c>
      <c r="G505" s="2">
        <v>-82.794799999999995</v>
      </c>
      <c r="H505" s="2" t="s">
        <v>34</v>
      </c>
      <c r="I505" s="2" t="s">
        <v>46</v>
      </c>
      <c r="J505" s="2" t="s">
        <v>34</v>
      </c>
      <c r="K505" s="2" t="s">
        <v>34</v>
      </c>
      <c r="L505" s="2" t="s">
        <v>34</v>
      </c>
      <c r="M505" s="2" t="s">
        <v>34</v>
      </c>
      <c r="N505" s="2" t="s">
        <v>34</v>
      </c>
      <c r="O505" s="2" t="s">
        <v>34</v>
      </c>
      <c r="P505" s="3">
        <v>44773</v>
      </c>
      <c r="Q505" s="3">
        <v>44986</v>
      </c>
      <c r="R505" s="2" t="s">
        <v>182</v>
      </c>
      <c r="S505" s="2" t="s">
        <v>100</v>
      </c>
    </row>
    <row r="506" spans="1:19" hidden="1" x14ac:dyDescent="0.25">
      <c r="A506" s="2" t="s">
        <v>183</v>
      </c>
      <c r="B506" s="2" t="s">
        <v>97</v>
      </c>
      <c r="C506" s="2" t="s">
        <v>77</v>
      </c>
      <c r="D506" s="2" t="s">
        <v>184</v>
      </c>
      <c r="E506" s="2">
        <v>340</v>
      </c>
      <c r="F506" s="2">
        <v>29.05668</v>
      </c>
      <c r="G506" s="2">
        <v>-82.782200000000003</v>
      </c>
      <c r="H506" s="2" t="s">
        <v>34</v>
      </c>
      <c r="I506" s="2" t="s">
        <v>46</v>
      </c>
      <c r="J506" s="2" t="s">
        <v>34</v>
      </c>
      <c r="K506" s="2" t="s">
        <v>34</v>
      </c>
      <c r="L506" s="2" t="s">
        <v>34</v>
      </c>
      <c r="M506" s="2" t="s">
        <v>34</v>
      </c>
      <c r="N506" s="2" t="s">
        <v>34</v>
      </c>
      <c r="O506" s="2" t="s">
        <v>34</v>
      </c>
      <c r="P506" s="3">
        <v>44773</v>
      </c>
      <c r="Q506" s="3">
        <v>44986</v>
      </c>
      <c r="R506" s="2" t="s">
        <v>185</v>
      </c>
      <c r="S506" s="2" t="s">
        <v>100</v>
      </c>
    </row>
    <row r="507" spans="1:19" hidden="1" x14ac:dyDescent="0.25">
      <c r="A507" s="2" t="s">
        <v>186</v>
      </c>
      <c r="B507" s="2" t="s">
        <v>97</v>
      </c>
      <c r="C507" s="2" t="s">
        <v>77</v>
      </c>
      <c r="D507" s="2" t="s">
        <v>187</v>
      </c>
      <c r="E507" s="2">
        <v>365</v>
      </c>
      <c r="F507" s="2">
        <v>29.060089999999999</v>
      </c>
      <c r="G507" s="2">
        <v>-82.794650000000004</v>
      </c>
      <c r="H507" s="2" t="s">
        <v>34</v>
      </c>
      <c r="I507" s="2" t="s">
        <v>46</v>
      </c>
      <c r="J507" s="2" t="s">
        <v>34</v>
      </c>
      <c r="K507" s="2" t="s">
        <v>34</v>
      </c>
      <c r="L507" s="2" t="s">
        <v>34</v>
      </c>
      <c r="M507" s="2" t="s">
        <v>34</v>
      </c>
      <c r="N507" s="2" t="s">
        <v>34</v>
      </c>
      <c r="O507" s="2" t="s">
        <v>34</v>
      </c>
      <c r="P507" s="3">
        <v>44773</v>
      </c>
      <c r="Q507" s="3">
        <v>44986</v>
      </c>
      <c r="R507" s="2" t="s">
        <v>188</v>
      </c>
      <c r="S507" s="2" t="s">
        <v>100</v>
      </c>
    </row>
    <row r="508" spans="1:19" hidden="1" x14ac:dyDescent="0.25">
      <c r="A508" s="2" t="s">
        <v>189</v>
      </c>
      <c r="B508" s="2" t="s">
        <v>97</v>
      </c>
      <c r="C508" s="2" t="s">
        <v>77</v>
      </c>
      <c r="D508" s="2" t="s">
        <v>190</v>
      </c>
      <c r="E508" s="2">
        <v>267</v>
      </c>
      <c r="F508" s="2">
        <v>29.049499999999998</v>
      </c>
      <c r="G508" s="2">
        <v>-82.81035</v>
      </c>
      <c r="H508" s="2" t="s">
        <v>34</v>
      </c>
      <c r="I508" s="2" t="s">
        <v>46</v>
      </c>
      <c r="J508" s="2" t="s">
        <v>34</v>
      </c>
      <c r="K508" s="2" t="s">
        <v>34</v>
      </c>
      <c r="L508" s="2" t="s">
        <v>34</v>
      </c>
      <c r="M508" s="2" t="s">
        <v>34</v>
      </c>
      <c r="N508" s="2" t="s">
        <v>34</v>
      </c>
      <c r="O508" s="2" t="s">
        <v>34</v>
      </c>
      <c r="P508" s="3">
        <v>44773</v>
      </c>
      <c r="Q508" s="3">
        <v>44986</v>
      </c>
      <c r="R508" s="2" t="s">
        <v>191</v>
      </c>
      <c r="S508" s="2" t="s">
        <v>100</v>
      </c>
    </row>
    <row r="509" spans="1:19" hidden="1" x14ac:dyDescent="0.25">
      <c r="A509" s="2" t="s">
        <v>192</v>
      </c>
      <c r="B509" s="2" t="s">
        <v>97</v>
      </c>
      <c r="C509" s="2" t="s">
        <v>34</v>
      </c>
      <c r="D509" s="2" t="s">
        <v>193</v>
      </c>
      <c r="E509" s="2">
        <v>95</v>
      </c>
      <c r="F509" s="2">
        <v>29.15559</v>
      </c>
      <c r="G509" s="2">
        <v>-82.818060000000003</v>
      </c>
      <c r="H509" s="2" t="s">
        <v>34</v>
      </c>
      <c r="I509" s="2" t="s">
        <v>46</v>
      </c>
      <c r="J509" s="2" t="s">
        <v>34</v>
      </c>
      <c r="K509" s="2" t="s">
        <v>34</v>
      </c>
      <c r="L509" s="2" t="s">
        <v>34</v>
      </c>
      <c r="M509" s="2" t="s">
        <v>34</v>
      </c>
      <c r="N509" s="2" t="s">
        <v>34</v>
      </c>
      <c r="O509" s="2" t="s">
        <v>34</v>
      </c>
      <c r="P509" s="3">
        <v>44773</v>
      </c>
      <c r="Q509" s="3">
        <v>44986</v>
      </c>
      <c r="R509" s="2" t="s">
        <v>194</v>
      </c>
      <c r="S509" s="2" t="s">
        <v>100</v>
      </c>
    </row>
    <row r="510" spans="1:19" hidden="1" x14ac:dyDescent="0.25">
      <c r="A510" s="2" t="s">
        <v>195</v>
      </c>
      <c r="B510" s="2" t="s">
        <v>97</v>
      </c>
      <c r="C510" s="2" t="s">
        <v>34</v>
      </c>
      <c r="D510" s="2" t="s">
        <v>196</v>
      </c>
      <c r="E510" s="2">
        <v>98</v>
      </c>
      <c r="F510" s="2">
        <v>29.157150000000001</v>
      </c>
      <c r="G510" s="2">
        <v>-82.822810000000004</v>
      </c>
      <c r="H510" s="2" t="s">
        <v>34</v>
      </c>
      <c r="I510" s="2" t="s">
        <v>46</v>
      </c>
      <c r="J510" s="2" t="s">
        <v>34</v>
      </c>
      <c r="K510" s="2" t="s">
        <v>34</v>
      </c>
      <c r="L510" s="2" t="s">
        <v>34</v>
      </c>
      <c r="M510" s="2" t="s">
        <v>34</v>
      </c>
      <c r="N510" s="2" t="s">
        <v>34</v>
      </c>
      <c r="O510" s="2" t="s">
        <v>34</v>
      </c>
      <c r="P510" s="3">
        <v>44773</v>
      </c>
      <c r="Q510" s="3">
        <v>44986</v>
      </c>
      <c r="R510" s="2" t="s">
        <v>197</v>
      </c>
      <c r="S510" s="2" t="s">
        <v>100</v>
      </c>
    </row>
    <row r="511" spans="1:19" hidden="1" x14ac:dyDescent="0.25">
      <c r="A511" s="2" t="s">
        <v>198</v>
      </c>
      <c r="B511" s="2" t="s">
        <v>97</v>
      </c>
      <c r="C511" s="2" t="s">
        <v>34</v>
      </c>
      <c r="D511" s="2" t="s">
        <v>199</v>
      </c>
      <c r="E511" s="2">
        <v>100</v>
      </c>
      <c r="F511" s="2">
        <v>29.156860000000002</v>
      </c>
      <c r="G511" s="2">
        <v>-82.810860000000005</v>
      </c>
      <c r="H511" s="2" t="s">
        <v>34</v>
      </c>
      <c r="I511" s="2" t="s">
        <v>46</v>
      </c>
      <c r="J511" s="2" t="s">
        <v>34</v>
      </c>
      <c r="K511" s="2" t="s">
        <v>34</v>
      </c>
      <c r="L511" s="2" t="s">
        <v>34</v>
      </c>
      <c r="M511" s="2" t="s">
        <v>34</v>
      </c>
      <c r="N511" s="2" t="s">
        <v>34</v>
      </c>
      <c r="O511" s="2" t="s">
        <v>34</v>
      </c>
      <c r="P511" s="3">
        <v>44773</v>
      </c>
      <c r="Q511" s="3">
        <v>44986</v>
      </c>
      <c r="R511" s="2" t="s">
        <v>200</v>
      </c>
      <c r="S511" s="2" t="s">
        <v>100</v>
      </c>
    </row>
    <row r="512" spans="1:19" hidden="1" x14ac:dyDescent="0.25">
      <c r="A512" s="2" t="s">
        <v>201</v>
      </c>
      <c r="B512" s="2" t="s">
        <v>97</v>
      </c>
      <c r="C512" s="2" t="s">
        <v>34</v>
      </c>
      <c r="D512" s="2" t="s">
        <v>202</v>
      </c>
      <c r="E512" s="2">
        <v>121</v>
      </c>
      <c r="F512" s="2">
        <v>29.162459999999999</v>
      </c>
      <c r="G512" s="2">
        <v>-82.819699999999997</v>
      </c>
      <c r="H512" s="2" t="s">
        <v>34</v>
      </c>
      <c r="I512" s="2" t="s">
        <v>46</v>
      </c>
      <c r="J512" s="2" t="s">
        <v>34</v>
      </c>
      <c r="K512" s="2" t="s">
        <v>34</v>
      </c>
      <c r="L512" s="2" t="s">
        <v>34</v>
      </c>
      <c r="M512" s="2" t="s">
        <v>34</v>
      </c>
      <c r="N512" s="2" t="s">
        <v>34</v>
      </c>
      <c r="O512" s="2" t="s">
        <v>34</v>
      </c>
      <c r="P512" s="3">
        <v>44773</v>
      </c>
      <c r="Q512" s="3">
        <v>44986</v>
      </c>
      <c r="R512" s="2" t="s">
        <v>203</v>
      </c>
      <c r="S512" s="2" t="s">
        <v>100</v>
      </c>
    </row>
    <row r="513" spans="1:19" hidden="1" x14ac:dyDescent="0.25">
      <c r="A513" s="2" t="s">
        <v>204</v>
      </c>
      <c r="B513" s="2" t="s">
        <v>97</v>
      </c>
      <c r="C513" s="2" t="s">
        <v>34</v>
      </c>
      <c r="D513" s="2" t="s">
        <v>205</v>
      </c>
      <c r="E513" s="2">
        <v>126</v>
      </c>
      <c r="F513" s="2">
        <v>29.163150000000002</v>
      </c>
      <c r="G513" s="2">
        <v>-82.806960000000004</v>
      </c>
      <c r="H513" s="2" t="s">
        <v>34</v>
      </c>
      <c r="I513" s="2" t="s">
        <v>46</v>
      </c>
      <c r="J513" s="2" t="s">
        <v>34</v>
      </c>
      <c r="K513" s="2" t="s">
        <v>34</v>
      </c>
      <c r="L513" s="2" t="s">
        <v>34</v>
      </c>
      <c r="M513" s="2" t="s">
        <v>34</v>
      </c>
      <c r="N513" s="2" t="s">
        <v>34</v>
      </c>
      <c r="O513" s="2" t="s">
        <v>34</v>
      </c>
      <c r="P513" s="3">
        <v>44773</v>
      </c>
      <c r="Q513" s="3">
        <v>44986</v>
      </c>
      <c r="R513" s="2" t="s">
        <v>206</v>
      </c>
      <c r="S513" s="2" t="s">
        <v>100</v>
      </c>
    </row>
    <row r="514" spans="1:19" hidden="1" x14ac:dyDescent="0.25">
      <c r="A514" s="2" t="s">
        <v>207</v>
      </c>
      <c r="B514" s="2" t="s">
        <v>97</v>
      </c>
      <c r="C514" s="2" t="s">
        <v>77</v>
      </c>
      <c r="D514" s="2" t="s">
        <v>208</v>
      </c>
      <c r="E514" s="2">
        <v>16</v>
      </c>
      <c r="F514" s="2">
        <v>29.008759999999999</v>
      </c>
      <c r="G514" s="2">
        <v>-82.764179999999996</v>
      </c>
      <c r="H514" s="2" t="s">
        <v>34</v>
      </c>
      <c r="I514" s="2" t="s">
        <v>46</v>
      </c>
      <c r="J514" s="2" t="s">
        <v>34</v>
      </c>
      <c r="K514" s="2" t="s">
        <v>34</v>
      </c>
      <c r="L514" s="2" t="s">
        <v>34</v>
      </c>
      <c r="M514" s="2" t="s">
        <v>34</v>
      </c>
      <c r="N514" s="2" t="s">
        <v>34</v>
      </c>
      <c r="O514" s="2" t="s">
        <v>34</v>
      </c>
      <c r="P514" s="3">
        <v>44773</v>
      </c>
      <c r="Q514" s="3">
        <v>44986</v>
      </c>
      <c r="R514" s="2" t="s">
        <v>209</v>
      </c>
      <c r="S514" s="2" t="s">
        <v>100</v>
      </c>
    </row>
    <row r="515" spans="1:19" hidden="1" x14ac:dyDescent="0.25">
      <c r="A515" s="2" t="s">
        <v>210</v>
      </c>
      <c r="B515" s="2" t="s">
        <v>97</v>
      </c>
      <c r="C515" s="2" t="s">
        <v>77</v>
      </c>
      <c r="D515" s="2" t="s">
        <v>211</v>
      </c>
      <c r="E515" s="2">
        <v>78</v>
      </c>
      <c r="F515" s="2">
        <v>29.028220000000001</v>
      </c>
      <c r="G515" s="2">
        <v>-82.757040000000003</v>
      </c>
      <c r="H515" s="2" t="s">
        <v>34</v>
      </c>
      <c r="I515" s="2" t="s">
        <v>46</v>
      </c>
      <c r="J515" s="2" t="s">
        <v>34</v>
      </c>
      <c r="K515" s="2" t="s">
        <v>34</v>
      </c>
      <c r="L515" s="2" t="s">
        <v>34</v>
      </c>
      <c r="M515" s="2" t="s">
        <v>34</v>
      </c>
      <c r="N515" s="2" t="s">
        <v>34</v>
      </c>
      <c r="O515" s="2" t="s">
        <v>34</v>
      </c>
      <c r="P515" s="3">
        <v>44773</v>
      </c>
      <c r="Q515" s="3">
        <v>44986</v>
      </c>
      <c r="R515" s="2" t="s">
        <v>212</v>
      </c>
      <c r="S515" s="2" t="s">
        <v>100</v>
      </c>
    </row>
    <row r="516" spans="1:19" hidden="1" x14ac:dyDescent="0.25">
      <c r="A516" s="2" t="s">
        <v>213</v>
      </c>
      <c r="B516" s="2" t="s">
        <v>97</v>
      </c>
      <c r="C516" s="2" t="s">
        <v>77</v>
      </c>
      <c r="D516" s="2" t="s">
        <v>214</v>
      </c>
      <c r="E516" s="2">
        <v>96</v>
      </c>
      <c r="F516" s="2">
        <v>29.02976</v>
      </c>
      <c r="G516" s="2">
        <v>-82.757289999999998</v>
      </c>
      <c r="H516" s="2" t="s">
        <v>34</v>
      </c>
      <c r="I516" s="2" t="s">
        <v>46</v>
      </c>
      <c r="J516" s="2" t="s">
        <v>34</v>
      </c>
      <c r="K516" s="2" t="s">
        <v>34</v>
      </c>
      <c r="L516" s="2" t="s">
        <v>34</v>
      </c>
      <c r="M516" s="2" t="s">
        <v>34</v>
      </c>
      <c r="N516" s="2" t="s">
        <v>34</v>
      </c>
      <c r="O516" s="2" t="s">
        <v>34</v>
      </c>
      <c r="P516" s="3">
        <v>44773</v>
      </c>
      <c r="Q516" s="3">
        <v>44986</v>
      </c>
      <c r="R516" s="2" t="s">
        <v>215</v>
      </c>
      <c r="S516" s="2" t="s">
        <v>100</v>
      </c>
    </row>
    <row r="517" spans="1:19" hidden="1" x14ac:dyDescent="0.25">
      <c r="A517" s="2" t="s">
        <v>216</v>
      </c>
      <c r="B517" s="2" t="s">
        <v>97</v>
      </c>
      <c r="C517" s="2" t="s">
        <v>77</v>
      </c>
      <c r="D517" s="2" t="s">
        <v>217</v>
      </c>
      <c r="E517" s="2">
        <v>50</v>
      </c>
      <c r="F517" s="2">
        <v>29.021059999999999</v>
      </c>
      <c r="G517" s="2">
        <v>-82.753140000000002</v>
      </c>
      <c r="H517" s="2" t="s">
        <v>34</v>
      </c>
      <c r="I517" s="2" t="s">
        <v>46</v>
      </c>
      <c r="J517" s="2" t="s">
        <v>34</v>
      </c>
      <c r="K517" s="2" t="s">
        <v>34</v>
      </c>
      <c r="L517" s="2" t="s">
        <v>34</v>
      </c>
      <c r="M517" s="2" t="s">
        <v>34</v>
      </c>
      <c r="N517" s="2" t="s">
        <v>34</v>
      </c>
      <c r="O517" s="2" t="s">
        <v>34</v>
      </c>
      <c r="P517" s="3">
        <v>44773</v>
      </c>
      <c r="Q517" s="3">
        <v>44986</v>
      </c>
      <c r="R517" s="2" t="s">
        <v>218</v>
      </c>
      <c r="S517" s="2" t="s">
        <v>100</v>
      </c>
    </row>
    <row r="518" spans="1:19" hidden="1" x14ac:dyDescent="0.25">
      <c r="A518" s="2" t="s">
        <v>219</v>
      </c>
      <c r="B518" s="2" t="s">
        <v>97</v>
      </c>
      <c r="C518" s="2" t="s">
        <v>77</v>
      </c>
      <c r="D518" s="2" t="s">
        <v>220</v>
      </c>
      <c r="E518" s="2">
        <v>44</v>
      </c>
      <c r="F518" s="2">
        <v>29.019539999999999</v>
      </c>
      <c r="G518" s="2">
        <v>-82.764179999999996</v>
      </c>
      <c r="H518" s="2" t="s">
        <v>34</v>
      </c>
      <c r="I518" s="2" t="s">
        <v>46</v>
      </c>
      <c r="J518" s="2" t="s">
        <v>34</v>
      </c>
      <c r="K518" s="2" t="s">
        <v>34</v>
      </c>
      <c r="L518" s="2" t="s">
        <v>34</v>
      </c>
      <c r="M518" s="2" t="s">
        <v>34</v>
      </c>
      <c r="N518" s="2" t="s">
        <v>34</v>
      </c>
      <c r="O518" s="2" t="s">
        <v>34</v>
      </c>
      <c r="P518" s="3">
        <v>44773</v>
      </c>
      <c r="Q518" s="3">
        <v>44986</v>
      </c>
      <c r="R518" s="2" t="s">
        <v>221</v>
      </c>
      <c r="S518" s="2" t="s">
        <v>100</v>
      </c>
    </row>
    <row r="519" spans="1:19" hidden="1" x14ac:dyDescent="0.25">
      <c r="A519" s="2" t="s">
        <v>222</v>
      </c>
      <c r="B519" s="2" t="s">
        <v>97</v>
      </c>
      <c r="C519" s="2" t="s">
        <v>77</v>
      </c>
      <c r="D519" s="2" t="s">
        <v>223</v>
      </c>
      <c r="E519" s="2">
        <v>158</v>
      </c>
      <c r="F519" s="2">
        <v>29.037130000000001</v>
      </c>
      <c r="G519" s="2">
        <v>-82.757779999999997</v>
      </c>
      <c r="H519" s="2" t="s">
        <v>34</v>
      </c>
      <c r="I519" s="2" t="s">
        <v>46</v>
      </c>
      <c r="J519" s="2" t="s">
        <v>34</v>
      </c>
      <c r="K519" s="2" t="s">
        <v>34</v>
      </c>
      <c r="L519" s="2" t="s">
        <v>34</v>
      </c>
      <c r="M519" s="2" t="s">
        <v>34</v>
      </c>
      <c r="N519" s="2" t="s">
        <v>34</v>
      </c>
      <c r="O519" s="2" t="s">
        <v>34</v>
      </c>
      <c r="P519" s="3">
        <v>44773</v>
      </c>
      <c r="Q519" s="3">
        <v>44986</v>
      </c>
      <c r="R519" s="2" t="s">
        <v>224</v>
      </c>
      <c r="S519" s="2" t="s">
        <v>100</v>
      </c>
    </row>
    <row r="520" spans="1:19" hidden="1" x14ac:dyDescent="0.25">
      <c r="A520" s="2" t="s">
        <v>225</v>
      </c>
      <c r="B520" s="2" t="s">
        <v>97</v>
      </c>
      <c r="C520" s="2" t="s">
        <v>77</v>
      </c>
      <c r="D520" s="2" t="s">
        <v>226</v>
      </c>
      <c r="E520" s="2">
        <v>226</v>
      </c>
      <c r="F520" s="2">
        <v>29.04374</v>
      </c>
      <c r="G520" s="2">
        <v>-82.753320000000002</v>
      </c>
      <c r="H520" s="2" t="s">
        <v>34</v>
      </c>
      <c r="I520" s="2" t="s">
        <v>46</v>
      </c>
      <c r="J520" s="2" t="s">
        <v>34</v>
      </c>
      <c r="K520" s="2" t="s">
        <v>34</v>
      </c>
      <c r="L520" s="2" t="s">
        <v>34</v>
      </c>
      <c r="M520" s="2" t="s">
        <v>34</v>
      </c>
      <c r="N520" s="2" t="s">
        <v>34</v>
      </c>
      <c r="O520" s="2" t="s">
        <v>34</v>
      </c>
      <c r="P520" s="3">
        <v>44773</v>
      </c>
      <c r="Q520" s="3">
        <v>44986</v>
      </c>
      <c r="R520" s="2" t="s">
        <v>227</v>
      </c>
      <c r="S520" s="2" t="s">
        <v>100</v>
      </c>
    </row>
    <row r="521" spans="1:19" hidden="1" x14ac:dyDescent="0.25">
      <c r="A521" s="2" t="s">
        <v>228</v>
      </c>
      <c r="B521" s="2" t="s">
        <v>97</v>
      </c>
      <c r="C521" s="2" t="s">
        <v>77</v>
      </c>
      <c r="D521" s="2" t="s">
        <v>229</v>
      </c>
      <c r="E521" s="2">
        <v>86</v>
      </c>
      <c r="F521" s="2">
        <v>29.03715</v>
      </c>
      <c r="G521" s="2">
        <v>-82.752139999999997</v>
      </c>
      <c r="H521" s="2" t="s">
        <v>34</v>
      </c>
      <c r="I521" s="2" t="s">
        <v>46</v>
      </c>
      <c r="J521" s="2" t="s">
        <v>34</v>
      </c>
      <c r="K521" s="2" t="s">
        <v>34</v>
      </c>
      <c r="L521" s="2" t="s">
        <v>34</v>
      </c>
      <c r="M521" s="2" t="s">
        <v>34</v>
      </c>
      <c r="N521" s="2" t="s">
        <v>34</v>
      </c>
      <c r="O521" s="2" t="s">
        <v>34</v>
      </c>
      <c r="P521" s="3">
        <v>44773</v>
      </c>
      <c r="Q521" s="3">
        <v>44986</v>
      </c>
      <c r="R521" s="2" t="s">
        <v>230</v>
      </c>
      <c r="S521" s="2" t="s">
        <v>100</v>
      </c>
    </row>
    <row r="522" spans="1:19" hidden="1" x14ac:dyDescent="0.25">
      <c r="A522" s="2" t="s">
        <v>231</v>
      </c>
      <c r="B522" s="2" t="s">
        <v>97</v>
      </c>
      <c r="C522" s="2" t="s">
        <v>77</v>
      </c>
      <c r="D522" s="2" t="s">
        <v>232</v>
      </c>
      <c r="E522" s="2">
        <v>207</v>
      </c>
      <c r="F522" s="2">
        <v>29.042960000000001</v>
      </c>
      <c r="G522" s="2">
        <v>-82.757199999999997</v>
      </c>
      <c r="H522" s="2" t="s">
        <v>34</v>
      </c>
      <c r="I522" s="2" t="s">
        <v>46</v>
      </c>
      <c r="J522" s="2" t="s">
        <v>34</v>
      </c>
      <c r="K522" s="2" t="s">
        <v>34</v>
      </c>
      <c r="L522" s="2" t="s">
        <v>34</v>
      </c>
      <c r="M522" s="2" t="s">
        <v>34</v>
      </c>
      <c r="N522" s="2" t="s">
        <v>34</v>
      </c>
      <c r="O522" s="2" t="s">
        <v>34</v>
      </c>
      <c r="P522" s="3">
        <v>44773</v>
      </c>
      <c r="Q522" s="3">
        <v>44986</v>
      </c>
      <c r="R522" s="2" t="s">
        <v>233</v>
      </c>
      <c r="S522" s="2" t="s">
        <v>100</v>
      </c>
    </row>
    <row r="523" spans="1:19" hidden="1" x14ac:dyDescent="0.25">
      <c r="A523" s="2" t="s">
        <v>234</v>
      </c>
      <c r="B523" s="2" t="s">
        <v>97</v>
      </c>
      <c r="C523" s="2" t="s">
        <v>77</v>
      </c>
      <c r="D523" s="2" t="s">
        <v>235</v>
      </c>
      <c r="E523" s="2">
        <v>180</v>
      </c>
      <c r="F523" s="2">
        <v>29.040369999999999</v>
      </c>
      <c r="G523" s="2">
        <v>-82.78783</v>
      </c>
      <c r="H523" s="2" t="s">
        <v>34</v>
      </c>
      <c r="I523" s="2" t="s">
        <v>46</v>
      </c>
      <c r="J523" s="2" t="s">
        <v>34</v>
      </c>
      <c r="K523" s="2" t="s">
        <v>34</v>
      </c>
      <c r="L523" s="2" t="s">
        <v>34</v>
      </c>
      <c r="M523" s="2" t="s">
        <v>34</v>
      </c>
      <c r="N523" s="2" t="s">
        <v>34</v>
      </c>
      <c r="O523" s="2" t="s">
        <v>34</v>
      </c>
      <c r="P523" s="3">
        <v>44773</v>
      </c>
      <c r="Q523" s="3">
        <v>44986</v>
      </c>
      <c r="R523" s="2" t="s">
        <v>236</v>
      </c>
      <c r="S523" s="2" t="s">
        <v>100</v>
      </c>
    </row>
    <row r="524" spans="1:19" hidden="1" x14ac:dyDescent="0.25">
      <c r="A524" s="2" t="s">
        <v>237</v>
      </c>
      <c r="B524" s="2" t="s">
        <v>97</v>
      </c>
      <c r="C524" s="2" t="s">
        <v>77</v>
      </c>
      <c r="D524" s="2" t="s">
        <v>238</v>
      </c>
      <c r="E524" s="2">
        <v>115</v>
      </c>
      <c r="F524" s="2">
        <v>29.033339999999999</v>
      </c>
      <c r="G524" s="2">
        <v>-82.780069999999995</v>
      </c>
      <c r="H524" s="2" t="s">
        <v>34</v>
      </c>
      <c r="I524" s="2" t="s">
        <v>46</v>
      </c>
      <c r="J524" s="2" t="s">
        <v>34</v>
      </c>
      <c r="K524" s="2" t="s">
        <v>34</v>
      </c>
      <c r="L524" s="2" t="s">
        <v>34</v>
      </c>
      <c r="M524" s="2" t="s">
        <v>34</v>
      </c>
      <c r="N524" s="2" t="s">
        <v>34</v>
      </c>
      <c r="O524" s="2" t="s">
        <v>34</v>
      </c>
      <c r="P524" s="3">
        <v>44773</v>
      </c>
      <c r="Q524" s="3">
        <v>44986</v>
      </c>
      <c r="R524" s="2" t="s">
        <v>239</v>
      </c>
      <c r="S524" s="2" t="s">
        <v>100</v>
      </c>
    </row>
    <row r="525" spans="1:19" hidden="1" x14ac:dyDescent="0.25">
      <c r="A525" s="2" t="s">
        <v>240</v>
      </c>
      <c r="B525" s="2" t="s">
        <v>97</v>
      </c>
      <c r="C525" s="2" t="s">
        <v>77</v>
      </c>
      <c r="D525" s="2" t="s">
        <v>241</v>
      </c>
      <c r="E525" s="2">
        <v>116</v>
      </c>
      <c r="F525" s="2">
        <v>29.03331</v>
      </c>
      <c r="G525" s="2">
        <v>-82.777979999999999</v>
      </c>
      <c r="H525" s="2" t="s">
        <v>34</v>
      </c>
      <c r="I525" s="2" t="s">
        <v>46</v>
      </c>
      <c r="J525" s="2" t="s">
        <v>34</v>
      </c>
      <c r="K525" s="2" t="s">
        <v>34</v>
      </c>
      <c r="L525" s="2" t="s">
        <v>34</v>
      </c>
      <c r="M525" s="2" t="s">
        <v>34</v>
      </c>
      <c r="N525" s="2" t="s">
        <v>34</v>
      </c>
      <c r="O525" s="2" t="s">
        <v>34</v>
      </c>
      <c r="P525" s="3">
        <v>44773</v>
      </c>
      <c r="Q525" s="3">
        <v>44986</v>
      </c>
      <c r="R525" s="2" t="s">
        <v>242</v>
      </c>
      <c r="S525" s="2" t="s">
        <v>100</v>
      </c>
    </row>
    <row r="526" spans="1:19" hidden="1" x14ac:dyDescent="0.25">
      <c r="A526" s="2" t="s">
        <v>243</v>
      </c>
      <c r="B526" s="2" t="s">
        <v>97</v>
      </c>
      <c r="C526" s="2" t="s">
        <v>77</v>
      </c>
      <c r="D526" s="2" t="s">
        <v>244</v>
      </c>
      <c r="E526" s="2">
        <v>194</v>
      </c>
      <c r="F526" s="2">
        <v>29.042840000000002</v>
      </c>
      <c r="G526" s="2">
        <v>-82.799329999999998</v>
      </c>
      <c r="H526" s="2" t="s">
        <v>34</v>
      </c>
      <c r="I526" s="2" t="s">
        <v>46</v>
      </c>
      <c r="J526" s="2" t="s">
        <v>34</v>
      </c>
      <c r="K526" s="2" t="s">
        <v>34</v>
      </c>
      <c r="L526" s="2" t="s">
        <v>34</v>
      </c>
      <c r="M526" s="2" t="s">
        <v>34</v>
      </c>
      <c r="N526" s="2" t="s">
        <v>34</v>
      </c>
      <c r="O526" s="2" t="s">
        <v>34</v>
      </c>
      <c r="P526" s="3">
        <v>44773</v>
      </c>
      <c r="Q526" s="3">
        <v>44986</v>
      </c>
      <c r="R526" s="2" t="s">
        <v>245</v>
      </c>
      <c r="S526" s="2" t="s">
        <v>100</v>
      </c>
    </row>
    <row r="527" spans="1:19" hidden="1" x14ac:dyDescent="0.25">
      <c r="A527" s="2" t="s">
        <v>246</v>
      </c>
      <c r="B527" s="2" t="s">
        <v>97</v>
      </c>
      <c r="C527" s="2" t="s">
        <v>77</v>
      </c>
      <c r="D527" s="2" t="s">
        <v>247</v>
      </c>
      <c r="E527" s="2">
        <v>232</v>
      </c>
      <c r="F527" s="2">
        <v>29.045850000000002</v>
      </c>
      <c r="G527" s="2">
        <v>-82.786379999999994</v>
      </c>
      <c r="H527" s="2" t="s">
        <v>34</v>
      </c>
      <c r="I527" s="2" t="s">
        <v>46</v>
      </c>
      <c r="J527" s="2" t="s">
        <v>34</v>
      </c>
      <c r="K527" s="2" t="s">
        <v>34</v>
      </c>
      <c r="L527" s="2" t="s">
        <v>34</v>
      </c>
      <c r="M527" s="2" t="s">
        <v>34</v>
      </c>
      <c r="N527" s="2" t="s">
        <v>34</v>
      </c>
      <c r="O527" s="2" t="s">
        <v>34</v>
      </c>
      <c r="P527" s="3">
        <v>44773</v>
      </c>
      <c r="Q527" s="3">
        <v>44986</v>
      </c>
      <c r="R527" s="2" t="s">
        <v>248</v>
      </c>
      <c r="S527" s="2" t="s">
        <v>100</v>
      </c>
    </row>
    <row r="528" spans="1:19" hidden="1" x14ac:dyDescent="0.25">
      <c r="A528" s="2" t="s">
        <v>249</v>
      </c>
      <c r="B528" s="2" t="s">
        <v>97</v>
      </c>
      <c r="C528" s="2" t="s">
        <v>77</v>
      </c>
      <c r="D528" s="2" t="s">
        <v>250</v>
      </c>
      <c r="E528" s="2">
        <v>258</v>
      </c>
      <c r="F528" s="2">
        <v>29.04562</v>
      </c>
      <c r="G528" s="2">
        <v>-82.774069999999995</v>
      </c>
      <c r="H528" s="2" t="s">
        <v>34</v>
      </c>
      <c r="I528" s="2" t="s">
        <v>46</v>
      </c>
      <c r="J528" s="2" t="s">
        <v>34</v>
      </c>
      <c r="K528" s="2" t="s">
        <v>34</v>
      </c>
      <c r="L528" s="2" t="s">
        <v>34</v>
      </c>
      <c r="M528" s="2" t="s">
        <v>34</v>
      </c>
      <c r="N528" s="2" t="s">
        <v>34</v>
      </c>
      <c r="O528" s="2" t="s">
        <v>34</v>
      </c>
      <c r="P528" s="3">
        <v>44773</v>
      </c>
      <c r="Q528" s="3">
        <v>44986</v>
      </c>
      <c r="R528" s="2" t="s">
        <v>251</v>
      </c>
      <c r="S528" s="2" t="s">
        <v>100</v>
      </c>
    </row>
    <row r="529" spans="1:19" hidden="1" x14ac:dyDescent="0.25">
      <c r="A529" s="2" t="s">
        <v>252</v>
      </c>
      <c r="B529" s="2" t="s">
        <v>97</v>
      </c>
      <c r="C529" s="2" t="s">
        <v>77</v>
      </c>
      <c r="D529" s="2" t="s">
        <v>253</v>
      </c>
      <c r="E529" s="2">
        <v>155</v>
      </c>
      <c r="F529" s="2">
        <v>29.071380000000001</v>
      </c>
      <c r="G529" s="2">
        <v>-82.78349</v>
      </c>
      <c r="H529" s="2" t="s">
        <v>34</v>
      </c>
      <c r="I529" s="2" t="s">
        <v>46</v>
      </c>
      <c r="J529" s="2" t="s">
        <v>34</v>
      </c>
      <c r="K529" s="2" t="s">
        <v>34</v>
      </c>
      <c r="L529" s="2" t="s">
        <v>34</v>
      </c>
      <c r="M529" s="2" t="s">
        <v>34</v>
      </c>
      <c r="N529" s="2" t="s">
        <v>34</v>
      </c>
      <c r="O529" s="2" t="s">
        <v>34</v>
      </c>
      <c r="P529" s="3">
        <v>44773</v>
      </c>
      <c r="Q529" s="3">
        <v>44986</v>
      </c>
      <c r="R529" s="2" t="s">
        <v>254</v>
      </c>
      <c r="S529" s="2" t="s">
        <v>100</v>
      </c>
    </row>
    <row r="530" spans="1:19" hidden="1" x14ac:dyDescent="0.25">
      <c r="A530" s="2" t="s">
        <v>255</v>
      </c>
      <c r="B530" s="2" t="s">
        <v>97</v>
      </c>
      <c r="C530" s="2" t="s">
        <v>77</v>
      </c>
      <c r="D530" s="2" t="s">
        <v>256</v>
      </c>
      <c r="E530" s="2">
        <v>162</v>
      </c>
      <c r="F530" s="2">
        <v>29.07367</v>
      </c>
      <c r="G530" s="2">
        <v>-82.787180000000006</v>
      </c>
      <c r="H530" s="2" t="s">
        <v>34</v>
      </c>
      <c r="I530" s="2" t="s">
        <v>46</v>
      </c>
      <c r="J530" s="2" t="s">
        <v>34</v>
      </c>
      <c r="K530" s="2" t="s">
        <v>34</v>
      </c>
      <c r="L530" s="2" t="s">
        <v>34</v>
      </c>
      <c r="M530" s="2" t="s">
        <v>34</v>
      </c>
      <c r="N530" s="2" t="s">
        <v>34</v>
      </c>
      <c r="O530" s="2" t="s">
        <v>34</v>
      </c>
      <c r="P530" s="3">
        <v>44773</v>
      </c>
      <c r="Q530" s="3">
        <v>44986</v>
      </c>
      <c r="R530" s="2" t="s">
        <v>257</v>
      </c>
      <c r="S530" s="2" t="s">
        <v>100</v>
      </c>
    </row>
    <row r="531" spans="1:19" hidden="1" x14ac:dyDescent="0.25">
      <c r="A531" s="2" t="s">
        <v>258</v>
      </c>
      <c r="B531" s="2" t="s">
        <v>97</v>
      </c>
      <c r="C531" s="2" t="s">
        <v>77</v>
      </c>
      <c r="D531" s="2" t="s">
        <v>259</v>
      </c>
      <c r="E531" s="2">
        <v>373</v>
      </c>
      <c r="F531" s="2">
        <v>29.060220000000001</v>
      </c>
      <c r="G531" s="2">
        <v>-82.775549999999996</v>
      </c>
      <c r="H531" s="2" t="s">
        <v>34</v>
      </c>
      <c r="I531" s="2" t="s">
        <v>46</v>
      </c>
      <c r="J531" s="2" t="s">
        <v>34</v>
      </c>
      <c r="K531" s="2" t="s">
        <v>34</v>
      </c>
      <c r="L531" s="2" t="s">
        <v>34</v>
      </c>
      <c r="M531" s="2" t="s">
        <v>34</v>
      </c>
      <c r="N531" s="2" t="s">
        <v>34</v>
      </c>
      <c r="O531" s="2" t="s">
        <v>34</v>
      </c>
      <c r="P531" s="3">
        <v>44773</v>
      </c>
      <c r="Q531" s="3">
        <v>44986</v>
      </c>
      <c r="R531" s="2" t="s">
        <v>260</v>
      </c>
      <c r="S531" s="2" t="s">
        <v>100</v>
      </c>
    </row>
    <row r="532" spans="1:19" hidden="1" x14ac:dyDescent="0.25">
      <c r="A532" s="2" t="s">
        <v>261</v>
      </c>
      <c r="B532" s="2" t="s">
        <v>97</v>
      </c>
      <c r="C532" s="2" t="s">
        <v>77</v>
      </c>
      <c r="D532" s="2" t="s">
        <v>262</v>
      </c>
      <c r="E532" s="2">
        <v>184</v>
      </c>
      <c r="F532" s="2">
        <v>29.040459999999999</v>
      </c>
      <c r="G532" s="2">
        <v>-82.774169999999998</v>
      </c>
      <c r="H532" s="2" t="s">
        <v>34</v>
      </c>
      <c r="I532" s="2" t="s">
        <v>46</v>
      </c>
      <c r="J532" s="2" t="s">
        <v>34</v>
      </c>
      <c r="K532" s="2" t="s">
        <v>34</v>
      </c>
      <c r="L532" s="2" t="s">
        <v>34</v>
      </c>
      <c r="M532" s="2" t="s">
        <v>34</v>
      </c>
      <c r="N532" s="2" t="s">
        <v>34</v>
      </c>
      <c r="O532" s="2" t="s">
        <v>34</v>
      </c>
      <c r="P532" s="3">
        <v>44773</v>
      </c>
      <c r="Q532" s="3">
        <v>44986</v>
      </c>
      <c r="R532" s="2" t="s">
        <v>263</v>
      </c>
      <c r="S532" s="2" t="s">
        <v>100</v>
      </c>
    </row>
    <row r="533" spans="1:19" hidden="1" x14ac:dyDescent="0.25">
      <c r="A533" s="2" t="s">
        <v>264</v>
      </c>
      <c r="B533" s="2" t="s">
        <v>97</v>
      </c>
      <c r="C533" s="2" t="s">
        <v>77</v>
      </c>
      <c r="D533" s="2" t="s">
        <v>265</v>
      </c>
      <c r="E533" s="2">
        <v>122</v>
      </c>
      <c r="F533" s="2">
        <v>29.059239999999999</v>
      </c>
      <c r="G533" s="2">
        <v>-82.762879999999996</v>
      </c>
      <c r="H533" s="2" t="s">
        <v>34</v>
      </c>
      <c r="I533" s="2" t="s">
        <v>46</v>
      </c>
      <c r="J533" s="2" t="s">
        <v>34</v>
      </c>
      <c r="K533" s="2" t="s">
        <v>34</v>
      </c>
      <c r="L533" s="2" t="s">
        <v>34</v>
      </c>
      <c r="M533" s="2" t="s">
        <v>34</v>
      </c>
      <c r="N533" s="2" t="s">
        <v>34</v>
      </c>
      <c r="O533" s="2" t="s">
        <v>34</v>
      </c>
      <c r="P533" s="3">
        <v>44773</v>
      </c>
      <c r="Q533" s="3">
        <v>44986</v>
      </c>
      <c r="R533" s="2" t="s">
        <v>266</v>
      </c>
      <c r="S533" s="2" t="s">
        <v>100</v>
      </c>
    </row>
    <row r="534" spans="1:19" hidden="1" x14ac:dyDescent="0.25">
      <c r="A534" s="2" t="s">
        <v>267</v>
      </c>
      <c r="B534" s="2" t="s">
        <v>97</v>
      </c>
      <c r="C534" s="2" t="s">
        <v>77</v>
      </c>
      <c r="D534" s="2" t="s">
        <v>268</v>
      </c>
      <c r="E534" s="2">
        <v>129</v>
      </c>
      <c r="F534" s="2">
        <v>29.061499999999999</v>
      </c>
      <c r="G534" s="2">
        <v>-82.776030000000006</v>
      </c>
      <c r="H534" s="2" t="s">
        <v>34</v>
      </c>
      <c r="I534" s="2" t="s">
        <v>46</v>
      </c>
      <c r="J534" s="2" t="s">
        <v>34</v>
      </c>
      <c r="K534" s="2" t="s">
        <v>34</v>
      </c>
      <c r="L534" s="2" t="s">
        <v>34</v>
      </c>
      <c r="M534" s="2" t="s">
        <v>34</v>
      </c>
      <c r="N534" s="2" t="s">
        <v>34</v>
      </c>
      <c r="O534" s="2" t="s">
        <v>34</v>
      </c>
      <c r="P534" s="3">
        <v>44773</v>
      </c>
      <c r="Q534" s="3">
        <v>44986</v>
      </c>
      <c r="R534" s="2" t="s">
        <v>269</v>
      </c>
      <c r="S534" s="2" t="s">
        <v>100</v>
      </c>
    </row>
    <row r="535" spans="1:19" hidden="1" x14ac:dyDescent="0.25">
      <c r="A535" s="2" t="s">
        <v>270</v>
      </c>
      <c r="B535" s="2" t="s">
        <v>97</v>
      </c>
      <c r="C535" s="2" t="s">
        <v>77</v>
      </c>
      <c r="D535" s="2" t="s">
        <v>271</v>
      </c>
      <c r="E535" s="2">
        <v>137</v>
      </c>
      <c r="F535" s="2">
        <v>29.06213</v>
      </c>
      <c r="G535" s="2">
        <v>-82.755449999999996</v>
      </c>
      <c r="H535" s="2" t="s">
        <v>34</v>
      </c>
      <c r="I535" s="2" t="s">
        <v>46</v>
      </c>
      <c r="J535" s="2" t="s">
        <v>34</v>
      </c>
      <c r="K535" s="2" t="s">
        <v>34</v>
      </c>
      <c r="L535" s="2" t="s">
        <v>34</v>
      </c>
      <c r="M535" s="2" t="s">
        <v>34</v>
      </c>
      <c r="N535" s="2" t="s">
        <v>34</v>
      </c>
      <c r="O535" s="2" t="s">
        <v>34</v>
      </c>
      <c r="P535" s="3">
        <v>44773</v>
      </c>
      <c r="Q535" s="3">
        <v>44986</v>
      </c>
      <c r="R535" s="2" t="s">
        <v>272</v>
      </c>
      <c r="S535" s="2" t="s">
        <v>100</v>
      </c>
    </row>
    <row r="536" spans="1:19" hidden="1" x14ac:dyDescent="0.25">
      <c r="A536" s="2" t="s">
        <v>273</v>
      </c>
      <c r="B536" s="2" t="s">
        <v>97</v>
      </c>
      <c r="C536" s="2" t="s">
        <v>77</v>
      </c>
      <c r="D536" s="2" t="s">
        <v>274</v>
      </c>
      <c r="E536" s="2">
        <v>147</v>
      </c>
      <c r="F536" s="2">
        <v>29.065829999999998</v>
      </c>
      <c r="G536" s="2">
        <v>-82.768240000000006</v>
      </c>
      <c r="H536" s="2" t="s">
        <v>34</v>
      </c>
      <c r="I536" s="2" t="s">
        <v>46</v>
      </c>
      <c r="J536" s="2" t="s">
        <v>34</v>
      </c>
      <c r="K536" s="2" t="s">
        <v>34</v>
      </c>
      <c r="L536" s="2" t="s">
        <v>34</v>
      </c>
      <c r="M536" s="2" t="s">
        <v>34</v>
      </c>
      <c r="N536" s="2" t="s">
        <v>34</v>
      </c>
      <c r="O536" s="2" t="s">
        <v>34</v>
      </c>
      <c r="P536" s="3">
        <v>44773</v>
      </c>
      <c r="Q536" s="3">
        <v>44986</v>
      </c>
      <c r="R536" s="2" t="s">
        <v>275</v>
      </c>
      <c r="S536" s="2" t="s">
        <v>100</v>
      </c>
    </row>
    <row r="537" spans="1:19" hidden="1" x14ac:dyDescent="0.25">
      <c r="A537" s="2" t="s">
        <v>276</v>
      </c>
      <c r="B537" s="2" t="s">
        <v>97</v>
      </c>
      <c r="C537" s="2" t="s">
        <v>86</v>
      </c>
      <c r="D537" s="2" t="s">
        <v>277</v>
      </c>
      <c r="E537" s="2">
        <v>36</v>
      </c>
      <c r="F537" s="2">
        <v>28.848230000000001</v>
      </c>
      <c r="G537" s="2">
        <v>-82.657409999999999</v>
      </c>
      <c r="H537" s="2" t="s">
        <v>34</v>
      </c>
      <c r="I537" s="2" t="s">
        <v>46</v>
      </c>
      <c r="J537" s="2" t="s">
        <v>34</v>
      </c>
      <c r="K537" s="2" t="s">
        <v>34</v>
      </c>
      <c r="L537" s="2" t="s">
        <v>34</v>
      </c>
      <c r="M537" s="2" t="s">
        <v>34</v>
      </c>
      <c r="N537" s="2" t="s">
        <v>34</v>
      </c>
      <c r="O537" s="2" t="s">
        <v>34</v>
      </c>
      <c r="P537" s="3">
        <v>44773</v>
      </c>
      <c r="Q537" s="3">
        <v>44986</v>
      </c>
      <c r="R537" s="2" t="s">
        <v>278</v>
      </c>
      <c r="S537" s="2" t="s">
        <v>100</v>
      </c>
    </row>
    <row r="538" spans="1:19" hidden="1" x14ac:dyDescent="0.25">
      <c r="A538" s="2" t="s">
        <v>279</v>
      </c>
      <c r="B538" s="2" t="s">
        <v>97</v>
      </c>
      <c r="C538" s="2" t="s">
        <v>86</v>
      </c>
      <c r="D538" s="2" t="s">
        <v>280</v>
      </c>
      <c r="E538" s="2">
        <v>39</v>
      </c>
      <c r="F538" s="2">
        <v>28.846710000000002</v>
      </c>
      <c r="G538" s="2">
        <v>-82.652280000000005</v>
      </c>
      <c r="H538" s="2" t="s">
        <v>34</v>
      </c>
      <c r="I538" s="2" t="s">
        <v>46</v>
      </c>
      <c r="J538" s="2" t="s">
        <v>34</v>
      </c>
      <c r="K538" s="2" t="s">
        <v>34</v>
      </c>
      <c r="L538" s="2" t="s">
        <v>34</v>
      </c>
      <c r="M538" s="2" t="s">
        <v>34</v>
      </c>
      <c r="N538" s="2" t="s">
        <v>34</v>
      </c>
      <c r="O538" s="2" t="s">
        <v>34</v>
      </c>
      <c r="P538" s="3">
        <v>44773</v>
      </c>
      <c r="Q538" s="3">
        <v>44986</v>
      </c>
      <c r="R538" s="2" t="s">
        <v>281</v>
      </c>
      <c r="S538" s="2" t="s">
        <v>100</v>
      </c>
    </row>
    <row r="539" spans="1:19" hidden="1" x14ac:dyDescent="0.25">
      <c r="A539" s="2" t="s">
        <v>282</v>
      </c>
      <c r="B539" s="2" t="s">
        <v>97</v>
      </c>
      <c r="C539" s="2" t="s">
        <v>86</v>
      </c>
      <c r="D539" s="2" t="s">
        <v>283</v>
      </c>
      <c r="E539" s="2">
        <v>105</v>
      </c>
      <c r="F539" s="2">
        <v>28.87171</v>
      </c>
      <c r="G539" s="2">
        <v>-82.664619999999999</v>
      </c>
      <c r="H539" s="2" t="s">
        <v>34</v>
      </c>
      <c r="I539" s="2" t="s">
        <v>46</v>
      </c>
      <c r="J539" s="2" t="s">
        <v>34</v>
      </c>
      <c r="K539" s="2" t="s">
        <v>34</v>
      </c>
      <c r="L539" s="2" t="s">
        <v>34</v>
      </c>
      <c r="M539" s="2" t="s">
        <v>34</v>
      </c>
      <c r="N539" s="2" t="s">
        <v>34</v>
      </c>
      <c r="O539" s="2" t="s">
        <v>34</v>
      </c>
      <c r="P539" s="3">
        <v>44773</v>
      </c>
      <c r="Q539" s="3">
        <v>44986</v>
      </c>
      <c r="R539" s="2" t="s">
        <v>284</v>
      </c>
      <c r="S539" s="2" t="s">
        <v>100</v>
      </c>
    </row>
    <row r="540" spans="1:19" hidden="1" x14ac:dyDescent="0.25">
      <c r="A540" s="2" t="s">
        <v>285</v>
      </c>
      <c r="B540" s="2" t="s">
        <v>97</v>
      </c>
      <c r="C540" s="2" t="s">
        <v>86</v>
      </c>
      <c r="D540" s="2" t="s">
        <v>286</v>
      </c>
      <c r="E540" s="2">
        <v>79</v>
      </c>
      <c r="F540" s="2">
        <v>28.86422</v>
      </c>
      <c r="G540" s="2">
        <v>-82.661770000000004</v>
      </c>
      <c r="H540" s="2" t="s">
        <v>34</v>
      </c>
      <c r="I540" s="2" t="s">
        <v>46</v>
      </c>
      <c r="J540" s="2" t="s">
        <v>34</v>
      </c>
      <c r="K540" s="2" t="s">
        <v>34</v>
      </c>
      <c r="L540" s="2" t="s">
        <v>34</v>
      </c>
      <c r="M540" s="2" t="s">
        <v>34</v>
      </c>
      <c r="N540" s="2" t="s">
        <v>34</v>
      </c>
      <c r="O540" s="2" t="s">
        <v>34</v>
      </c>
      <c r="P540" s="3">
        <v>44773</v>
      </c>
      <c r="Q540" s="3">
        <v>44986</v>
      </c>
      <c r="R540" s="2" t="s">
        <v>287</v>
      </c>
      <c r="S540" s="2" t="s">
        <v>100</v>
      </c>
    </row>
    <row r="541" spans="1:19" hidden="1" x14ac:dyDescent="0.25">
      <c r="A541" s="2" t="s">
        <v>288</v>
      </c>
      <c r="B541" s="2" t="s">
        <v>97</v>
      </c>
      <c r="C541" s="2" t="s">
        <v>86</v>
      </c>
      <c r="D541" s="2" t="s">
        <v>289</v>
      </c>
      <c r="E541" s="2">
        <v>135</v>
      </c>
      <c r="F541" s="2">
        <v>28.983160000000002</v>
      </c>
      <c r="G541" s="2">
        <v>-82.763130000000004</v>
      </c>
      <c r="H541" s="2" t="s">
        <v>34</v>
      </c>
      <c r="I541" s="2" t="s">
        <v>46</v>
      </c>
      <c r="J541" s="2" t="s">
        <v>34</v>
      </c>
      <c r="K541" s="2" t="s">
        <v>34</v>
      </c>
      <c r="L541" s="2" t="s">
        <v>34</v>
      </c>
      <c r="M541" s="2" t="s">
        <v>34</v>
      </c>
      <c r="N541" s="2" t="s">
        <v>34</v>
      </c>
      <c r="O541" s="2" t="s">
        <v>34</v>
      </c>
      <c r="P541" s="3">
        <v>44773</v>
      </c>
      <c r="Q541" s="3">
        <v>44986</v>
      </c>
      <c r="R541" s="2" t="s">
        <v>290</v>
      </c>
      <c r="S541" s="2" t="s">
        <v>100</v>
      </c>
    </row>
    <row r="542" spans="1:19" hidden="1" x14ac:dyDescent="0.25">
      <c r="A542" s="2" t="s">
        <v>291</v>
      </c>
      <c r="B542" s="2" t="s">
        <v>97</v>
      </c>
      <c r="C542" s="2" t="s">
        <v>86</v>
      </c>
      <c r="D542" s="2" t="s">
        <v>292</v>
      </c>
      <c r="E542" s="2">
        <v>150</v>
      </c>
      <c r="F542" s="2">
        <v>28.985679999999999</v>
      </c>
      <c r="G542" s="2">
        <v>-82.757909999999995</v>
      </c>
      <c r="H542" s="2" t="s">
        <v>34</v>
      </c>
      <c r="I542" s="2" t="s">
        <v>46</v>
      </c>
      <c r="J542" s="2" t="s">
        <v>34</v>
      </c>
      <c r="K542" s="2" t="s">
        <v>34</v>
      </c>
      <c r="L542" s="2" t="s">
        <v>34</v>
      </c>
      <c r="M542" s="2" t="s">
        <v>34</v>
      </c>
      <c r="N542" s="2" t="s">
        <v>34</v>
      </c>
      <c r="O542" s="2" t="s">
        <v>34</v>
      </c>
      <c r="P542" s="3">
        <v>44773</v>
      </c>
      <c r="Q542" s="3">
        <v>44986</v>
      </c>
      <c r="R542" s="2" t="s">
        <v>293</v>
      </c>
      <c r="S542" s="2" t="s">
        <v>100</v>
      </c>
    </row>
    <row r="543" spans="1:19" hidden="1" x14ac:dyDescent="0.25">
      <c r="A543" s="2" t="s">
        <v>294</v>
      </c>
      <c r="B543" s="2" t="s">
        <v>97</v>
      </c>
      <c r="C543" s="2" t="s">
        <v>77</v>
      </c>
      <c r="D543" s="2" t="s">
        <v>295</v>
      </c>
      <c r="E543" s="2">
        <v>11</v>
      </c>
      <c r="F543" s="2">
        <v>28.992280000000001</v>
      </c>
      <c r="G543" s="2">
        <v>-82.760949999999994</v>
      </c>
      <c r="H543" s="2" t="s">
        <v>34</v>
      </c>
      <c r="I543" s="2" t="s">
        <v>46</v>
      </c>
      <c r="J543" s="2" t="s">
        <v>34</v>
      </c>
      <c r="K543" s="2" t="s">
        <v>34</v>
      </c>
      <c r="L543" s="2" t="s">
        <v>34</v>
      </c>
      <c r="M543" s="2" t="s">
        <v>34</v>
      </c>
      <c r="N543" s="2" t="s">
        <v>34</v>
      </c>
      <c r="O543" s="2" t="s">
        <v>34</v>
      </c>
      <c r="P543" s="3">
        <v>44773</v>
      </c>
      <c r="Q543" s="3">
        <v>44986</v>
      </c>
      <c r="R543" s="2" t="s">
        <v>296</v>
      </c>
      <c r="S543" s="2" t="s">
        <v>100</v>
      </c>
    </row>
    <row r="544" spans="1:19" hidden="1" x14ac:dyDescent="0.25">
      <c r="A544" s="2" t="s">
        <v>297</v>
      </c>
      <c r="B544" s="2" t="s">
        <v>97</v>
      </c>
      <c r="C544" s="2" t="s">
        <v>86</v>
      </c>
      <c r="D544" s="2" t="s">
        <v>298</v>
      </c>
      <c r="E544" s="2">
        <v>157</v>
      </c>
      <c r="F544" s="2">
        <v>28.988389999999999</v>
      </c>
      <c r="G544" s="2">
        <v>-82.752949999999998</v>
      </c>
      <c r="H544" s="2" t="s">
        <v>34</v>
      </c>
      <c r="I544" s="2" t="s">
        <v>46</v>
      </c>
      <c r="J544" s="2" t="s">
        <v>34</v>
      </c>
      <c r="K544" s="2" t="s">
        <v>34</v>
      </c>
      <c r="L544" s="2" t="s">
        <v>34</v>
      </c>
      <c r="M544" s="2" t="s">
        <v>34</v>
      </c>
      <c r="N544" s="2" t="s">
        <v>34</v>
      </c>
      <c r="O544" s="2" t="s">
        <v>34</v>
      </c>
      <c r="P544" s="3">
        <v>44773</v>
      </c>
      <c r="Q544" s="3">
        <v>44986</v>
      </c>
      <c r="R544" s="2" t="s">
        <v>299</v>
      </c>
      <c r="S544" s="2" t="s">
        <v>100</v>
      </c>
    </row>
    <row r="545" spans="1:19" hidden="1" x14ac:dyDescent="0.25">
      <c r="A545" s="2" t="s">
        <v>300</v>
      </c>
      <c r="B545" s="2" t="s">
        <v>97</v>
      </c>
      <c r="C545" s="2" t="s">
        <v>86</v>
      </c>
      <c r="D545" s="2" t="s">
        <v>301</v>
      </c>
      <c r="E545" s="2">
        <v>151</v>
      </c>
      <c r="F545" s="2">
        <v>28.915990000000001</v>
      </c>
      <c r="G545" s="2">
        <v>-82.689040000000006</v>
      </c>
      <c r="H545" s="2" t="s">
        <v>34</v>
      </c>
      <c r="I545" s="2" t="s">
        <v>46</v>
      </c>
      <c r="J545" s="2" t="s">
        <v>34</v>
      </c>
      <c r="K545" s="2" t="s">
        <v>34</v>
      </c>
      <c r="L545" s="2" t="s">
        <v>34</v>
      </c>
      <c r="M545" s="2" t="s">
        <v>34</v>
      </c>
      <c r="N545" s="2" t="s">
        <v>34</v>
      </c>
      <c r="O545" s="2" t="s">
        <v>34</v>
      </c>
      <c r="P545" s="3">
        <v>44773</v>
      </c>
      <c r="Q545" s="3">
        <v>44986</v>
      </c>
      <c r="R545" s="2" t="s">
        <v>302</v>
      </c>
      <c r="S545" s="2" t="s">
        <v>100</v>
      </c>
    </row>
    <row r="546" spans="1:19" hidden="1" x14ac:dyDescent="0.25">
      <c r="A546" s="2" t="s">
        <v>303</v>
      </c>
      <c r="B546" s="2" t="s">
        <v>97</v>
      </c>
      <c r="C546" s="2" t="s">
        <v>86</v>
      </c>
      <c r="D546" s="2" t="s">
        <v>304</v>
      </c>
      <c r="E546" s="2">
        <v>169</v>
      </c>
      <c r="F546" s="2">
        <v>28.92745</v>
      </c>
      <c r="G546" s="2">
        <v>-82.693119999999993</v>
      </c>
      <c r="H546" s="2" t="s">
        <v>34</v>
      </c>
      <c r="I546" s="2" t="s">
        <v>46</v>
      </c>
      <c r="J546" s="2" t="s">
        <v>34</v>
      </c>
      <c r="K546" s="2" t="s">
        <v>34</v>
      </c>
      <c r="L546" s="2" t="s">
        <v>34</v>
      </c>
      <c r="M546" s="2" t="s">
        <v>34</v>
      </c>
      <c r="N546" s="2" t="s">
        <v>34</v>
      </c>
      <c r="O546" s="2" t="s">
        <v>34</v>
      </c>
      <c r="P546" s="3">
        <v>44773</v>
      </c>
      <c r="Q546" s="3">
        <v>44986</v>
      </c>
      <c r="R546" s="2" t="s">
        <v>305</v>
      </c>
      <c r="S546" s="2" t="s">
        <v>100</v>
      </c>
    </row>
    <row r="547" spans="1:19" hidden="1" x14ac:dyDescent="0.25">
      <c r="A547" s="2" t="s">
        <v>306</v>
      </c>
      <c r="B547" s="2" t="s">
        <v>97</v>
      </c>
      <c r="C547" s="2" t="s">
        <v>86</v>
      </c>
      <c r="D547" s="2" t="s">
        <v>307</v>
      </c>
      <c r="E547" s="2">
        <v>47</v>
      </c>
      <c r="F547" s="2">
        <v>28.92493</v>
      </c>
      <c r="G547" s="2">
        <v>-82.700869999999995</v>
      </c>
      <c r="H547" s="2" t="s">
        <v>34</v>
      </c>
      <c r="I547" s="2" t="s">
        <v>46</v>
      </c>
      <c r="J547" s="2" t="s">
        <v>34</v>
      </c>
      <c r="K547" s="2" t="s">
        <v>34</v>
      </c>
      <c r="L547" s="2" t="s">
        <v>34</v>
      </c>
      <c r="M547" s="2" t="s">
        <v>34</v>
      </c>
      <c r="N547" s="2" t="s">
        <v>34</v>
      </c>
      <c r="O547" s="2" t="s">
        <v>34</v>
      </c>
      <c r="P547" s="3">
        <v>44773</v>
      </c>
      <c r="Q547" s="3">
        <v>44986</v>
      </c>
      <c r="R547" s="2" t="s">
        <v>308</v>
      </c>
      <c r="S547" s="2" t="s">
        <v>100</v>
      </c>
    </row>
    <row r="548" spans="1:19" hidden="1" x14ac:dyDescent="0.25">
      <c r="A548" s="2" t="s">
        <v>309</v>
      </c>
      <c r="B548" s="2" t="s">
        <v>97</v>
      </c>
      <c r="C548" s="2" t="s">
        <v>86</v>
      </c>
      <c r="D548" s="2" t="s">
        <v>310</v>
      </c>
      <c r="E548" s="2">
        <v>140</v>
      </c>
      <c r="F548" s="2">
        <v>28.911169999999998</v>
      </c>
      <c r="G548" s="2">
        <v>-82.719920000000002</v>
      </c>
      <c r="H548" s="2" t="s">
        <v>34</v>
      </c>
      <c r="I548" s="2" t="s">
        <v>46</v>
      </c>
      <c r="J548" s="2" t="s">
        <v>34</v>
      </c>
      <c r="K548" s="2" t="s">
        <v>34</v>
      </c>
      <c r="L548" s="2" t="s">
        <v>34</v>
      </c>
      <c r="M548" s="2" t="s">
        <v>34</v>
      </c>
      <c r="N548" s="2" t="s">
        <v>34</v>
      </c>
      <c r="O548" s="2" t="s">
        <v>34</v>
      </c>
      <c r="P548" s="3">
        <v>44773</v>
      </c>
      <c r="Q548" s="3">
        <v>44986</v>
      </c>
      <c r="R548" s="2" t="s">
        <v>311</v>
      </c>
      <c r="S548" s="2" t="s">
        <v>100</v>
      </c>
    </row>
    <row r="549" spans="1:19" hidden="1" x14ac:dyDescent="0.25">
      <c r="A549" s="2" t="s">
        <v>312</v>
      </c>
      <c r="B549" s="2" t="s">
        <v>97</v>
      </c>
      <c r="C549" s="2" t="s">
        <v>86</v>
      </c>
      <c r="D549" s="2" t="s">
        <v>313</v>
      </c>
      <c r="E549" s="2">
        <v>13</v>
      </c>
      <c r="F549" s="2">
        <v>28.900490000000001</v>
      </c>
      <c r="G549" s="2">
        <v>-82.686920000000001</v>
      </c>
      <c r="H549" s="2" t="s">
        <v>34</v>
      </c>
      <c r="I549" s="2" t="s">
        <v>46</v>
      </c>
      <c r="J549" s="2" t="s">
        <v>34</v>
      </c>
      <c r="K549" s="2" t="s">
        <v>34</v>
      </c>
      <c r="L549" s="2" t="s">
        <v>34</v>
      </c>
      <c r="M549" s="2" t="s">
        <v>34</v>
      </c>
      <c r="N549" s="2" t="s">
        <v>34</v>
      </c>
      <c r="O549" s="2" t="s">
        <v>34</v>
      </c>
      <c r="P549" s="3">
        <v>44773</v>
      </c>
      <c r="Q549" s="3">
        <v>44986</v>
      </c>
      <c r="R549" s="2" t="s">
        <v>314</v>
      </c>
      <c r="S549" s="2" t="s">
        <v>100</v>
      </c>
    </row>
    <row r="550" spans="1:19" hidden="1" x14ac:dyDescent="0.25">
      <c r="A550" s="2" t="s">
        <v>315</v>
      </c>
      <c r="B550" s="2" t="s">
        <v>97</v>
      </c>
      <c r="C550" s="2" t="s">
        <v>86</v>
      </c>
      <c r="D550" s="2" t="s">
        <v>166</v>
      </c>
      <c r="E550" s="2">
        <v>30</v>
      </c>
      <c r="F550" s="2">
        <v>28.91236</v>
      </c>
      <c r="G550" s="2">
        <v>-82.703590000000005</v>
      </c>
      <c r="H550" s="2" t="s">
        <v>34</v>
      </c>
      <c r="I550" s="2" t="s">
        <v>46</v>
      </c>
      <c r="J550" s="2" t="s">
        <v>34</v>
      </c>
      <c r="K550" s="2" t="s">
        <v>34</v>
      </c>
      <c r="L550" s="2" t="s">
        <v>34</v>
      </c>
      <c r="M550" s="2" t="s">
        <v>34</v>
      </c>
      <c r="N550" s="2" t="s">
        <v>34</v>
      </c>
      <c r="O550" s="2" t="s">
        <v>34</v>
      </c>
      <c r="P550" s="3">
        <v>44773</v>
      </c>
      <c r="Q550" s="3">
        <v>44986</v>
      </c>
      <c r="R550" s="2" t="s">
        <v>167</v>
      </c>
      <c r="S550" s="2" t="s">
        <v>100</v>
      </c>
    </row>
    <row r="551" spans="1:19" hidden="1" x14ac:dyDescent="0.25">
      <c r="A551" s="2" t="s">
        <v>316</v>
      </c>
      <c r="B551" s="2" t="s">
        <v>97</v>
      </c>
      <c r="C551" s="2" t="s">
        <v>86</v>
      </c>
      <c r="D551" s="2" t="s">
        <v>317</v>
      </c>
      <c r="E551" s="2">
        <v>58</v>
      </c>
      <c r="F551" s="2">
        <v>28.88965</v>
      </c>
      <c r="G551" s="2">
        <v>-82.699740000000006</v>
      </c>
      <c r="H551" s="2" t="s">
        <v>34</v>
      </c>
      <c r="I551" s="2" t="s">
        <v>46</v>
      </c>
      <c r="J551" s="2" t="s">
        <v>34</v>
      </c>
      <c r="K551" s="2" t="s">
        <v>34</v>
      </c>
      <c r="L551" s="2" t="s">
        <v>34</v>
      </c>
      <c r="M551" s="2" t="s">
        <v>34</v>
      </c>
      <c r="N551" s="2" t="s">
        <v>34</v>
      </c>
      <c r="O551" s="2" t="s">
        <v>34</v>
      </c>
      <c r="P551" s="3">
        <v>44773</v>
      </c>
      <c r="Q551" s="3">
        <v>44986</v>
      </c>
      <c r="R551" s="2" t="s">
        <v>318</v>
      </c>
      <c r="S551" s="2" t="s">
        <v>100</v>
      </c>
    </row>
    <row r="552" spans="1:19" hidden="1" x14ac:dyDescent="0.25">
      <c r="A552" s="2" t="s">
        <v>319</v>
      </c>
      <c r="B552" s="2" t="s">
        <v>97</v>
      </c>
      <c r="C552" s="2" t="s">
        <v>86</v>
      </c>
      <c r="D552" s="2" t="s">
        <v>196</v>
      </c>
      <c r="E552" s="2">
        <v>98</v>
      </c>
      <c r="F552" s="2">
        <v>28.895779999999998</v>
      </c>
      <c r="G552" s="2">
        <v>-82.715500000000006</v>
      </c>
      <c r="H552" s="2" t="s">
        <v>34</v>
      </c>
      <c r="I552" s="2" t="s">
        <v>46</v>
      </c>
      <c r="J552" s="2" t="s">
        <v>34</v>
      </c>
      <c r="K552" s="2" t="s">
        <v>34</v>
      </c>
      <c r="L552" s="2" t="s">
        <v>34</v>
      </c>
      <c r="M552" s="2" t="s">
        <v>34</v>
      </c>
      <c r="N552" s="2" t="s">
        <v>34</v>
      </c>
      <c r="O552" s="2" t="s">
        <v>34</v>
      </c>
      <c r="P552" s="3">
        <v>44773</v>
      </c>
      <c r="Q552" s="3">
        <v>44986</v>
      </c>
      <c r="R552" s="2" t="s">
        <v>197</v>
      </c>
      <c r="S552" s="2" t="s">
        <v>100</v>
      </c>
    </row>
    <row r="553" spans="1:19" hidden="1" x14ac:dyDescent="0.25">
      <c r="A553" s="2" t="s">
        <v>320</v>
      </c>
      <c r="B553" s="2" t="s">
        <v>97</v>
      </c>
      <c r="C553" s="2" t="s">
        <v>86</v>
      </c>
      <c r="D553" s="2" t="s">
        <v>321</v>
      </c>
      <c r="E553" s="2">
        <v>101</v>
      </c>
      <c r="F553" s="2">
        <v>28.894580000000001</v>
      </c>
      <c r="G553" s="2">
        <v>-82.70729</v>
      </c>
      <c r="H553" s="2" t="s">
        <v>34</v>
      </c>
      <c r="I553" s="2" t="s">
        <v>46</v>
      </c>
      <c r="J553" s="2" t="s">
        <v>34</v>
      </c>
      <c r="K553" s="2" t="s">
        <v>34</v>
      </c>
      <c r="L553" s="2" t="s">
        <v>34</v>
      </c>
      <c r="M553" s="2" t="s">
        <v>34</v>
      </c>
      <c r="N553" s="2" t="s">
        <v>34</v>
      </c>
      <c r="O553" s="2" t="s">
        <v>34</v>
      </c>
      <c r="P553" s="3">
        <v>44773</v>
      </c>
      <c r="Q553" s="3">
        <v>44986</v>
      </c>
      <c r="R553" s="2" t="s">
        <v>322</v>
      </c>
      <c r="S553" s="2" t="s">
        <v>100</v>
      </c>
    </row>
    <row r="554" spans="1:19" hidden="1" x14ac:dyDescent="0.25">
      <c r="A554" s="2" t="s">
        <v>323</v>
      </c>
      <c r="B554" s="2" t="s">
        <v>97</v>
      </c>
      <c r="C554" s="2" t="s">
        <v>86</v>
      </c>
      <c r="D554" s="2" t="s">
        <v>324</v>
      </c>
      <c r="E554" s="2">
        <v>124</v>
      </c>
      <c r="F554" s="2">
        <v>28.902979999999999</v>
      </c>
      <c r="G554" s="2">
        <v>-82.712559999999996</v>
      </c>
      <c r="H554" s="2" t="s">
        <v>34</v>
      </c>
      <c r="I554" s="2" t="s">
        <v>46</v>
      </c>
      <c r="J554" s="2" t="s">
        <v>34</v>
      </c>
      <c r="K554" s="2" t="s">
        <v>34</v>
      </c>
      <c r="L554" s="2" t="s">
        <v>34</v>
      </c>
      <c r="M554" s="2" t="s">
        <v>34</v>
      </c>
      <c r="N554" s="2" t="s">
        <v>34</v>
      </c>
      <c r="O554" s="2" t="s">
        <v>34</v>
      </c>
      <c r="P554" s="3">
        <v>44773</v>
      </c>
      <c r="Q554" s="3">
        <v>44986</v>
      </c>
      <c r="R554" s="2" t="s">
        <v>325</v>
      </c>
      <c r="S554" s="2" t="s">
        <v>100</v>
      </c>
    </row>
    <row r="555" spans="1:19" hidden="1" x14ac:dyDescent="0.25">
      <c r="A555" s="2" t="s">
        <v>326</v>
      </c>
      <c r="B555" s="2" t="s">
        <v>97</v>
      </c>
      <c r="C555" s="2" t="s">
        <v>86</v>
      </c>
      <c r="D555" s="2" t="s">
        <v>169</v>
      </c>
      <c r="E555" s="2">
        <v>31</v>
      </c>
      <c r="F555" s="2">
        <v>28.914770000000001</v>
      </c>
      <c r="G555" s="2">
        <v>-82.70523</v>
      </c>
      <c r="H555" s="2" t="s">
        <v>34</v>
      </c>
      <c r="I555" s="2" t="s">
        <v>46</v>
      </c>
      <c r="J555" s="2" t="s">
        <v>34</v>
      </c>
      <c r="K555" s="2" t="s">
        <v>34</v>
      </c>
      <c r="L555" s="2" t="s">
        <v>34</v>
      </c>
      <c r="M555" s="2" t="s">
        <v>34</v>
      </c>
      <c r="N555" s="2" t="s">
        <v>34</v>
      </c>
      <c r="O555" s="2" t="s">
        <v>34</v>
      </c>
      <c r="P555" s="3">
        <v>44773</v>
      </c>
      <c r="Q555" s="3">
        <v>44986</v>
      </c>
      <c r="R555" s="2" t="s">
        <v>170</v>
      </c>
      <c r="S555" s="2" t="s">
        <v>100</v>
      </c>
    </row>
    <row r="556" spans="1:19" hidden="1" x14ac:dyDescent="0.25">
      <c r="A556" s="2" t="s">
        <v>327</v>
      </c>
      <c r="B556" s="2" t="s">
        <v>97</v>
      </c>
      <c r="C556" s="2" t="s">
        <v>86</v>
      </c>
      <c r="D556" s="2" t="s">
        <v>328</v>
      </c>
      <c r="E556" s="2">
        <v>28</v>
      </c>
      <c r="F556" s="2">
        <v>28.900639999999999</v>
      </c>
      <c r="G556" s="2">
        <v>-82.668329999999997</v>
      </c>
      <c r="H556" s="2" t="s">
        <v>34</v>
      </c>
      <c r="I556" s="2" t="s">
        <v>46</v>
      </c>
      <c r="J556" s="2" t="s">
        <v>34</v>
      </c>
      <c r="K556" s="2" t="s">
        <v>34</v>
      </c>
      <c r="L556" s="2" t="s">
        <v>34</v>
      </c>
      <c r="M556" s="2" t="s">
        <v>34</v>
      </c>
      <c r="N556" s="2" t="s">
        <v>34</v>
      </c>
      <c r="O556" s="2" t="s">
        <v>34</v>
      </c>
      <c r="P556" s="3">
        <v>44773</v>
      </c>
      <c r="Q556" s="3">
        <v>44986</v>
      </c>
      <c r="R556" s="2" t="s">
        <v>329</v>
      </c>
      <c r="S556" s="2" t="s">
        <v>100</v>
      </c>
    </row>
    <row r="557" spans="1:19" hidden="1" x14ac:dyDescent="0.25">
      <c r="A557" s="2" t="s">
        <v>330</v>
      </c>
      <c r="B557" s="2" t="s">
        <v>97</v>
      </c>
      <c r="C557" s="2" t="s">
        <v>86</v>
      </c>
      <c r="D557" s="2" t="s">
        <v>331</v>
      </c>
      <c r="E557" s="2">
        <v>4</v>
      </c>
      <c r="F557" s="2">
        <v>28.888259999999999</v>
      </c>
      <c r="G557" s="2">
        <v>-82.649829999999994</v>
      </c>
      <c r="H557" s="2" t="s">
        <v>34</v>
      </c>
      <c r="I557" s="2" t="s">
        <v>46</v>
      </c>
      <c r="J557" s="2" t="s">
        <v>34</v>
      </c>
      <c r="K557" s="2" t="s">
        <v>34</v>
      </c>
      <c r="L557" s="2" t="s">
        <v>34</v>
      </c>
      <c r="M557" s="2" t="s">
        <v>34</v>
      </c>
      <c r="N557" s="2" t="s">
        <v>34</v>
      </c>
      <c r="O557" s="2" t="s">
        <v>34</v>
      </c>
      <c r="P557" s="3">
        <v>44773</v>
      </c>
      <c r="Q557" s="3">
        <v>44986</v>
      </c>
      <c r="R557" s="2" t="s">
        <v>332</v>
      </c>
      <c r="S557" s="2" t="s">
        <v>100</v>
      </c>
    </row>
    <row r="558" spans="1:19" hidden="1" x14ac:dyDescent="0.25">
      <c r="A558" s="2" t="s">
        <v>333</v>
      </c>
      <c r="B558" s="2" t="s">
        <v>97</v>
      </c>
      <c r="C558" s="2" t="s">
        <v>86</v>
      </c>
      <c r="D558" s="2" t="s">
        <v>334</v>
      </c>
      <c r="E558" s="2">
        <v>10</v>
      </c>
      <c r="F558" s="2">
        <v>28.885760000000001</v>
      </c>
      <c r="G558" s="2">
        <v>-82.641859999999994</v>
      </c>
      <c r="H558" s="2" t="s">
        <v>34</v>
      </c>
      <c r="I558" s="2" t="s">
        <v>46</v>
      </c>
      <c r="J558" s="2" t="s">
        <v>34</v>
      </c>
      <c r="K558" s="2" t="s">
        <v>34</v>
      </c>
      <c r="L558" s="2" t="s">
        <v>34</v>
      </c>
      <c r="M558" s="2" t="s">
        <v>34</v>
      </c>
      <c r="N558" s="2" t="s">
        <v>34</v>
      </c>
      <c r="O558" s="2" t="s">
        <v>34</v>
      </c>
      <c r="P558" s="3">
        <v>44773</v>
      </c>
      <c r="Q558" s="3">
        <v>44986</v>
      </c>
      <c r="R558" s="2" t="s">
        <v>335</v>
      </c>
      <c r="S558" s="2" t="s">
        <v>100</v>
      </c>
    </row>
    <row r="559" spans="1:19" hidden="1" x14ac:dyDescent="0.25">
      <c r="A559" s="2" t="s">
        <v>336</v>
      </c>
      <c r="B559" s="2" t="s">
        <v>97</v>
      </c>
      <c r="C559" s="2" t="s">
        <v>86</v>
      </c>
      <c r="D559" s="2" t="s">
        <v>337</v>
      </c>
      <c r="E559" s="2">
        <v>19</v>
      </c>
      <c r="F559" s="2">
        <v>28.89668</v>
      </c>
      <c r="G559" s="2">
        <v>-82.659959999999998</v>
      </c>
      <c r="H559" s="2" t="s">
        <v>34</v>
      </c>
      <c r="I559" s="2" t="s">
        <v>46</v>
      </c>
      <c r="J559" s="2" t="s">
        <v>34</v>
      </c>
      <c r="K559" s="2" t="s">
        <v>34</v>
      </c>
      <c r="L559" s="2" t="s">
        <v>34</v>
      </c>
      <c r="M559" s="2" t="s">
        <v>34</v>
      </c>
      <c r="N559" s="2" t="s">
        <v>34</v>
      </c>
      <c r="O559" s="2" t="s">
        <v>34</v>
      </c>
      <c r="P559" s="3">
        <v>44773</v>
      </c>
      <c r="Q559" s="3">
        <v>44986</v>
      </c>
      <c r="R559" s="2" t="s">
        <v>338</v>
      </c>
      <c r="S559" s="2" t="s">
        <v>100</v>
      </c>
    </row>
    <row r="560" spans="1:19" hidden="1" x14ac:dyDescent="0.25">
      <c r="A560" s="2" t="s">
        <v>339</v>
      </c>
      <c r="B560" s="2" t="s">
        <v>97</v>
      </c>
      <c r="C560" s="2" t="s">
        <v>86</v>
      </c>
      <c r="D560" s="2" t="s">
        <v>340</v>
      </c>
      <c r="E560" s="2">
        <v>148</v>
      </c>
      <c r="F560" s="2">
        <v>28.93956</v>
      </c>
      <c r="G560" s="2">
        <v>-82.732079999999996</v>
      </c>
      <c r="H560" s="2" t="s">
        <v>34</v>
      </c>
      <c r="I560" s="2" t="s">
        <v>46</v>
      </c>
      <c r="J560" s="2" t="s">
        <v>34</v>
      </c>
      <c r="K560" s="2" t="s">
        <v>34</v>
      </c>
      <c r="L560" s="2" t="s">
        <v>34</v>
      </c>
      <c r="M560" s="2" t="s">
        <v>34</v>
      </c>
      <c r="N560" s="2" t="s">
        <v>34</v>
      </c>
      <c r="O560" s="2" t="s">
        <v>34</v>
      </c>
      <c r="P560" s="3">
        <v>44773</v>
      </c>
      <c r="Q560" s="3">
        <v>44986</v>
      </c>
      <c r="R560" s="2" t="s">
        <v>341</v>
      </c>
      <c r="S560" s="2" t="s">
        <v>100</v>
      </c>
    </row>
    <row r="561" spans="1:19" hidden="1" x14ac:dyDescent="0.25">
      <c r="A561" s="2" t="s">
        <v>342</v>
      </c>
      <c r="B561" s="2" t="s">
        <v>97</v>
      </c>
      <c r="C561" s="2" t="s">
        <v>86</v>
      </c>
      <c r="D561" s="2" t="s">
        <v>343</v>
      </c>
      <c r="E561" s="2">
        <v>172</v>
      </c>
      <c r="F561" s="2">
        <v>28.94014</v>
      </c>
      <c r="G561" s="2">
        <v>-82.709389999999999</v>
      </c>
      <c r="H561" s="2" t="s">
        <v>34</v>
      </c>
      <c r="I561" s="2" t="s">
        <v>46</v>
      </c>
      <c r="J561" s="2" t="s">
        <v>34</v>
      </c>
      <c r="K561" s="2" t="s">
        <v>34</v>
      </c>
      <c r="L561" s="2" t="s">
        <v>34</v>
      </c>
      <c r="M561" s="2" t="s">
        <v>34</v>
      </c>
      <c r="N561" s="2" t="s">
        <v>34</v>
      </c>
      <c r="O561" s="2" t="s">
        <v>34</v>
      </c>
      <c r="P561" s="3">
        <v>44773</v>
      </c>
      <c r="Q561" s="3">
        <v>44986</v>
      </c>
      <c r="R561" s="2" t="s">
        <v>344</v>
      </c>
      <c r="S561" s="2" t="s">
        <v>100</v>
      </c>
    </row>
    <row r="562" spans="1:19" hidden="1" x14ac:dyDescent="0.25">
      <c r="A562" s="2" t="s">
        <v>345</v>
      </c>
      <c r="B562" s="2" t="s">
        <v>97</v>
      </c>
      <c r="C562" s="2" t="s">
        <v>86</v>
      </c>
      <c r="D562" s="2" t="s">
        <v>346</v>
      </c>
      <c r="E562" s="2">
        <v>153</v>
      </c>
      <c r="F562" s="2">
        <v>28.94502</v>
      </c>
      <c r="G562" s="2">
        <v>-82.734139999999996</v>
      </c>
      <c r="H562" s="2" t="s">
        <v>34</v>
      </c>
      <c r="I562" s="2" t="s">
        <v>46</v>
      </c>
      <c r="J562" s="2" t="s">
        <v>34</v>
      </c>
      <c r="K562" s="2" t="s">
        <v>34</v>
      </c>
      <c r="L562" s="2" t="s">
        <v>34</v>
      </c>
      <c r="M562" s="2" t="s">
        <v>34</v>
      </c>
      <c r="N562" s="2" t="s">
        <v>34</v>
      </c>
      <c r="O562" s="2" t="s">
        <v>34</v>
      </c>
      <c r="P562" s="3">
        <v>44773</v>
      </c>
      <c r="Q562" s="3">
        <v>44986</v>
      </c>
      <c r="R562" s="2" t="s">
        <v>347</v>
      </c>
      <c r="S562" s="2" t="s">
        <v>100</v>
      </c>
    </row>
    <row r="563" spans="1:19" hidden="1" x14ac:dyDescent="0.25">
      <c r="A563" s="2" t="s">
        <v>348</v>
      </c>
      <c r="B563" s="2" t="s">
        <v>97</v>
      </c>
      <c r="C563" s="2" t="s">
        <v>86</v>
      </c>
      <c r="D563" s="2" t="s">
        <v>349</v>
      </c>
      <c r="E563" s="2">
        <v>37</v>
      </c>
      <c r="F563" s="2">
        <v>28.934190000000001</v>
      </c>
      <c r="G563" s="2">
        <v>-82.725939999999994</v>
      </c>
      <c r="H563" s="2" t="s">
        <v>34</v>
      </c>
      <c r="I563" s="2" t="s">
        <v>46</v>
      </c>
      <c r="J563" s="2" t="s">
        <v>34</v>
      </c>
      <c r="K563" s="2" t="s">
        <v>34</v>
      </c>
      <c r="L563" s="2" t="s">
        <v>34</v>
      </c>
      <c r="M563" s="2" t="s">
        <v>34</v>
      </c>
      <c r="N563" s="2" t="s">
        <v>34</v>
      </c>
      <c r="O563" s="2" t="s">
        <v>34</v>
      </c>
      <c r="P563" s="3">
        <v>44773</v>
      </c>
      <c r="Q563" s="3">
        <v>44986</v>
      </c>
      <c r="R563" s="2" t="s">
        <v>350</v>
      </c>
      <c r="S563" s="2" t="s">
        <v>100</v>
      </c>
    </row>
    <row r="564" spans="1:19" hidden="1" x14ac:dyDescent="0.25">
      <c r="A564" s="2" t="s">
        <v>351</v>
      </c>
      <c r="B564" s="2" t="s">
        <v>97</v>
      </c>
      <c r="C564" s="2" t="s">
        <v>86</v>
      </c>
      <c r="D564" s="2" t="s">
        <v>352</v>
      </c>
      <c r="E564" s="2">
        <v>42</v>
      </c>
      <c r="F564" s="2">
        <v>28.939710000000002</v>
      </c>
      <c r="G564" s="2">
        <v>-82.721490000000003</v>
      </c>
      <c r="H564" s="2" t="s">
        <v>34</v>
      </c>
      <c r="I564" s="2" t="s">
        <v>46</v>
      </c>
      <c r="J564" s="2" t="s">
        <v>34</v>
      </c>
      <c r="K564" s="2" t="s">
        <v>34</v>
      </c>
      <c r="L564" s="2" t="s">
        <v>34</v>
      </c>
      <c r="M564" s="2" t="s">
        <v>34</v>
      </c>
      <c r="N564" s="2" t="s">
        <v>34</v>
      </c>
      <c r="O564" s="2" t="s">
        <v>34</v>
      </c>
      <c r="P564" s="3">
        <v>44773</v>
      </c>
      <c r="Q564" s="3">
        <v>44986</v>
      </c>
      <c r="R564" s="2" t="s">
        <v>353</v>
      </c>
      <c r="S564" s="2" t="s">
        <v>100</v>
      </c>
    </row>
    <row r="565" spans="1:19" hidden="1" x14ac:dyDescent="0.25">
      <c r="A565" s="2" t="s">
        <v>354</v>
      </c>
      <c r="B565" s="2" t="s">
        <v>97</v>
      </c>
      <c r="C565" s="2" t="s">
        <v>86</v>
      </c>
      <c r="D565" s="2" t="s">
        <v>355</v>
      </c>
      <c r="E565" s="2">
        <v>37</v>
      </c>
      <c r="F565" s="2">
        <v>28.93261</v>
      </c>
      <c r="G565" s="2">
        <v>-82.724990000000005</v>
      </c>
      <c r="H565" s="2" t="s">
        <v>34</v>
      </c>
      <c r="I565" s="2" t="s">
        <v>46</v>
      </c>
      <c r="J565" s="2" t="s">
        <v>34</v>
      </c>
      <c r="K565" s="2" t="s">
        <v>34</v>
      </c>
      <c r="L565" s="2" t="s">
        <v>34</v>
      </c>
      <c r="M565" s="2" t="s">
        <v>34</v>
      </c>
      <c r="N565" s="2" t="s">
        <v>34</v>
      </c>
      <c r="O565" s="2" t="s">
        <v>34</v>
      </c>
      <c r="P565" s="3">
        <v>44773</v>
      </c>
      <c r="Q565" s="3">
        <v>44986</v>
      </c>
      <c r="R565" s="2" t="s">
        <v>356</v>
      </c>
      <c r="S565" s="2" t="s">
        <v>100</v>
      </c>
    </row>
    <row r="566" spans="1:19" hidden="1" x14ac:dyDescent="0.25">
      <c r="A566" s="2" t="s">
        <v>357</v>
      </c>
      <c r="B566" s="2" t="s">
        <v>97</v>
      </c>
      <c r="C566" s="2" t="s">
        <v>86</v>
      </c>
      <c r="D566" s="2" t="s">
        <v>358</v>
      </c>
      <c r="E566" s="2">
        <v>172</v>
      </c>
      <c r="F566" s="2">
        <v>28.941520000000001</v>
      </c>
      <c r="G566" s="2">
        <v>-82.711539999999999</v>
      </c>
      <c r="H566" s="2" t="s">
        <v>34</v>
      </c>
      <c r="I566" s="2" t="s">
        <v>46</v>
      </c>
      <c r="J566" s="2" t="s">
        <v>34</v>
      </c>
      <c r="K566" s="2" t="s">
        <v>34</v>
      </c>
      <c r="L566" s="2" t="s">
        <v>34</v>
      </c>
      <c r="M566" s="2" t="s">
        <v>34</v>
      </c>
      <c r="N566" s="2" t="s">
        <v>34</v>
      </c>
      <c r="O566" s="2" t="s">
        <v>34</v>
      </c>
      <c r="P566" s="3">
        <v>44773</v>
      </c>
      <c r="Q566" s="3">
        <v>44986</v>
      </c>
      <c r="R566" s="2" t="s">
        <v>359</v>
      </c>
      <c r="S566" s="2" t="s">
        <v>100</v>
      </c>
    </row>
    <row r="567" spans="1:19" hidden="1" x14ac:dyDescent="0.25">
      <c r="A567" s="2" t="s">
        <v>360</v>
      </c>
      <c r="B567" s="2" t="s">
        <v>97</v>
      </c>
      <c r="C567" s="2" t="s">
        <v>86</v>
      </c>
      <c r="D567" s="2" t="s">
        <v>361</v>
      </c>
      <c r="E567" s="2">
        <v>40</v>
      </c>
      <c r="F567" s="2">
        <v>28.88599</v>
      </c>
      <c r="G567" s="2">
        <v>-82.671300000000002</v>
      </c>
      <c r="H567" s="2" t="s">
        <v>34</v>
      </c>
      <c r="I567" s="2" t="s">
        <v>46</v>
      </c>
      <c r="J567" s="2" t="s">
        <v>34</v>
      </c>
      <c r="K567" s="2" t="s">
        <v>34</v>
      </c>
      <c r="L567" s="2" t="s">
        <v>34</v>
      </c>
      <c r="M567" s="2" t="s">
        <v>34</v>
      </c>
      <c r="N567" s="2" t="s">
        <v>34</v>
      </c>
      <c r="O567" s="2" t="s">
        <v>34</v>
      </c>
      <c r="P567" s="3">
        <v>44773</v>
      </c>
      <c r="Q567" s="3">
        <v>44986</v>
      </c>
      <c r="R567" s="2" t="s">
        <v>362</v>
      </c>
      <c r="S567" s="2" t="s">
        <v>100</v>
      </c>
    </row>
    <row r="568" spans="1:19" hidden="1" x14ac:dyDescent="0.25">
      <c r="A568" s="2" t="s">
        <v>363</v>
      </c>
      <c r="B568" s="2" t="s">
        <v>97</v>
      </c>
      <c r="C568" s="2" t="s">
        <v>86</v>
      </c>
      <c r="D568" s="2" t="s">
        <v>364</v>
      </c>
      <c r="E568" s="2">
        <v>130</v>
      </c>
      <c r="F568" s="2">
        <v>28.880569999999999</v>
      </c>
      <c r="G568" s="2">
        <v>-82.665980000000005</v>
      </c>
      <c r="H568" s="2" t="s">
        <v>34</v>
      </c>
      <c r="I568" s="2" t="s">
        <v>46</v>
      </c>
      <c r="J568" s="2" t="s">
        <v>34</v>
      </c>
      <c r="K568" s="2" t="s">
        <v>34</v>
      </c>
      <c r="L568" s="2" t="s">
        <v>34</v>
      </c>
      <c r="M568" s="2" t="s">
        <v>34</v>
      </c>
      <c r="N568" s="2" t="s">
        <v>34</v>
      </c>
      <c r="O568" s="2" t="s">
        <v>34</v>
      </c>
      <c r="P568" s="3">
        <v>44773</v>
      </c>
      <c r="Q568" s="3">
        <v>44986</v>
      </c>
      <c r="R568" s="2" t="s">
        <v>365</v>
      </c>
      <c r="S568" s="2" t="s">
        <v>100</v>
      </c>
    </row>
    <row r="569" spans="1:19" hidden="1" x14ac:dyDescent="0.25">
      <c r="A569" s="2" t="s">
        <v>1277</v>
      </c>
      <c r="B569" s="2" t="s">
        <v>1026</v>
      </c>
      <c r="C569" s="2" t="s">
        <v>86</v>
      </c>
      <c r="D569" s="2" t="s">
        <v>1278</v>
      </c>
      <c r="E569" s="2">
        <v>1</v>
      </c>
      <c r="F569" s="2">
        <v>27.16516</v>
      </c>
      <c r="G569" s="2">
        <v>-80.256399999999999</v>
      </c>
      <c r="H569" s="2" t="s">
        <v>34</v>
      </c>
      <c r="I569" s="2" t="s">
        <v>46</v>
      </c>
      <c r="J569" s="2" t="s">
        <v>34</v>
      </c>
      <c r="K569" s="2" t="s">
        <v>34</v>
      </c>
      <c r="L569" s="2" t="s">
        <v>34</v>
      </c>
      <c r="M569" s="2" t="s">
        <v>34</v>
      </c>
      <c r="N569" s="2" t="s">
        <v>34</v>
      </c>
      <c r="O569" s="2" t="s">
        <v>34</v>
      </c>
      <c r="P569" s="3">
        <v>45046</v>
      </c>
      <c r="Q569" s="3">
        <v>45078</v>
      </c>
      <c r="R569" s="2" t="s">
        <v>1279</v>
      </c>
      <c r="S569" s="2" t="s">
        <v>1029</v>
      </c>
    </row>
    <row r="570" spans="1:19" hidden="1" x14ac:dyDescent="0.25">
      <c r="A570" s="2" t="s">
        <v>1467</v>
      </c>
      <c r="B570" s="2" t="s">
        <v>1026</v>
      </c>
      <c r="C570" s="2" t="s">
        <v>86</v>
      </c>
      <c r="D570" s="2" t="s">
        <v>1468</v>
      </c>
      <c r="E570" s="2">
        <v>2</v>
      </c>
      <c r="F570" s="2">
        <v>27.16891</v>
      </c>
      <c r="G570" s="2">
        <v>-80.260559999999998</v>
      </c>
      <c r="H570" s="2" t="s">
        <v>34</v>
      </c>
      <c r="I570" s="2" t="s">
        <v>46</v>
      </c>
      <c r="J570" s="2" t="s">
        <v>34</v>
      </c>
      <c r="K570" s="2" t="s">
        <v>34</v>
      </c>
      <c r="L570" s="2" t="s">
        <v>34</v>
      </c>
      <c r="M570" s="2" t="s">
        <v>34</v>
      </c>
      <c r="N570" s="2" t="s">
        <v>34</v>
      </c>
      <c r="O570" s="2" t="s">
        <v>34</v>
      </c>
      <c r="P570" s="3">
        <v>45046</v>
      </c>
      <c r="Q570" s="3">
        <v>45078</v>
      </c>
      <c r="R570" s="2" t="s">
        <v>1469</v>
      </c>
      <c r="S570" s="2" t="s">
        <v>1029</v>
      </c>
    </row>
    <row r="571" spans="1:19" hidden="1" x14ac:dyDescent="0.25">
      <c r="A571" s="2" t="s">
        <v>1470</v>
      </c>
      <c r="B571" s="2" t="s">
        <v>1026</v>
      </c>
      <c r="C571" s="2" t="s">
        <v>86</v>
      </c>
      <c r="D571" s="2" t="s">
        <v>1471</v>
      </c>
      <c r="E571" s="2">
        <v>3</v>
      </c>
      <c r="F571" s="2">
        <v>27.159870000000002</v>
      </c>
      <c r="G571" s="2">
        <v>-80.25291</v>
      </c>
      <c r="H571" s="2" t="s">
        <v>34</v>
      </c>
      <c r="I571" s="2" t="s">
        <v>46</v>
      </c>
      <c r="J571" s="2" t="s">
        <v>34</v>
      </c>
      <c r="K571" s="2" t="s">
        <v>34</v>
      </c>
      <c r="L571" s="2" t="s">
        <v>34</v>
      </c>
      <c r="M571" s="2" t="s">
        <v>34</v>
      </c>
      <c r="N571" s="2" t="s">
        <v>34</v>
      </c>
      <c r="O571" s="2" t="s">
        <v>34</v>
      </c>
      <c r="P571" s="3">
        <v>45046</v>
      </c>
      <c r="Q571" s="3">
        <v>45078</v>
      </c>
      <c r="R571" s="2" t="s">
        <v>1472</v>
      </c>
      <c r="S571" s="2" t="s">
        <v>1029</v>
      </c>
    </row>
    <row r="572" spans="1:19" hidden="1" x14ac:dyDescent="0.25">
      <c r="A572" s="2" t="s">
        <v>1473</v>
      </c>
      <c r="B572" s="2" t="s">
        <v>1026</v>
      </c>
      <c r="C572" s="2" t="s">
        <v>86</v>
      </c>
      <c r="D572" s="2" t="s">
        <v>1474</v>
      </c>
      <c r="E572" s="2">
        <v>4</v>
      </c>
      <c r="F572" s="2">
        <v>27.16244</v>
      </c>
      <c r="G572" s="2">
        <v>-80.257649999999998</v>
      </c>
      <c r="H572" s="2" t="s">
        <v>34</v>
      </c>
      <c r="I572" s="2" t="s">
        <v>46</v>
      </c>
      <c r="J572" s="2" t="s">
        <v>34</v>
      </c>
      <c r="K572" s="2" t="s">
        <v>34</v>
      </c>
      <c r="L572" s="2" t="s">
        <v>34</v>
      </c>
      <c r="M572" s="2" t="s">
        <v>34</v>
      </c>
      <c r="N572" s="2" t="s">
        <v>34</v>
      </c>
      <c r="O572" s="2" t="s">
        <v>34</v>
      </c>
      <c r="P572" s="3">
        <v>45046</v>
      </c>
      <c r="Q572" s="3">
        <v>45078</v>
      </c>
      <c r="R572" s="2" t="s">
        <v>1475</v>
      </c>
      <c r="S572" s="2" t="s">
        <v>1029</v>
      </c>
    </row>
    <row r="573" spans="1:19" hidden="1" x14ac:dyDescent="0.25">
      <c r="A573" s="2" t="s">
        <v>1476</v>
      </c>
      <c r="B573" s="2" t="s">
        <v>1026</v>
      </c>
      <c r="C573" s="2" t="s">
        <v>86</v>
      </c>
      <c r="D573" s="2" t="s">
        <v>1477</v>
      </c>
      <c r="E573" s="2">
        <v>5</v>
      </c>
      <c r="F573" s="2">
        <v>27.173179999999999</v>
      </c>
      <c r="G573" s="2">
        <v>-80.258020000000002</v>
      </c>
      <c r="H573" s="2" t="s">
        <v>34</v>
      </c>
      <c r="I573" s="2" t="s">
        <v>46</v>
      </c>
      <c r="J573" s="2" t="s">
        <v>34</v>
      </c>
      <c r="K573" s="2" t="s">
        <v>34</v>
      </c>
      <c r="L573" s="2" t="s">
        <v>34</v>
      </c>
      <c r="M573" s="2" t="s">
        <v>34</v>
      </c>
      <c r="N573" s="2" t="s">
        <v>34</v>
      </c>
      <c r="O573" s="2" t="s">
        <v>34</v>
      </c>
      <c r="P573" s="3">
        <v>45046</v>
      </c>
      <c r="Q573" s="3">
        <v>45078</v>
      </c>
      <c r="R573" s="2" t="s">
        <v>1478</v>
      </c>
      <c r="S573" s="2" t="s">
        <v>1029</v>
      </c>
    </row>
    <row r="574" spans="1:19" hidden="1" x14ac:dyDescent="0.25">
      <c r="A574" s="2" t="s">
        <v>1479</v>
      </c>
      <c r="B574" s="2" t="s">
        <v>1026</v>
      </c>
      <c r="C574" s="2" t="s">
        <v>86</v>
      </c>
      <c r="D574" s="2" t="s">
        <v>1480</v>
      </c>
      <c r="E574" s="2">
        <v>6</v>
      </c>
      <c r="F574" s="2">
        <v>27.18403</v>
      </c>
      <c r="G574" s="2">
        <v>-80.267830000000004</v>
      </c>
      <c r="H574" s="2" t="s">
        <v>34</v>
      </c>
      <c r="I574" s="2" t="s">
        <v>46</v>
      </c>
      <c r="J574" s="2" t="s">
        <v>34</v>
      </c>
      <c r="K574" s="2" t="s">
        <v>34</v>
      </c>
      <c r="L574" s="2" t="s">
        <v>34</v>
      </c>
      <c r="M574" s="2" t="s">
        <v>34</v>
      </c>
      <c r="N574" s="2" t="s">
        <v>34</v>
      </c>
      <c r="O574" s="2" t="s">
        <v>34</v>
      </c>
      <c r="P574" s="3">
        <v>45046</v>
      </c>
      <c r="Q574" s="3">
        <v>45078</v>
      </c>
      <c r="R574" s="2" t="s">
        <v>1481</v>
      </c>
      <c r="S574" s="2" t="s">
        <v>1029</v>
      </c>
    </row>
    <row r="575" spans="1:19" hidden="1" x14ac:dyDescent="0.25">
      <c r="A575" s="2" t="s">
        <v>1482</v>
      </c>
      <c r="B575" s="2" t="s">
        <v>1026</v>
      </c>
      <c r="C575" s="2" t="s">
        <v>86</v>
      </c>
      <c r="D575" s="2" t="s">
        <v>1483</v>
      </c>
      <c r="E575" s="2">
        <v>7</v>
      </c>
      <c r="F575" s="2">
        <v>27.194167</v>
      </c>
      <c r="G575" s="2">
        <v>-80.269166999999996</v>
      </c>
      <c r="H575" s="2" t="s">
        <v>34</v>
      </c>
      <c r="I575" s="2" t="s">
        <v>46</v>
      </c>
      <c r="J575" s="2" t="s">
        <v>34</v>
      </c>
      <c r="K575" s="2" t="s">
        <v>34</v>
      </c>
      <c r="L575" s="2" t="s">
        <v>34</v>
      </c>
      <c r="M575" s="2" t="s">
        <v>34</v>
      </c>
      <c r="N575" s="2" t="s">
        <v>34</v>
      </c>
      <c r="O575" s="2" t="s">
        <v>34</v>
      </c>
      <c r="P575" s="3">
        <v>45046</v>
      </c>
      <c r="Q575" s="3">
        <v>45078</v>
      </c>
      <c r="R575" s="2" t="s">
        <v>1484</v>
      </c>
      <c r="S575" s="2" t="s">
        <v>1029</v>
      </c>
    </row>
    <row r="576" spans="1:19" hidden="1" x14ac:dyDescent="0.25">
      <c r="A576" s="2" t="s">
        <v>1485</v>
      </c>
      <c r="B576" s="2" t="s">
        <v>1026</v>
      </c>
      <c r="C576" s="2" t="s">
        <v>86</v>
      </c>
      <c r="D576" s="2" t="s">
        <v>1486</v>
      </c>
      <c r="E576" s="2">
        <v>8</v>
      </c>
      <c r="F576" s="2">
        <v>27.199166999999999</v>
      </c>
      <c r="G576" s="2">
        <v>-80.267499999999998</v>
      </c>
      <c r="H576" s="2" t="s">
        <v>34</v>
      </c>
      <c r="I576" s="2" t="s">
        <v>46</v>
      </c>
      <c r="J576" s="2" t="s">
        <v>34</v>
      </c>
      <c r="K576" s="2" t="s">
        <v>34</v>
      </c>
      <c r="L576" s="2" t="s">
        <v>34</v>
      </c>
      <c r="M576" s="2" t="s">
        <v>34</v>
      </c>
      <c r="N576" s="2" t="s">
        <v>34</v>
      </c>
      <c r="O576" s="2" t="s">
        <v>34</v>
      </c>
      <c r="P576" s="3">
        <v>45046</v>
      </c>
      <c r="Q576" s="3">
        <v>45078</v>
      </c>
      <c r="R576" s="2" t="s">
        <v>1487</v>
      </c>
      <c r="S576" s="2" t="s">
        <v>1029</v>
      </c>
    </row>
    <row r="577" spans="1:19" hidden="1" x14ac:dyDescent="0.25">
      <c r="A577" s="2" t="s">
        <v>1488</v>
      </c>
      <c r="B577" s="2" t="s">
        <v>1026</v>
      </c>
      <c r="C577" s="2" t="s">
        <v>86</v>
      </c>
      <c r="D577" s="2" t="s">
        <v>1489</v>
      </c>
      <c r="E577" s="2">
        <v>9</v>
      </c>
      <c r="F577" s="2">
        <v>27.199369999999998</v>
      </c>
      <c r="G577" s="2">
        <v>-80.267359999999996</v>
      </c>
      <c r="H577" s="2" t="s">
        <v>34</v>
      </c>
      <c r="I577" s="2" t="s">
        <v>46</v>
      </c>
      <c r="J577" s="2" t="s">
        <v>34</v>
      </c>
      <c r="K577" s="2" t="s">
        <v>34</v>
      </c>
      <c r="L577" s="2" t="s">
        <v>34</v>
      </c>
      <c r="M577" s="2" t="s">
        <v>34</v>
      </c>
      <c r="N577" s="2" t="s">
        <v>34</v>
      </c>
      <c r="O577" s="2" t="s">
        <v>34</v>
      </c>
      <c r="P577" s="3">
        <v>45046</v>
      </c>
      <c r="Q577" s="3">
        <v>45078</v>
      </c>
      <c r="R577" s="2" t="s">
        <v>1490</v>
      </c>
      <c r="S577" s="2" t="s">
        <v>1029</v>
      </c>
    </row>
    <row r="578" spans="1:19" hidden="1" x14ac:dyDescent="0.25">
      <c r="A578" s="2" t="s">
        <v>1491</v>
      </c>
      <c r="B578" s="2" t="s">
        <v>1026</v>
      </c>
      <c r="C578" s="2" t="s">
        <v>34</v>
      </c>
      <c r="D578" s="2" t="s">
        <v>1492</v>
      </c>
      <c r="E578" s="2">
        <v>10</v>
      </c>
      <c r="F578" s="2">
        <v>27.20514</v>
      </c>
      <c r="G578" s="2">
        <v>-80.273259999999993</v>
      </c>
      <c r="H578" s="2" t="s">
        <v>34</v>
      </c>
      <c r="I578" s="2" t="s">
        <v>46</v>
      </c>
      <c r="J578" s="2" t="s">
        <v>34</v>
      </c>
      <c r="K578" s="2" t="s">
        <v>34</v>
      </c>
      <c r="L578" s="2" t="s">
        <v>34</v>
      </c>
      <c r="M578" s="2" t="s">
        <v>34</v>
      </c>
      <c r="N578" s="2" t="s">
        <v>34</v>
      </c>
      <c r="O578" s="2" t="s">
        <v>34</v>
      </c>
      <c r="P578" s="3">
        <v>45046</v>
      </c>
      <c r="Q578" s="3">
        <v>45078</v>
      </c>
      <c r="R578" s="2" t="s">
        <v>1493</v>
      </c>
      <c r="S578" s="2" t="s">
        <v>1029</v>
      </c>
    </row>
    <row r="579" spans="1:19" hidden="1" x14ac:dyDescent="0.25">
      <c r="A579" s="2" t="s">
        <v>1494</v>
      </c>
      <c r="B579" s="2" t="s">
        <v>1026</v>
      </c>
      <c r="C579" s="2" t="s">
        <v>34</v>
      </c>
      <c r="D579" s="2" t="s">
        <v>1495</v>
      </c>
      <c r="E579" s="2">
        <v>11</v>
      </c>
      <c r="F579" s="2">
        <v>27.20551</v>
      </c>
      <c r="G579" s="2">
        <v>-80.277990000000003</v>
      </c>
      <c r="H579" s="2" t="s">
        <v>34</v>
      </c>
      <c r="I579" s="2" t="s">
        <v>46</v>
      </c>
      <c r="J579" s="2" t="s">
        <v>34</v>
      </c>
      <c r="K579" s="2" t="s">
        <v>34</v>
      </c>
      <c r="L579" s="2" t="s">
        <v>34</v>
      </c>
      <c r="M579" s="2" t="s">
        <v>34</v>
      </c>
      <c r="N579" s="2" t="s">
        <v>34</v>
      </c>
      <c r="O579" s="2" t="s">
        <v>34</v>
      </c>
      <c r="P579" s="3">
        <v>45046</v>
      </c>
      <c r="Q579" s="3">
        <v>45078</v>
      </c>
      <c r="R579" s="2" t="s">
        <v>1496</v>
      </c>
      <c r="S579" s="2" t="s">
        <v>1029</v>
      </c>
    </row>
    <row r="580" spans="1:19" hidden="1" x14ac:dyDescent="0.25">
      <c r="A580" s="2" t="s">
        <v>1497</v>
      </c>
      <c r="B580" s="2" t="s">
        <v>1026</v>
      </c>
      <c r="C580" s="2" t="s">
        <v>34</v>
      </c>
      <c r="D580" s="2" t="s">
        <v>1498</v>
      </c>
      <c r="E580" s="2">
        <v>12</v>
      </c>
      <c r="F580" s="2">
        <v>27.20844</v>
      </c>
      <c r="G580" s="2">
        <v>-80.283460000000005</v>
      </c>
      <c r="H580" s="2" t="s">
        <v>34</v>
      </c>
      <c r="I580" s="2" t="s">
        <v>46</v>
      </c>
      <c r="J580" s="2" t="s">
        <v>34</v>
      </c>
      <c r="K580" s="2" t="s">
        <v>34</v>
      </c>
      <c r="L580" s="2" t="s">
        <v>34</v>
      </c>
      <c r="M580" s="2" t="s">
        <v>34</v>
      </c>
      <c r="N580" s="2" t="s">
        <v>34</v>
      </c>
      <c r="O580" s="2" t="s">
        <v>34</v>
      </c>
      <c r="P580" s="3">
        <v>45046</v>
      </c>
      <c r="Q580" s="3">
        <v>45078</v>
      </c>
      <c r="R580" s="2" t="s">
        <v>1499</v>
      </c>
      <c r="S580" s="2" t="s">
        <v>1029</v>
      </c>
    </row>
    <row r="581" spans="1:19" hidden="1" x14ac:dyDescent="0.25">
      <c r="A581" s="2" t="s">
        <v>1500</v>
      </c>
      <c r="B581" s="2" t="s">
        <v>1026</v>
      </c>
      <c r="C581" s="2" t="s">
        <v>34</v>
      </c>
      <c r="D581" s="2" t="s">
        <v>1501</v>
      </c>
      <c r="E581" s="2">
        <v>13</v>
      </c>
      <c r="F581" s="2">
        <v>27.231249999999999</v>
      </c>
      <c r="G581" s="2">
        <v>-80.301469999999995</v>
      </c>
      <c r="H581" s="2" t="s">
        <v>34</v>
      </c>
      <c r="I581" s="2" t="s">
        <v>46</v>
      </c>
      <c r="J581" s="2" t="s">
        <v>34</v>
      </c>
      <c r="K581" s="2" t="s">
        <v>34</v>
      </c>
      <c r="L581" s="2" t="s">
        <v>34</v>
      </c>
      <c r="M581" s="2" t="s">
        <v>34</v>
      </c>
      <c r="N581" s="2" t="s">
        <v>34</v>
      </c>
      <c r="O581" s="2" t="s">
        <v>34</v>
      </c>
      <c r="P581" s="3">
        <v>45046</v>
      </c>
      <c r="Q581" s="3">
        <v>45078</v>
      </c>
      <c r="R581" s="2" t="s">
        <v>1502</v>
      </c>
      <c r="S581" s="2" t="s">
        <v>1029</v>
      </c>
    </row>
    <row r="582" spans="1:19" hidden="1" x14ac:dyDescent="0.25">
      <c r="A582" s="2" t="s">
        <v>1503</v>
      </c>
      <c r="B582" s="2" t="s">
        <v>1026</v>
      </c>
      <c r="C582" s="2" t="s">
        <v>34</v>
      </c>
      <c r="D582" s="2" t="s">
        <v>1504</v>
      </c>
      <c r="E582" s="2">
        <v>14</v>
      </c>
      <c r="F582" s="2">
        <v>27.236529999999998</v>
      </c>
      <c r="G582" s="2">
        <v>-80.315960000000004</v>
      </c>
      <c r="H582" s="2" t="s">
        <v>34</v>
      </c>
      <c r="I582" s="2" t="s">
        <v>46</v>
      </c>
      <c r="J582" s="2" t="s">
        <v>34</v>
      </c>
      <c r="K582" s="2" t="s">
        <v>34</v>
      </c>
      <c r="L582" s="2" t="s">
        <v>34</v>
      </c>
      <c r="M582" s="2" t="s">
        <v>34</v>
      </c>
      <c r="N582" s="2" t="s">
        <v>34</v>
      </c>
      <c r="O582" s="2" t="s">
        <v>34</v>
      </c>
      <c r="P582" s="3">
        <v>45046</v>
      </c>
      <c r="Q582" s="3">
        <v>45078</v>
      </c>
      <c r="R582" s="2" t="s">
        <v>1505</v>
      </c>
      <c r="S582" s="2" t="s">
        <v>1029</v>
      </c>
    </row>
    <row r="583" spans="1:19" hidden="1" x14ac:dyDescent="0.25">
      <c r="A583" s="2" t="s">
        <v>1506</v>
      </c>
      <c r="B583" s="2" t="s">
        <v>1026</v>
      </c>
      <c r="C583" s="2" t="s">
        <v>34</v>
      </c>
      <c r="D583" s="2" t="s">
        <v>1507</v>
      </c>
      <c r="E583" s="2">
        <v>15</v>
      </c>
      <c r="F583" s="2">
        <v>27.23761</v>
      </c>
      <c r="G583" s="2">
        <v>-80.316109999999995</v>
      </c>
      <c r="H583" s="2" t="s">
        <v>34</v>
      </c>
      <c r="I583" s="2" t="s">
        <v>46</v>
      </c>
      <c r="J583" s="2" t="s">
        <v>34</v>
      </c>
      <c r="K583" s="2" t="s">
        <v>34</v>
      </c>
      <c r="L583" s="2" t="s">
        <v>34</v>
      </c>
      <c r="M583" s="2" t="s">
        <v>34</v>
      </c>
      <c r="N583" s="2" t="s">
        <v>34</v>
      </c>
      <c r="O583" s="2" t="s">
        <v>34</v>
      </c>
      <c r="P583" s="3">
        <v>45046</v>
      </c>
      <c r="Q583" s="3">
        <v>45078</v>
      </c>
      <c r="R583" s="2" t="s">
        <v>1508</v>
      </c>
      <c r="S583" s="2" t="s">
        <v>1029</v>
      </c>
    </row>
    <row r="584" spans="1:19" hidden="1" x14ac:dyDescent="0.25">
      <c r="A584" s="2" t="s">
        <v>1509</v>
      </c>
      <c r="B584" s="2" t="s">
        <v>1026</v>
      </c>
      <c r="C584" s="2" t="s">
        <v>34</v>
      </c>
      <c r="D584" s="2" t="s">
        <v>1510</v>
      </c>
      <c r="E584" s="2">
        <v>16</v>
      </c>
      <c r="F584" s="2">
        <v>27.239170000000001</v>
      </c>
      <c r="G584" s="2">
        <v>-80.320830000000001</v>
      </c>
      <c r="H584" s="2" t="s">
        <v>34</v>
      </c>
      <c r="I584" s="2" t="s">
        <v>46</v>
      </c>
      <c r="J584" s="2" t="s">
        <v>34</v>
      </c>
      <c r="K584" s="2" t="s">
        <v>34</v>
      </c>
      <c r="L584" s="2" t="s">
        <v>34</v>
      </c>
      <c r="M584" s="2" t="s">
        <v>34</v>
      </c>
      <c r="N584" s="2" t="s">
        <v>34</v>
      </c>
      <c r="O584" s="2" t="s">
        <v>34</v>
      </c>
      <c r="P584" s="3">
        <v>45046</v>
      </c>
      <c r="Q584" s="3">
        <v>45078</v>
      </c>
      <c r="R584" s="2" t="s">
        <v>1511</v>
      </c>
      <c r="S584" s="2" t="s">
        <v>1029</v>
      </c>
    </row>
    <row r="585" spans="1:19" hidden="1" x14ac:dyDescent="0.25">
      <c r="A585" s="2" t="s">
        <v>1512</v>
      </c>
      <c r="B585" s="2" t="s">
        <v>1026</v>
      </c>
      <c r="C585" s="2" t="s">
        <v>34</v>
      </c>
      <c r="D585" s="2" t="s">
        <v>1513</v>
      </c>
      <c r="E585" s="2">
        <v>17</v>
      </c>
      <c r="F585" s="2">
        <v>27.241479999999999</v>
      </c>
      <c r="G585" s="2">
        <v>-80.31653</v>
      </c>
      <c r="H585" s="2" t="s">
        <v>34</v>
      </c>
      <c r="I585" s="2" t="s">
        <v>46</v>
      </c>
      <c r="J585" s="2" t="s">
        <v>34</v>
      </c>
      <c r="K585" s="2" t="s">
        <v>34</v>
      </c>
      <c r="L585" s="2" t="s">
        <v>34</v>
      </c>
      <c r="M585" s="2" t="s">
        <v>34</v>
      </c>
      <c r="N585" s="2" t="s">
        <v>34</v>
      </c>
      <c r="O585" s="2" t="s">
        <v>34</v>
      </c>
      <c r="P585" s="3">
        <v>45046</v>
      </c>
      <c r="Q585" s="3">
        <v>45078</v>
      </c>
      <c r="R585" s="2" t="s">
        <v>1514</v>
      </c>
      <c r="S585" s="2" t="s">
        <v>1029</v>
      </c>
    </row>
    <row r="586" spans="1:19" hidden="1" x14ac:dyDescent="0.25">
      <c r="A586" s="2" t="s">
        <v>1515</v>
      </c>
      <c r="B586" s="2" t="s">
        <v>1026</v>
      </c>
      <c r="C586" s="2" t="s">
        <v>34</v>
      </c>
      <c r="D586" s="2" t="s">
        <v>1516</v>
      </c>
      <c r="E586" s="2">
        <v>18</v>
      </c>
      <c r="F586" s="2">
        <v>27.23592</v>
      </c>
      <c r="G586" s="2">
        <v>-80.291640000000001</v>
      </c>
      <c r="H586" s="2" t="s">
        <v>34</v>
      </c>
      <c r="I586" s="2" t="s">
        <v>46</v>
      </c>
      <c r="J586" s="2" t="s">
        <v>34</v>
      </c>
      <c r="K586" s="2" t="s">
        <v>34</v>
      </c>
      <c r="L586" s="2" t="s">
        <v>34</v>
      </c>
      <c r="M586" s="2" t="s">
        <v>34</v>
      </c>
      <c r="N586" s="2" t="s">
        <v>34</v>
      </c>
      <c r="O586" s="2" t="s">
        <v>34</v>
      </c>
      <c r="P586" s="3">
        <v>45046</v>
      </c>
      <c r="Q586" s="3">
        <v>45078</v>
      </c>
      <c r="R586" s="2" t="s">
        <v>1517</v>
      </c>
      <c r="S586" s="2" t="s">
        <v>1029</v>
      </c>
    </row>
    <row r="587" spans="1:19" hidden="1" x14ac:dyDescent="0.25">
      <c r="A587" s="2" t="s">
        <v>1518</v>
      </c>
      <c r="B587" s="2" t="s">
        <v>1026</v>
      </c>
      <c r="C587" s="2" t="s">
        <v>34</v>
      </c>
      <c r="D587" s="2" t="s">
        <v>1519</v>
      </c>
      <c r="E587" s="2">
        <v>19</v>
      </c>
      <c r="F587" s="2">
        <v>27.223739999999999</v>
      </c>
      <c r="G587" s="2">
        <v>-80.279949999999999</v>
      </c>
      <c r="H587" s="2" t="s">
        <v>34</v>
      </c>
      <c r="I587" s="2" t="s">
        <v>46</v>
      </c>
      <c r="J587" s="2" t="s">
        <v>34</v>
      </c>
      <c r="K587" s="2" t="s">
        <v>34</v>
      </c>
      <c r="L587" s="2" t="s">
        <v>34</v>
      </c>
      <c r="M587" s="2" t="s">
        <v>34</v>
      </c>
      <c r="N587" s="2" t="s">
        <v>34</v>
      </c>
      <c r="O587" s="2" t="s">
        <v>34</v>
      </c>
      <c r="P587" s="3">
        <v>45046</v>
      </c>
      <c r="Q587" s="3">
        <v>45078</v>
      </c>
      <c r="R587" s="2" t="s">
        <v>1520</v>
      </c>
      <c r="S587" s="2" t="s">
        <v>1029</v>
      </c>
    </row>
    <row r="588" spans="1:19" hidden="1" x14ac:dyDescent="0.25">
      <c r="A588" s="2" t="s">
        <v>1521</v>
      </c>
      <c r="B588" s="2" t="s">
        <v>1026</v>
      </c>
      <c r="C588" s="2" t="s">
        <v>34</v>
      </c>
      <c r="D588" s="2" t="s">
        <v>1522</v>
      </c>
      <c r="E588" s="2">
        <v>20</v>
      </c>
      <c r="F588" s="2">
        <v>27.214040000000001</v>
      </c>
      <c r="G588" s="2">
        <v>-80.274649999999994</v>
      </c>
      <c r="H588" s="2" t="s">
        <v>34</v>
      </c>
      <c r="I588" s="2" t="s">
        <v>46</v>
      </c>
      <c r="J588" s="2" t="s">
        <v>34</v>
      </c>
      <c r="K588" s="2" t="s">
        <v>34</v>
      </c>
      <c r="L588" s="2" t="s">
        <v>34</v>
      </c>
      <c r="M588" s="2" t="s">
        <v>34</v>
      </c>
      <c r="N588" s="2" t="s">
        <v>34</v>
      </c>
      <c r="O588" s="2" t="s">
        <v>34</v>
      </c>
      <c r="P588" s="3">
        <v>45046</v>
      </c>
      <c r="Q588" s="3">
        <v>45078</v>
      </c>
      <c r="R588" s="2" t="s">
        <v>1523</v>
      </c>
      <c r="S588" s="2" t="s">
        <v>1029</v>
      </c>
    </row>
    <row r="589" spans="1:19" hidden="1" x14ac:dyDescent="0.25">
      <c r="A589" s="2" t="s">
        <v>1524</v>
      </c>
      <c r="B589" s="2" t="s">
        <v>1026</v>
      </c>
      <c r="C589" s="2" t="s">
        <v>77</v>
      </c>
      <c r="D589" s="2" t="s">
        <v>1525</v>
      </c>
      <c r="E589" s="2">
        <v>21</v>
      </c>
      <c r="F589" s="2">
        <v>27.1707</v>
      </c>
      <c r="G589" s="2">
        <v>-80.202119999999994</v>
      </c>
      <c r="H589" s="2" t="s">
        <v>34</v>
      </c>
      <c r="I589" s="2" t="s">
        <v>46</v>
      </c>
      <c r="J589" s="2" t="s">
        <v>34</v>
      </c>
      <c r="K589" s="2" t="s">
        <v>34</v>
      </c>
      <c r="L589" s="2" t="s">
        <v>34</v>
      </c>
      <c r="M589" s="2" t="s">
        <v>34</v>
      </c>
      <c r="N589" s="2" t="s">
        <v>34</v>
      </c>
      <c r="O589" s="2" t="s">
        <v>34</v>
      </c>
      <c r="P589" s="3">
        <v>45046</v>
      </c>
      <c r="Q589" s="3">
        <v>45078</v>
      </c>
      <c r="R589" s="2" t="s">
        <v>1526</v>
      </c>
      <c r="S589" s="2" t="s">
        <v>1029</v>
      </c>
    </row>
    <row r="590" spans="1:19" hidden="1" x14ac:dyDescent="0.25">
      <c r="A590" s="2" t="s">
        <v>1527</v>
      </c>
      <c r="B590" s="2" t="s">
        <v>1026</v>
      </c>
      <c r="C590" s="2" t="s">
        <v>77</v>
      </c>
      <c r="D590" s="2" t="s">
        <v>1528</v>
      </c>
      <c r="E590" s="2">
        <v>22</v>
      </c>
      <c r="F590" s="2">
        <v>27.183990000000001</v>
      </c>
      <c r="G590" s="2">
        <v>-80.205719999999999</v>
      </c>
      <c r="H590" s="2" t="s">
        <v>34</v>
      </c>
      <c r="I590" s="2" t="s">
        <v>46</v>
      </c>
      <c r="J590" s="2" t="s">
        <v>34</v>
      </c>
      <c r="K590" s="2" t="s">
        <v>34</v>
      </c>
      <c r="L590" s="2" t="s">
        <v>34</v>
      </c>
      <c r="M590" s="2" t="s">
        <v>34</v>
      </c>
      <c r="N590" s="2" t="s">
        <v>34</v>
      </c>
      <c r="O590" s="2" t="s">
        <v>34</v>
      </c>
      <c r="P590" s="3">
        <v>45046</v>
      </c>
      <c r="Q590" s="3">
        <v>45078</v>
      </c>
      <c r="R590" s="2" t="s">
        <v>1529</v>
      </c>
      <c r="S590" s="2" t="s">
        <v>1029</v>
      </c>
    </row>
    <row r="591" spans="1:19" hidden="1" x14ac:dyDescent="0.25">
      <c r="A591" s="2" t="s">
        <v>1530</v>
      </c>
      <c r="B591" s="2" t="s">
        <v>1026</v>
      </c>
      <c r="C591" s="2" t="s">
        <v>77</v>
      </c>
      <c r="D591" s="2" t="s">
        <v>1531</v>
      </c>
      <c r="E591" s="2">
        <v>23</v>
      </c>
      <c r="F591" s="2">
        <v>27.190519999999999</v>
      </c>
      <c r="G591" s="2">
        <v>-80.209999999999994</v>
      </c>
      <c r="H591" s="2" t="s">
        <v>34</v>
      </c>
      <c r="I591" s="2" t="s">
        <v>46</v>
      </c>
      <c r="J591" s="2" t="s">
        <v>34</v>
      </c>
      <c r="K591" s="2" t="s">
        <v>34</v>
      </c>
      <c r="L591" s="2" t="s">
        <v>34</v>
      </c>
      <c r="M591" s="2" t="s">
        <v>34</v>
      </c>
      <c r="N591" s="2" t="s">
        <v>34</v>
      </c>
      <c r="O591" s="2" t="s">
        <v>34</v>
      </c>
      <c r="P591" s="3">
        <v>45046</v>
      </c>
      <c r="Q591" s="3">
        <v>45078</v>
      </c>
      <c r="R591" s="2" t="s">
        <v>1532</v>
      </c>
      <c r="S591" s="2" t="s">
        <v>1029</v>
      </c>
    </row>
    <row r="592" spans="1:19" hidden="1" x14ac:dyDescent="0.25">
      <c r="A592" s="2" t="s">
        <v>1533</v>
      </c>
      <c r="B592" s="2" t="s">
        <v>1026</v>
      </c>
      <c r="C592" s="2" t="s">
        <v>77</v>
      </c>
      <c r="D592" s="2" t="s">
        <v>1534</v>
      </c>
      <c r="E592" s="2">
        <v>24</v>
      </c>
      <c r="F592" s="2">
        <v>27.204419999999999</v>
      </c>
      <c r="G592" s="2">
        <v>-80.226900000000001</v>
      </c>
      <c r="H592" s="2" t="s">
        <v>34</v>
      </c>
      <c r="I592" s="2" t="s">
        <v>46</v>
      </c>
      <c r="J592" s="2" t="s">
        <v>34</v>
      </c>
      <c r="K592" s="2" t="s">
        <v>34</v>
      </c>
      <c r="L592" s="2" t="s">
        <v>34</v>
      </c>
      <c r="M592" s="2" t="s">
        <v>34</v>
      </c>
      <c r="N592" s="2" t="s">
        <v>34</v>
      </c>
      <c r="O592" s="2" t="s">
        <v>34</v>
      </c>
      <c r="P592" s="3">
        <v>45046</v>
      </c>
      <c r="Q592" s="3">
        <v>45078</v>
      </c>
      <c r="R592" s="2" t="s">
        <v>1535</v>
      </c>
      <c r="S592" s="2" t="s">
        <v>1029</v>
      </c>
    </row>
    <row r="593" spans="1:19" hidden="1" x14ac:dyDescent="0.25">
      <c r="A593" s="2" t="s">
        <v>1536</v>
      </c>
      <c r="B593" s="2" t="s">
        <v>1026</v>
      </c>
      <c r="C593" s="2" t="s">
        <v>77</v>
      </c>
      <c r="D593" s="2" t="s">
        <v>1537</v>
      </c>
      <c r="E593" s="2">
        <v>25</v>
      </c>
      <c r="F593" s="2">
        <v>27.201239999999999</v>
      </c>
      <c r="G593" s="2">
        <v>-80.235640000000004</v>
      </c>
      <c r="H593" s="2" t="s">
        <v>34</v>
      </c>
      <c r="I593" s="2" t="s">
        <v>46</v>
      </c>
      <c r="J593" s="2" t="s">
        <v>34</v>
      </c>
      <c r="K593" s="2" t="s">
        <v>34</v>
      </c>
      <c r="L593" s="2" t="s">
        <v>34</v>
      </c>
      <c r="M593" s="2" t="s">
        <v>34</v>
      </c>
      <c r="N593" s="2" t="s">
        <v>34</v>
      </c>
      <c r="O593" s="2" t="s">
        <v>34</v>
      </c>
      <c r="P593" s="3">
        <v>45046</v>
      </c>
      <c r="Q593" s="3">
        <v>45078</v>
      </c>
      <c r="R593" s="2" t="s">
        <v>1538</v>
      </c>
      <c r="S593" s="2" t="s">
        <v>1029</v>
      </c>
    </row>
    <row r="594" spans="1:19" hidden="1" x14ac:dyDescent="0.25">
      <c r="A594" s="2" t="s">
        <v>1539</v>
      </c>
      <c r="B594" s="2" t="s">
        <v>1026</v>
      </c>
      <c r="C594" s="2" t="s">
        <v>77</v>
      </c>
      <c r="D594" s="2" t="s">
        <v>1540</v>
      </c>
      <c r="E594" s="2">
        <v>26</v>
      </c>
      <c r="F594" s="2">
        <v>27.201329999999999</v>
      </c>
      <c r="G594" s="2">
        <v>-80.244839999999996</v>
      </c>
      <c r="H594" s="2" t="s">
        <v>34</v>
      </c>
      <c r="I594" s="2" t="s">
        <v>46</v>
      </c>
      <c r="J594" s="2" t="s">
        <v>34</v>
      </c>
      <c r="K594" s="2" t="s">
        <v>34</v>
      </c>
      <c r="L594" s="2" t="s">
        <v>34</v>
      </c>
      <c r="M594" s="2" t="s">
        <v>34</v>
      </c>
      <c r="N594" s="2" t="s">
        <v>34</v>
      </c>
      <c r="O594" s="2" t="s">
        <v>34</v>
      </c>
      <c r="P594" s="3">
        <v>45046</v>
      </c>
      <c r="Q594" s="3">
        <v>45078</v>
      </c>
      <c r="R594" s="2" t="s">
        <v>1541</v>
      </c>
      <c r="S594" s="2" t="s">
        <v>1029</v>
      </c>
    </row>
    <row r="595" spans="1:19" hidden="1" x14ac:dyDescent="0.25">
      <c r="A595" s="2" t="s">
        <v>1542</v>
      </c>
      <c r="B595" s="2" t="s">
        <v>1026</v>
      </c>
      <c r="C595" s="2" t="s">
        <v>77</v>
      </c>
      <c r="D595" s="2" t="s">
        <v>1543</v>
      </c>
      <c r="E595" s="2">
        <v>27</v>
      </c>
      <c r="F595" s="2">
        <v>27.19997</v>
      </c>
      <c r="G595" s="2">
        <v>-80.24709</v>
      </c>
      <c r="H595" s="2" t="s">
        <v>34</v>
      </c>
      <c r="I595" s="2" t="s">
        <v>46</v>
      </c>
      <c r="J595" s="2" t="s">
        <v>34</v>
      </c>
      <c r="K595" s="2" t="s">
        <v>34</v>
      </c>
      <c r="L595" s="2" t="s">
        <v>34</v>
      </c>
      <c r="M595" s="2" t="s">
        <v>34</v>
      </c>
      <c r="N595" s="2" t="s">
        <v>34</v>
      </c>
      <c r="O595" s="2" t="s">
        <v>34</v>
      </c>
      <c r="P595" s="3">
        <v>45046</v>
      </c>
      <c r="Q595" s="3">
        <v>45078</v>
      </c>
      <c r="R595" s="2" t="s">
        <v>1544</v>
      </c>
      <c r="S595" s="2" t="s">
        <v>1029</v>
      </c>
    </row>
    <row r="596" spans="1:19" hidden="1" x14ac:dyDescent="0.25">
      <c r="A596" s="2" t="s">
        <v>1545</v>
      </c>
      <c r="B596" s="2" t="s">
        <v>1026</v>
      </c>
      <c r="C596" s="2" t="s">
        <v>77</v>
      </c>
      <c r="D596" s="2" t="s">
        <v>1546</v>
      </c>
      <c r="E596" s="2">
        <v>28</v>
      </c>
      <c r="F596" s="2">
        <v>27.19923</v>
      </c>
      <c r="G596" s="2">
        <v>-80.24736</v>
      </c>
      <c r="H596" s="2" t="s">
        <v>34</v>
      </c>
      <c r="I596" s="2" t="s">
        <v>46</v>
      </c>
      <c r="J596" s="2" t="s">
        <v>34</v>
      </c>
      <c r="K596" s="2" t="s">
        <v>34</v>
      </c>
      <c r="L596" s="2" t="s">
        <v>34</v>
      </c>
      <c r="M596" s="2" t="s">
        <v>34</v>
      </c>
      <c r="N596" s="2" t="s">
        <v>34</v>
      </c>
      <c r="O596" s="2" t="s">
        <v>34</v>
      </c>
      <c r="P596" s="3">
        <v>45046</v>
      </c>
      <c r="Q596" s="3">
        <v>45078</v>
      </c>
      <c r="R596" s="2" t="s">
        <v>1547</v>
      </c>
      <c r="S596" s="2" t="s">
        <v>1029</v>
      </c>
    </row>
    <row r="597" spans="1:19" hidden="1" x14ac:dyDescent="0.25">
      <c r="A597" s="2" t="s">
        <v>1548</v>
      </c>
      <c r="B597" s="2" t="s">
        <v>1026</v>
      </c>
      <c r="C597" s="2" t="s">
        <v>77</v>
      </c>
      <c r="D597" s="2" t="s">
        <v>1549</v>
      </c>
      <c r="E597" s="2">
        <v>29</v>
      </c>
      <c r="F597" s="2">
        <v>27.209510000000002</v>
      </c>
      <c r="G597" s="2">
        <v>-80.256249999999994</v>
      </c>
      <c r="H597" s="2" t="s">
        <v>34</v>
      </c>
      <c r="I597" s="2" t="s">
        <v>46</v>
      </c>
      <c r="J597" s="2" t="s">
        <v>34</v>
      </c>
      <c r="K597" s="2" t="s">
        <v>34</v>
      </c>
      <c r="L597" s="2" t="s">
        <v>34</v>
      </c>
      <c r="M597" s="2" t="s">
        <v>34</v>
      </c>
      <c r="N597" s="2" t="s">
        <v>34</v>
      </c>
      <c r="O597" s="2" t="s">
        <v>34</v>
      </c>
      <c r="P597" s="3">
        <v>45046</v>
      </c>
      <c r="Q597" s="3">
        <v>45078</v>
      </c>
      <c r="R597" s="2" t="s">
        <v>1550</v>
      </c>
      <c r="S597" s="2" t="s">
        <v>1029</v>
      </c>
    </row>
    <row r="598" spans="1:19" hidden="1" x14ac:dyDescent="0.25">
      <c r="A598" s="2" t="s">
        <v>1551</v>
      </c>
      <c r="B598" s="2" t="s">
        <v>1026</v>
      </c>
      <c r="C598" s="2" t="s">
        <v>77</v>
      </c>
      <c r="D598" s="2" t="s">
        <v>1552</v>
      </c>
      <c r="E598" s="2">
        <v>30</v>
      </c>
      <c r="F598" s="2">
        <v>27.209820000000001</v>
      </c>
      <c r="G598" s="2">
        <v>-80.258679999999998</v>
      </c>
      <c r="H598" s="2" t="s">
        <v>34</v>
      </c>
      <c r="I598" s="2" t="s">
        <v>46</v>
      </c>
      <c r="J598" s="2" t="s">
        <v>34</v>
      </c>
      <c r="K598" s="2" t="s">
        <v>34</v>
      </c>
      <c r="L598" s="2" t="s">
        <v>34</v>
      </c>
      <c r="M598" s="2" t="s">
        <v>34</v>
      </c>
      <c r="N598" s="2" t="s">
        <v>34</v>
      </c>
      <c r="O598" s="2" t="s">
        <v>34</v>
      </c>
      <c r="P598" s="3">
        <v>45046</v>
      </c>
      <c r="Q598" s="3">
        <v>45078</v>
      </c>
      <c r="R598" s="2" t="s">
        <v>1553</v>
      </c>
      <c r="S598" s="2" t="s">
        <v>1029</v>
      </c>
    </row>
    <row r="599" spans="1:19" hidden="1" x14ac:dyDescent="0.25">
      <c r="A599" s="2" t="s">
        <v>1554</v>
      </c>
      <c r="B599" s="2" t="s">
        <v>1026</v>
      </c>
      <c r="C599" s="2" t="s">
        <v>77</v>
      </c>
      <c r="D599" s="2" t="s">
        <v>1555</v>
      </c>
      <c r="E599" s="2">
        <v>31</v>
      </c>
      <c r="F599" s="2">
        <v>27.210049999999999</v>
      </c>
      <c r="G599" s="2">
        <v>-80.259600000000006</v>
      </c>
      <c r="H599" s="2" t="s">
        <v>34</v>
      </c>
      <c r="I599" s="2" t="s">
        <v>46</v>
      </c>
      <c r="J599" s="2" t="s">
        <v>34</v>
      </c>
      <c r="K599" s="2" t="s">
        <v>34</v>
      </c>
      <c r="L599" s="2" t="s">
        <v>34</v>
      </c>
      <c r="M599" s="2" t="s">
        <v>34</v>
      </c>
      <c r="N599" s="2" t="s">
        <v>34</v>
      </c>
      <c r="O599" s="2" t="s">
        <v>34</v>
      </c>
      <c r="P599" s="3">
        <v>45046</v>
      </c>
      <c r="Q599" s="3">
        <v>45078</v>
      </c>
      <c r="R599" s="2" t="s">
        <v>1556</v>
      </c>
      <c r="S599" s="2" t="s">
        <v>1029</v>
      </c>
    </row>
    <row r="600" spans="1:19" hidden="1" x14ac:dyDescent="0.25">
      <c r="A600" s="2" t="s">
        <v>1557</v>
      </c>
      <c r="B600" s="2" t="s">
        <v>1026</v>
      </c>
      <c r="C600" s="2" t="s">
        <v>77</v>
      </c>
      <c r="D600" s="2" t="s">
        <v>1558</v>
      </c>
      <c r="E600" s="2">
        <v>32</v>
      </c>
      <c r="F600" s="2">
        <v>27.214410000000001</v>
      </c>
      <c r="G600" s="2">
        <v>-80.253649999999993</v>
      </c>
      <c r="H600" s="2" t="s">
        <v>34</v>
      </c>
      <c r="I600" s="2" t="s">
        <v>46</v>
      </c>
      <c r="J600" s="2" t="s">
        <v>34</v>
      </c>
      <c r="K600" s="2" t="s">
        <v>34</v>
      </c>
      <c r="L600" s="2" t="s">
        <v>34</v>
      </c>
      <c r="M600" s="2" t="s">
        <v>34</v>
      </c>
      <c r="N600" s="2" t="s">
        <v>34</v>
      </c>
      <c r="O600" s="2" t="s">
        <v>34</v>
      </c>
      <c r="P600" s="3">
        <v>45046</v>
      </c>
      <c r="Q600" s="3">
        <v>45078</v>
      </c>
      <c r="R600" s="2" t="s">
        <v>1559</v>
      </c>
      <c r="S600" s="2" t="s">
        <v>1029</v>
      </c>
    </row>
    <row r="601" spans="1:19" hidden="1" x14ac:dyDescent="0.25">
      <c r="A601" s="2" t="s">
        <v>1560</v>
      </c>
      <c r="B601" s="2" t="s">
        <v>1026</v>
      </c>
      <c r="C601" s="2" t="s">
        <v>77</v>
      </c>
      <c r="D601" s="2" t="s">
        <v>1561</v>
      </c>
      <c r="E601" s="2">
        <v>33</v>
      </c>
      <c r="F601" s="2">
        <v>27.214169999999999</v>
      </c>
      <c r="G601" s="2">
        <v>-80.232500000000002</v>
      </c>
      <c r="H601" s="2" t="s">
        <v>34</v>
      </c>
      <c r="I601" s="2" t="s">
        <v>46</v>
      </c>
      <c r="J601" s="2" t="s">
        <v>34</v>
      </c>
      <c r="K601" s="2" t="s">
        <v>34</v>
      </c>
      <c r="L601" s="2" t="s">
        <v>34</v>
      </c>
      <c r="M601" s="2" t="s">
        <v>34</v>
      </c>
      <c r="N601" s="2" t="s">
        <v>34</v>
      </c>
      <c r="O601" s="2" t="s">
        <v>34</v>
      </c>
      <c r="P601" s="3">
        <v>45046</v>
      </c>
      <c r="Q601" s="3">
        <v>45078</v>
      </c>
      <c r="R601" s="2" t="s">
        <v>1562</v>
      </c>
      <c r="S601" s="2" t="s">
        <v>1029</v>
      </c>
    </row>
    <row r="602" spans="1:19" hidden="1" x14ac:dyDescent="0.25">
      <c r="A602" s="2" t="s">
        <v>1563</v>
      </c>
      <c r="B602" s="2" t="s">
        <v>1026</v>
      </c>
      <c r="C602" s="2" t="s">
        <v>77</v>
      </c>
      <c r="D602" s="2" t="s">
        <v>1564</v>
      </c>
      <c r="E602" s="2">
        <v>34</v>
      </c>
      <c r="F602" s="2">
        <v>27.215720000000001</v>
      </c>
      <c r="G602" s="2">
        <v>-80.232740000000007</v>
      </c>
      <c r="H602" s="2" t="s">
        <v>34</v>
      </c>
      <c r="I602" s="2" t="s">
        <v>46</v>
      </c>
      <c r="J602" s="2" t="s">
        <v>34</v>
      </c>
      <c r="K602" s="2" t="s">
        <v>34</v>
      </c>
      <c r="L602" s="2" t="s">
        <v>34</v>
      </c>
      <c r="M602" s="2" t="s">
        <v>34</v>
      </c>
      <c r="N602" s="2" t="s">
        <v>34</v>
      </c>
      <c r="O602" s="2" t="s">
        <v>34</v>
      </c>
      <c r="P602" s="3">
        <v>45046</v>
      </c>
      <c r="Q602" s="3">
        <v>45078</v>
      </c>
      <c r="R602" s="2" t="s">
        <v>1565</v>
      </c>
      <c r="S602" s="2" t="s">
        <v>1029</v>
      </c>
    </row>
    <row r="603" spans="1:19" hidden="1" x14ac:dyDescent="0.25">
      <c r="A603" s="2" t="s">
        <v>1566</v>
      </c>
      <c r="B603" s="2" t="s">
        <v>1026</v>
      </c>
      <c r="C603" s="2" t="s">
        <v>77</v>
      </c>
      <c r="D603" s="2" t="s">
        <v>1567</v>
      </c>
      <c r="E603" s="2">
        <v>35</v>
      </c>
      <c r="F603" s="2">
        <v>27.21931</v>
      </c>
      <c r="G603" s="2">
        <v>-80.226500000000001</v>
      </c>
      <c r="H603" s="2" t="s">
        <v>34</v>
      </c>
      <c r="I603" s="2" t="s">
        <v>46</v>
      </c>
      <c r="J603" s="2" t="s">
        <v>34</v>
      </c>
      <c r="K603" s="2" t="s">
        <v>34</v>
      </c>
      <c r="L603" s="2" t="s">
        <v>34</v>
      </c>
      <c r="M603" s="2" t="s">
        <v>34</v>
      </c>
      <c r="N603" s="2" t="s">
        <v>34</v>
      </c>
      <c r="O603" s="2" t="s">
        <v>34</v>
      </c>
      <c r="P603" s="3">
        <v>45046</v>
      </c>
      <c r="Q603" s="3">
        <v>45078</v>
      </c>
      <c r="R603" s="2" t="s">
        <v>1568</v>
      </c>
      <c r="S603" s="2" t="s">
        <v>1029</v>
      </c>
    </row>
    <row r="604" spans="1:19" hidden="1" x14ac:dyDescent="0.25">
      <c r="A604" s="2" t="s">
        <v>1223</v>
      </c>
      <c r="B604" s="2" t="s">
        <v>67</v>
      </c>
      <c r="C604" s="2" t="s">
        <v>86</v>
      </c>
      <c r="D604" s="2" t="s">
        <v>1224</v>
      </c>
      <c r="E604" s="2">
        <v>2043</v>
      </c>
      <c r="F604" s="2">
        <v>29.15512</v>
      </c>
      <c r="G604" s="2">
        <v>-83.014319999999998</v>
      </c>
      <c r="H604" s="2" t="s">
        <v>34</v>
      </c>
      <c r="I604" s="2" t="s">
        <v>46</v>
      </c>
      <c r="J604" s="2" t="s">
        <v>34</v>
      </c>
      <c r="K604" s="2" t="s">
        <v>34</v>
      </c>
      <c r="L604" s="2" t="s">
        <v>34</v>
      </c>
      <c r="M604" s="2" t="s">
        <v>34</v>
      </c>
      <c r="N604" s="2" t="s">
        <v>34</v>
      </c>
      <c r="O604" s="2" t="s">
        <v>34</v>
      </c>
      <c r="P604" s="3">
        <v>44197</v>
      </c>
      <c r="Q604" s="3">
        <v>44561</v>
      </c>
      <c r="R604" s="2" t="s">
        <v>1224</v>
      </c>
      <c r="S604" s="2" t="s">
        <v>70</v>
      </c>
    </row>
    <row r="605" spans="1:19" hidden="1" x14ac:dyDescent="0.25">
      <c r="A605" s="2" t="s">
        <v>1225</v>
      </c>
      <c r="B605" s="2" t="s">
        <v>67</v>
      </c>
      <c r="C605" s="2" t="s">
        <v>77</v>
      </c>
      <c r="D605" s="2" t="s">
        <v>1226</v>
      </c>
      <c r="E605" s="2">
        <v>1740</v>
      </c>
      <c r="F605" s="2">
        <v>29.333079999999999</v>
      </c>
      <c r="G605" s="2">
        <v>-83.158199999999994</v>
      </c>
      <c r="H605" s="2" t="s">
        <v>34</v>
      </c>
      <c r="I605" s="2" t="s">
        <v>46</v>
      </c>
      <c r="J605" s="2" t="s">
        <v>34</v>
      </c>
      <c r="K605" s="2" t="s">
        <v>34</v>
      </c>
      <c r="L605" s="2" t="s">
        <v>34</v>
      </c>
      <c r="M605" s="2" t="s">
        <v>34</v>
      </c>
      <c r="N605" s="2" t="s">
        <v>34</v>
      </c>
      <c r="O605" s="2" t="s">
        <v>34</v>
      </c>
      <c r="P605" s="3">
        <v>44197</v>
      </c>
      <c r="Q605" s="3">
        <v>44561</v>
      </c>
      <c r="R605" s="2" t="s">
        <v>1226</v>
      </c>
      <c r="S605" s="2" t="s">
        <v>70</v>
      </c>
    </row>
    <row r="606" spans="1:19" hidden="1" x14ac:dyDescent="0.25">
      <c r="A606" s="2" t="s">
        <v>1227</v>
      </c>
      <c r="B606" s="2" t="s">
        <v>67</v>
      </c>
      <c r="C606" s="2" t="s">
        <v>77</v>
      </c>
      <c r="D606" s="2" t="s">
        <v>1228</v>
      </c>
      <c r="E606" s="2">
        <v>1822</v>
      </c>
      <c r="F606" s="2">
        <v>29.344159999999999</v>
      </c>
      <c r="G606" s="2">
        <v>-83.172709999999995</v>
      </c>
      <c r="H606" s="2" t="s">
        <v>34</v>
      </c>
      <c r="I606" s="2" t="s">
        <v>46</v>
      </c>
      <c r="J606" s="2" t="s">
        <v>34</v>
      </c>
      <c r="K606" s="2" t="s">
        <v>34</v>
      </c>
      <c r="L606" s="2" t="s">
        <v>34</v>
      </c>
      <c r="M606" s="2" t="s">
        <v>34</v>
      </c>
      <c r="N606" s="2" t="s">
        <v>34</v>
      </c>
      <c r="O606" s="2" t="s">
        <v>34</v>
      </c>
      <c r="P606" s="3">
        <v>44197</v>
      </c>
      <c r="Q606" s="3">
        <v>44561</v>
      </c>
      <c r="R606" s="2" t="s">
        <v>1228</v>
      </c>
      <c r="S606" s="2" t="s">
        <v>70</v>
      </c>
    </row>
    <row r="607" spans="1:19" hidden="1" x14ac:dyDescent="0.25">
      <c r="A607" s="2" t="s">
        <v>1229</v>
      </c>
      <c r="B607" s="2" t="s">
        <v>67</v>
      </c>
      <c r="C607" s="2" t="s">
        <v>77</v>
      </c>
      <c r="D607" s="2" t="s">
        <v>1230</v>
      </c>
      <c r="E607" s="2">
        <v>1958</v>
      </c>
      <c r="F607" s="2">
        <v>29.346109999999999</v>
      </c>
      <c r="G607" s="2">
        <v>-83.174610000000001</v>
      </c>
      <c r="H607" s="2" t="s">
        <v>34</v>
      </c>
      <c r="I607" s="2" t="s">
        <v>46</v>
      </c>
      <c r="J607" s="2" t="s">
        <v>34</v>
      </c>
      <c r="K607" s="2" t="s">
        <v>34</v>
      </c>
      <c r="L607" s="2" t="s">
        <v>34</v>
      </c>
      <c r="M607" s="2" t="s">
        <v>34</v>
      </c>
      <c r="N607" s="2" t="s">
        <v>34</v>
      </c>
      <c r="O607" s="2" t="s">
        <v>34</v>
      </c>
      <c r="P607" s="3">
        <v>44197</v>
      </c>
      <c r="Q607" s="3">
        <v>44561</v>
      </c>
      <c r="R607" s="2" t="s">
        <v>1230</v>
      </c>
      <c r="S607" s="2" t="s">
        <v>70</v>
      </c>
    </row>
    <row r="608" spans="1:19" hidden="1" x14ac:dyDescent="0.25">
      <c r="A608" s="2" t="s">
        <v>1233</v>
      </c>
      <c r="B608" s="2" t="s">
        <v>67</v>
      </c>
      <c r="C608" s="2" t="s">
        <v>86</v>
      </c>
      <c r="D608" s="2" t="s">
        <v>1234</v>
      </c>
      <c r="E608" s="2">
        <v>2013</v>
      </c>
      <c r="F608" s="2">
        <v>29.129049999999999</v>
      </c>
      <c r="G608" s="2">
        <v>-83.073390000000003</v>
      </c>
      <c r="H608" s="2" t="s">
        <v>34</v>
      </c>
      <c r="I608" s="2" t="s">
        <v>46</v>
      </c>
      <c r="J608" s="2" t="s">
        <v>34</v>
      </c>
      <c r="K608" s="2" t="s">
        <v>34</v>
      </c>
      <c r="L608" s="2" t="s">
        <v>34</v>
      </c>
      <c r="M608" s="2" t="s">
        <v>34</v>
      </c>
      <c r="N608" s="2" t="s">
        <v>34</v>
      </c>
      <c r="O608" s="2" t="s">
        <v>34</v>
      </c>
      <c r="P608" s="3">
        <v>44197</v>
      </c>
      <c r="Q608" s="3">
        <v>44561</v>
      </c>
      <c r="R608" s="2" t="s">
        <v>1234</v>
      </c>
      <c r="S608" s="2" t="s">
        <v>70</v>
      </c>
    </row>
    <row r="609" spans="1:19" hidden="1" x14ac:dyDescent="0.25">
      <c r="A609" s="2" t="s">
        <v>1231</v>
      </c>
      <c r="B609" s="2" t="s">
        <v>67</v>
      </c>
      <c r="C609" s="2" t="s">
        <v>86</v>
      </c>
      <c r="D609" s="2" t="s">
        <v>1232</v>
      </c>
      <c r="E609" s="2">
        <v>1974</v>
      </c>
      <c r="F609" s="2">
        <v>29.12951</v>
      </c>
      <c r="G609" s="2">
        <v>-83.093869999999995</v>
      </c>
      <c r="H609" s="2" t="s">
        <v>34</v>
      </c>
      <c r="I609" s="2" t="s">
        <v>46</v>
      </c>
      <c r="J609" s="2" t="s">
        <v>34</v>
      </c>
      <c r="K609" s="2" t="s">
        <v>34</v>
      </c>
      <c r="L609" s="2" t="s">
        <v>34</v>
      </c>
      <c r="M609" s="2" t="s">
        <v>34</v>
      </c>
      <c r="N609" s="2" t="s">
        <v>34</v>
      </c>
      <c r="O609" s="2" t="s">
        <v>34</v>
      </c>
      <c r="P609" s="3">
        <v>44197</v>
      </c>
      <c r="Q609" s="3">
        <v>44561</v>
      </c>
      <c r="R609" s="2" t="s">
        <v>1232</v>
      </c>
      <c r="S609" s="2" t="s">
        <v>70</v>
      </c>
    </row>
    <row r="610" spans="1:19" hidden="1" x14ac:dyDescent="0.25">
      <c r="A610" s="2" t="s">
        <v>1306</v>
      </c>
      <c r="B610" s="2" t="s">
        <v>67</v>
      </c>
      <c r="C610" s="2" t="s">
        <v>86</v>
      </c>
      <c r="D610" s="2" t="s">
        <v>1307</v>
      </c>
      <c r="E610" s="2">
        <v>1993</v>
      </c>
      <c r="F610" s="2">
        <v>29.147310000000001</v>
      </c>
      <c r="G610" s="2">
        <v>-83.076040000000006</v>
      </c>
      <c r="H610" s="2" t="s">
        <v>34</v>
      </c>
      <c r="I610" s="2" t="s">
        <v>46</v>
      </c>
      <c r="J610" s="2" t="s">
        <v>34</v>
      </c>
      <c r="K610" s="2" t="s">
        <v>34</v>
      </c>
      <c r="L610" s="2" t="s">
        <v>34</v>
      </c>
      <c r="M610" s="2" t="s">
        <v>34</v>
      </c>
      <c r="N610" s="2" t="s">
        <v>34</v>
      </c>
      <c r="O610" s="2" t="s">
        <v>34</v>
      </c>
      <c r="P610" s="3">
        <v>44197</v>
      </c>
      <c r="Q610" s="3">
        <v>44561</v>
      </c>
      <c r="R610" s="2" t="s">
        <v>1307</v>
      </c>
      <c r="S610" s="2" t="s">
        <v>70</v>
      </c>
    </row>
    <row r="611" spans="1:19" hidden="1" x14ac:dyDescent="0.25">
      <c r="A611" s="2" t="s">
        <v>1235</v>
      </c>
      <c r="B611" s="2" t="s">
        <v>67</v>
      </c>
      <c r="C611" s="2" t="s">
        <v>86</v>
      </c>
      <c r="D611" s="2" t="s">
        <v>1236</v>
      </c>
      <c r="E611" s="2">
        <v>2014</v>
      </c>
      <c r="F611" s="2">
        <v>29.144680000000001</v>
      </c>
      <c r="G611" s="2">
        <v>-83.06429</v>
      </c>
      <c r="H611" s="2" t="s">
        <v>34</v>
      </c>
      <c r="I611" s="2" t="s">
        <v>46</v>
      </c>
      <c r="J611" s="2" t="s">
        <v>34</v>
      </c>
      <c r="K611" s="2" t="s">
        <v>34</v>
      </c>
      <c r="L611" s="2" t="s">
        <v>34</v>
      </c>
      <c r="M611" s="2" t="s">
        <v>34</v>
      </c>
      <c r="N611" s="2" t="s">
        <v>34</v>
      </c>
      <c r="O611" s="2" t="s">
        <v>34</v>
      </c>
      <c r="P611" s="3">
        <v>44197</v>
      </c>
      <c r="Q611" s="3">
        <v>44561</v>
      </c>
      <c r="R611" s="2" t="s">
        <v>1236</v>
      </c>
      <c r="S611" s="2" t="s">
        <v>70</v>
      </c>
    </row>
    <row r="612" spans="1:19" hidden="1" x14ac:dyDescent="0.25">
      <c r="A612" s="2" t="s">
        <v>1237</v>
      </c>
      <c r="B612" s="2" t="s">
        <v>67</v>
      </c>
      <c r="C612" s="2" t="s">
        <v>86</v>
      </c>
      <c r="D612" s="2" t="s">
        <v>1238</v>
      </c>
      <c r="E612" s="2">
        <v>2255</v>
      </c>
      <c r="F612" s="2">
        <v>29.15202</v>
      </c>
      <c r="G612" s="2">
        <v>-83.060760000000002</v>
      </c>
      <c r="H612" s="2" t="s">
        <v>34</v>
      </c>
      <c r="I612" s="2" t="s">
        <v>46</v>
      </c>
      <c r="J612" s="2" t="s">
        <v>34</v>
      </c>
      <c r="K612" s="2" t="s">
        <v>34</v>
      </c>
      <c r="L612" s="2" t="s">
        <v>34</v>
      </c>
      <c r="M612" s="2" t="s">
        <v>34</v>
      </c>
      <c r="N612" s="2" t="s">
        <v>34</v>
      </c>
      <c r="O612" s="2" t="s">
        <v>34</v>
      </c>
      <c r="P612" s="3">
        <v>44197</v>
      </c>
      <c r="Q612" s="3">
        <v>44561</v>
      </c>
      <c r="R612" s="2" t="s">
        <v>1238</v>
      </c>
      <c r="S612" s="2" t="s">
        <v>70</v>
      </c>
    </row>
    <row r="613" spans="1:19" hidden="1" x14ac:dyDescent="0.25">
      <c r="A613" s="2" t="s">
        <v>1243</v>
      </c>
      <c r="B613" s="2" t="s">
        <v>67</v>
      </c>
      <c r="C613" s="2" t="s">
        <v>86</v>
      </c>
      <c r="D613" s="2" t="s">
        <v>1244</v>
      </c>
      <c r="E613" s="2">
        <v>2263</v>
      </c>
      <c r="F613" s="2">
        <v>29.160240000000002</v>
      </c>
      <c r="G613" s="2">
        <v>-83.049109999999999</v>
      </c>
      <c r="H613" s="2" t="s">
        <v>34</v>
      </c>
      <c r="I613" s="2" t="s">
        <v>46</v>
      </c>
      <c r="J613" s="2" t="s">
        <v>34</v>
      </c>
      <c r="K613" s="2" t="s">
        <v>34</v>
      </c>
      <c r="L613" s="2" t="s">
        <v>34</v>
      </c>
      <c r="M613" s="2" t="s">
        <v>34</v>
      </c>
      <c r="N613" s="2" t="s">
        <v>34</v>
      </c>
      <c r="O613" s="2" t="s">
        <v>34</v>
      </c>
      <c r="P613" s="3">
        <v>44197</v>
      </c>
      <c r="Q613" s="3">
        <v>44561</v>
      </c>
      <c r="R613" s="2" t="s">
        <v>1244</v>
      </c>
      <c r="S613" s="2" t="s">
        <v>70</v>
      </c>
    </row>
    <row r="614" spans="1:19" hidden="1" x14ac:dyDescent="0.25">
      <c r="A614" s="2" t="s">
        <v>1245</v>
      </c>
      <c r="B614" s="2" t="s">
        <v>67</v>
      </c>
      <c r="C614" s="2" t="s">
        <v>86</v>
      </c>
      <c r="D614" s="2" t="s">
        <v>1246</v>
      </c>
      <c r="E614" s="2">
        <v>2419</v>
      </c>
      <c r="F614" s="2">
        <v>29.1539</v>
      </c>
      <c r="G614" s="2">
        <v>-83.043080000000003</v>
      </c>
      <c r="H614" s="2" t="s">
        <v>34</v>
      </c>
      <c r="I614" s="2" t="s">
        <v>46</v>
      </c>
      <c r="J614" s="2" t="s">
        <v>34</v>
      </c>
      <c r="K614" s="2" t="s">
        <v>34</v>
      </c>
      <c r="L614" s="2" t="s">
        <v>34</v>
      </c>
      <c r="M614" s="2" t="s">
        <v>34</v>
      </c>
      <c r="N614" s="2" t="s">
        <v>34</v>
      </c>
      <c r="O614" s="2" t="s">
        <v>34</v>
      </c>
      <c r="P614" s="3">
        <v>44197</v>
      </c>
      <c r="Q614" s="3">
        <v>44561</v>
      </c>
      <c r="R614" s="2" t="s">
        <v>1246</v>
      </c>
      <c r="S614" s="2" t="s">
        <v>70</v>
      </c>
    </row>
    <row r="615" spans="1:19" hidden="1" x14ac:dyDescent="0.25">
      <c r="A615" s="2" t="s">
        <v>1247</v>
      </c>
      <c r="B615" s="2" t="s">
        <v>67</v>
      </c>
      <c r="C615" s="2" t="s">
        <v>86</v>
      </c>
      <c r="D615" s="2" t="s">
        <v>1248</v>
      </c>
      <c r="E615" s="2">
        <v>2421</v>
      </c>
      <c r="F615" s="2">
        <v>29.154039999999998</v>
      </c>
      <c r="G615" s="2">
        <v>-83.033680000000004</v>
      </c>
      <c r="H615" s="2" t="s">
        <v>34</v>
      </c>
      <c r="I615" s="2" t="s">
        <v>46</v>
      </c>
      <c r="J615" s="2" t="s">
        <v>34</v>
      </c>
      <c r="K615" s="2" t="s">
        <v>34</v>
      </c>
      <c r="L615" s="2" t="s">
        <v>34</v>
      </c>
      <c r="M615" s="2" t="s">
        <v>34</v>
      </c>
      <c r="N615" s="2" t="s">
        <v>34</v>
      </c>
      <c r="O615" s="2" t="s">
        <v>34</v>
      </c>
      <c r="P615" s="3">
        <v>44197</v>
      </c>
      <c r="Q615" s="3">
        <v>44561</v>
      </c>
      <c r="R615" s="2" t="s">
        <v>1248</v>
      </c>
      <c r="S615" s="2" t="s">
        <v>70</v>
      </c>
    </row>
    <row r="616" spans="1:19" hidden="1" x14ac:dyDescent="0.25">
      <c r="A616" s="2" t="s">
        <v>1241</v>
      </c>
      <c r="B616" s="2" t="s">
        <v>67</v>
      </c>
      <c r="C616" s="2" t="s">
        <v>86</v>
      </c>
      <c r="D616" s="2" t="s">
        <v>1242</v>
      </c>
      <c r="E616" s="2">
        <v>2116</v>
      </c>
      <c r="F616" s="2">
        <v>29.16168</v>
      </c>
      <c r="G616" s="2">
        <v>-83.035060000000001</v>
      </c>
      <c r="H616" s="2" t="s">
        <v>34</v>
      </c>
      <c r="I616" s="2" t="s">
        <v>46</v>
      </c>
      <c r="J616" s="2" t="s">
        <v>34</v>
      </c>
      <c r="K616" s="2" t="s">
        <v>34</v>
      </c>
      <c r="L616" s="2" t="s">
        <v>34</v>
      </c>
      <c r="M616" s="2" t="s">
        <v>34</v>
      </c>
      <c r="N616" s="2" t="s">
        <v>34</v>
      </c>
      <c r="O616" s="2" t="s">
        <v>34</v>
      </c>
      <c r="P616" s="3">
        <v>44197</v>
      </c>
      <c r="Q616" s="3">
        <v>44561</v>
      </c>
      <c r="R616" s="2" t="s">
        <v>1242</v>
      </c>
      <c r="S616" s="2" t="s">
        <v>70</v>
      </c>
    </row>
    <row r="617" spans="1:19" hidden="1" x14ac:dyDescent="0.25">
      <c r="A617" s="2" t="s">
        <v>1239</v>
      </c>
      <c r="B617" s="2" t="s">
        <v>67</v>
      </c>
      <c r="C617" s="2" t="s">
        <v>86</v>
      </c>
      <c r="D617" s="2" t="s">
        <v>1240</v>
      </c>
      <c r="E617" s="2">
        <v>2086</v>
      </c>
      <c r="F617" s="2">
        <v>29.151890000000002</v>
      </c>
      <c r="G617" s="2">
        <v>-83.056910000000002</v>
      </c>
      <c r="H617" s="2" t="s">
        <v>34</v>
      </c>
      <c r="I617" s="2" t="s">
        <v>46</v>
      </c>
      <c r="J617" s="2" t="s">
        <v>34</v>
      </c>
      <c r="K617" s="2" t="s">
        <v>34</v>
      </c>
      <c r="L617" s="2" t="s">
        <v>34</v>
      </c>
      <c r="M617" s="2" t="s">
        <v>34</v>
      </c>
      <c r="N617" s="2" t="s">
        <v>34</v>
      </c>
      <c r="O617" s="2" t="s">
        <v>34</v>
      </c>
      <c r="P617" s="3">
        <v>44197</v>
      </c>
      <c r="Q617" s="3">
        <v>44561</v>
      </c>
      <c r="R617" s="2" t="s">
        <v>1240</v>
      </c>
      <c r="S617" s="2" t="s">
        <v>70</v>
      </c>
    </row>
    <row r="618" spans="1:19" hidden="1" x14ac:dyDescent="0.25">
      <c r="A618" s="2" t="s">
        <v>1251</v>
      </c>
      <c r="B618" s="2" t="s">
        <v>67</v>
      </c>
      <c r="C618" s="2" t="s">
        <v>77</v>
      </c>
      <c r="D618" s="2" t="s">
        <v>1252</v>
      </c>
      <c r="E618" s="2">
        <v>1815</v>
      </c>
      <c r="F618" s="2">
        <v>29.237259999999999</v>
      </c>
      <c r="G618" s="2">
        <v>-83.076120000000003</v>
      </c>
      <c r="H618" s="2" t="s">
        <v>34</v>
      </c>
      <c r="I618" s="2" t="s">
        <v>46</v>
      </c>
      <c r="J618" s="2" t="s">
        <v>34</v>
      </c>
      <c r="K618" s="2" t="s">
        <v>34</v>
      </c>
      <c r="L618" s="2" t="s">
        <v>34</v>
      </c>
      <c r="M618" s="2" t="s">
        <v>34</v>
      </c>
      <c r="N618" s="2" t="s">
        <v>34</v>
      </c>
      <c r="O618" s="2" t="s">
        <v>34</v>
      </c>
      <c r="P618" s="3">
        <v>44197</v>
      </c>
      <c r="Q618" s="3">
        <v>44561</v>
      </c>
      <c r="R618" s="2" t="s">
        <v>1252</v>
      </c>
      <c r="S618" s="2" t="s">
        <v>70</v>
      </c>
    </row>
    <row r="619" spans="1:19" hidden="1" x14ac:dyDescent="0.25">
      <c r="A619" s="2" t="s">
        <v>1249</v>
      </c>
      <c r="B619" s="2" t="s">
        <v>67</v>
      </c>
      <c r="C619" s="2" t="s">
        <v>77</v>
      </c>
      <c r="D619" s="2" t="s">
        <v>1250</v>
      </c>
      <c r="E619" s="2">
        <v>1808</v>
      </c>
      <c r="F619" s="2">
        <v>29.235579999999999</v>
      </c>
      <c r="G619" s="2">
        <v>-83.076830000000001</v>
      </c>
      <c r="H619" s="2" t="s">
        <v>34</v>
      </c>
      <c r="I619" s="2" t="s">
        <v>46</v>
      </c>
      <c r="J619" s="2" t="s">
        <v>34</v>
      </c>
      <c r="K619" s="2" t="s">
        <v>34</v>
      </c>
      <c r="L619" s="2" t="s">
        <v>34</v>
      </c>
      <c r="M619" s="2" t="s">
        <v>34</v>
      </c>
      <c r="N619" s="2" t="s">
        <v>34</v>
      </c>
      <c r="O619" s="2" t="s">
        <v>34</v>
      </c>
      <c r="P619" s="3">
        <v>44197</v>
      </c>
      <c r="Q619" s="3">
        <v>44561</v>
      </c>
      <c r="R619" s="2" t="s">
        <v>1250</v>
      </c>
      <c r="S619" s="2" t="s">
        <v>70</v>
      </c>
    </row>
    <row r="620" spans="1:19" hidden="1" x14ac:dyDescent="0.25">
      <c r="A620" s="2" t="s">
        <v>1257</v>
      </c>
      <c r="B620" s="2" t="s">
        <v>67</v>
      </c>
      <c r="C620" s="2" t="s">
        <v>77</v>
      </c>
      <c r="D620" s="2" t="s">
        <v>1258</v>
      </c>
      <c r="E620" s="2">
        <v>1925</v>
      </c>
      <c r="F620" s="2">
        <v>29.236339999999998</v>
      </c>
      <c r="G620" s="2">
        <v>-83.075419999999994</v>
      </c>
      <c r="H620" s="2" t="s">
        <v>34</v>
      </c>
      <c r="I620" s="2" t="s">
        <v>46</v>
      </c>
      <c r="J620" s="2" t="s">
        <v>34</v>
      </c>
      <c r="K620" s="2" t="s">
        <v>34</v>
      </c>
      <c r="L620" s="2" t="s">
        <v>34</v>
      </c>
      <c r="M620" s="2" t="s">
        <v>34</v>
      </c>
      <c r="N620" s="2" t="s">
        <v>34</v>
      </c>
      <c r="O620" s="2" t="s">
        <v>34</v>
      </c>
      <c r="P620" s="3">
        <v>44197</v>
      </c>
      <c r="Q620" s="3">
        <v>44561</v>
      </c>
      <c r="R620" s="2" t="s">
        <v>1258</v>
      </c>
      <c r="S620" s="2" t="s">
        <v>70</v>
      </c>
    </row>
    <row r="621" spans="1:19" hidden="1" x14ac:dyDescent="0.25">
      <c r="A621" s="2" t="s">
        <v>1261</v>
      </c>
      <c r="B621" s="2" t="s">
        <v>67</v>
      </c>
      <c r="C621" s="2" t="s">
        <v>77</v>
      </c>
      <c r="D621" s="2" t="s">
        <v>1262</v>
      </c>
      <c r="E621" s="2">
        <v>1949</v>
      </c>
      <c r="F621" s="2">
        <v>29.235610000000001</v>
      </c>
      <c r="G621" s="2">
        <v>-83.074340000000007</v>
      </c>
      <c r="H621" s="2" t="s">
        <v>34</v>
      </c>
      <c r="I621" s="2" t="s">
        <v>46</v>
      </c>
      <c r="J621" s="2" t="s">
        <v>34</v>
      </c>
      <c r="K621" s="2" t="s">
        <v>34</v>
      </c>
      <c r="L621" s="2" t="s">
        <v>34</v>
      </c>
      <c r="M621" s="2" t="s">
        <v>34</v>
      </c>
      <c r="N621" s="2" t="s">
        <v>34</v>
      </c>
      <c r="O621" s="2" t="s">
        <v>34</v>
      </c>
      <c r="P621" s="3">
        <v>44197</v>
      </c>
      <c r="Q621" s="3">
        <v>44561</v>
      </c>
      <c r="R621" s="2" t="s">
        <v>1262</v>
      </c>
      <c r="S621" s="2" t="s">
        <v>70</v>
      </c>
    </row>
    <row r="622" spans="1:19" hidden="1" x14ac:dyDescent="0.25">
      <c r="A622" s="2" t="s">
        <v>1253</v>
      </c>
      <c r="B622" s="2" t="s">
        <v>67</v>
      </c>
      <c r="C622" s="2" t="s">
        <v>77</v>
      </c>
      <c r="D622" s="2" t="s">
        <v>1254</v>
      </c>
      <c r="E622" s="2">
        <v>1911</v>
      </c>
      <c r="F622" s="2">
        <v>29.23677</v>
      </c>
      <c r="G622" s="2">
        <v>-83.07253</v>
      </c>
      <c r="H622" s="2" t="s">
        <v>34</v>
      </c>
      <c r="I622" s="2" t="s">
        <v>46</v>
      </c>
      <c r="J622" s="2" t="s">
        <v>34</v>
      </c>
      <c r="K622" s="2" t="s">
        <v>34</v>
      </c>
      <c r="L622" s="2" t="s">
        <v>34</v>
      </c>
      <c r="M622" s="2" t="s">
        <v>34</v>
      </c>
      <c r="N622" s="2" t="s">
        <v>34</v>
      </c>
      <c r="O622" s="2" t="s">
        <v>34</v>
      </c>
      <c r="P622" s="3">
        <v>44197</v>
      </c>
      <c r="Q622" s="3">
        <v>44561</v>
      </c>
      <c r="R622" s="2" t="s">
        <v>1254</v>
      </c>
      <c r="S622" s="2" t="s">
        <v>70</v>
      </c>
    </row>
    <row r="623" spans="1:19" hidden="1" x14ac:dyDescent="0.25">
      <c r="A623" s="2" t="s">
        <v>1255</v>
      </c>
      <c r="B623" s="2" t="s">
        <v>67</v>
      </c>
      <c r="C623" s="2" t="s">
        <v>77</v>
      </c>
      <c r="D623" s="2" t="s">
        <v>1256</v>
      </c>
      <c r="E623" s="2">
        <v>1913</v>
      </c>
      <c r="F623" s="2">
        <v>29.23753</v>
      </c>
      <c r="G623" s="2">
        <v>-83.071610000000007</v>
      </c>
      <c r="H623" s="2" t="s">
        <v>34</v>
      </c>
      <c r="I623" s="2" t="s">
        <v>46</v>
      </c>
      <c r="J623" s="2" t="s">
        <v>34</v>
      </c>
      <c r="K623" s="2" t="s">
        <v>34</v>
      </c>
      <c r="L623" s="2" t="s">
        <v>34</v>
      </c>
      <c r="M623" s="2" t="s">
        <v>34</v>
      </c>
      <c r="N623" s="2" t="s">
        <v>34</v>
      </c>
      <c r="O623" s="2" t="s">
        <v>34</v>
      </c>
      <c r="P623" s="3">
        <v>44197</v>
      </c>
      <c r="Q623" s="3">
        <v>44561</v>
      </c>
      <c r="R623" s="2" t="s">
        <v>1256</v>
      </c>
      <c r="S623" s="2" t="s">
        <v>70</v>
      </c>
    </row>
    <row r="624" spans="1:19" hidden="1" x14ac:dyDescent="0.25">
      <c r="A624" s="2" t="s">
        <v>1259</v>
      </c>
      <c r="B624" s="2" t="s">
        <v>67</v>
      </c>
      <c r="C624" s="2" t="s">
        <v>77</v>
      </c>
      <c r="D624" s="2" t="s">
        <v>1260</v>
      </c>
      <c r="E624" s="2">
        <v>1942</v>
      </c>
      <c r="F624" s="2">
        <v>29.23413</v>
      </c>
      <c r="G624" s="2">
        <v>-83.073880000000003</v>
      </c>
      <c r="H624" s="2" t="s">
        <v>34</v>
      </c>
      <c r="I624" s="2" t="s">
        <v>46</v>
      </c>
      <c r="J624" s="2" t="s">
        <v>34</v>
      </c>
      <c r="K624" s="2" t="s">
        <v>34</v>
      </c>
      <c r="L624" s="2" t="s">
        <v>34</v>
      </c>
      <c r="M624" s="2" t="s">
        <v>34</v>
      </c>
      <c r="N624" s="2" t="s">
        <v>34</v>
      </c>
      <c r="O624" s="2" t="s">
        <v>34</v>
      </c>
      <c r="P624" s="3">
        <v>44197</v>
      </c>
      <c r="Q624" s="3">
        <v>44561</v>
      </c>
      <c r="R624" s="2" t="s">
        <v>1260</v>
      </c>
      <c r="S624" s="2" t="s">
        <v>70</v>
      </c>
    </row>
    <row r="625" spans="1:19" hidden="1" x14ac:dyDescent="0.25">
      <c r="A625" s="2" t="s">
        <v>1263</v>
      </c>
      <c r="B625" s="2" t="s">
        <v>67</v>
      </c>
      <c r="C625" s="2" t="s">
        <v>86</v>
      </c>
      <c r="D625" s="2" t="s">
        <v>1264</v>
      </c>
      <c r="E625" s="2">
        <v>2060</v>
      </c>
      <c r="F625" s="2">
        <v>29.162140000000001</v>
      </c>
      <c r="G625" s="2">
        <v>-83.003500000000003</v>
      </c>
      <c r="H625" s="2" t="s">
        <v>34</v>
      </c>
      <c r="I625" s="2" t="s">
        <v>46</v>
      </c>
      <c r="J625" s="2" t="s">
        <v>34</v>
      </c>
      <c r="K625" s="2" t="s">
        <v>34</v>
      </c>
      <c r="L625" s="2" t="s">
        <v>34</v>
      </c>
      <c r="M625" s="2" t="s">
        <v>34</v>
      </c>
      <c r="N625" s="2" t="s">
        <v>34</v>
      </c>
      <c r="O625" s="2" t="s">
        <v>34</v>
      </c>
      <c r="P625" s="3">
        <v>44197</v>
      </c>
      <c r="Q625" s="3">
        <v>44561</v>
      </c>
      <c r="R625" s="2" t="s">
        <v>1264</v>
      </c>
      <c r="S625" s="2" t="s">
        <v>70</v>
      </c>
    </row>
    <row r="626" spans="1:19" hidden="1" x14ac:dyDescent="0.25">
      <c r="A626" s="2" t="s">
        <v>1265</v>
      </c>
      <c r="B626" s="2" t="s">
        <v>67</v>
      </c>
      <c r="C626" s="2" t="s">
        <v>86</v>
      </c>
      <c r="D626" s="2" t="s">
        <v>1266</v>
      </c>
      <c r="E626" s="2">
        <v>2270</v>
      </c>
      <c r="F626" s="2">
        <v>29.16422</v>
      </c>
      <c r="G626" s="2">
        <v>-82.994960000000006</v>
      </c>
      <c r="H626" s="2" t="s">
        <v>34</v>
      </c>
      <c r="I626" s="2" t="s">
        <v>46</v>
      </c>
      <c r="J626" s="2" t="s">
        <v>34</v>
      </c>
      <c r="K626" s="2" t="s">
        <v>34</v>
      </c>
      <c r="L626" s="2" t="s">
        <v>34</v>
      </c>
      <c r="M626" s="2" t="s">
        <v>34</v>
      </c>
      <c r="N626" s="2" t="s">
        <v>34</v>
      </c>
      <c r="O626" s="2" t="s">
        <v>34</v>
      </c>
      <c r="P626" s="3">
        <v>44197</v>
      </c>
      <c r="Q626" s="3">
        <v>44561</v>
      </c>
      <c r="R626" s="2" t="s">
        <v>1266</v>
      </c>
      <c r="S626" s="2" t="s">
        <v>70</v>
      </c>
    </row>
    <row r="627" spans="1:19" hidden="1" x14ac:dyDescent="0.25">
      <c r="A627" s="2" t="s">
        <v>1267</v>
      </c>
      <c r="B627" s="2" t="s">
        <v>67</v>
      </c>
      <c r="C627" s="2" t="s">
        <v>86</v>
      </c>
      <c r="D627" s="2" t="s">
        <v>1268</v>
      </c>
      <c r="E627" s="2">
        <v>2140</v>
      </c>
      <c r="F627" s="2">
        <v>29.168690000000002</v>
      </c>
      <c r="G627" s="2">
        <v>-83.063800000000001</v>
      </c>
      <c r="H627" s="2" t="s">
        <v>34</v>
      </c>
      <c r="I627" s="2" t="s">
        <v>46</v>
      </c>
      <c r="J627" s="2" t="s">
        <v>34</v>
      </c>
      <c r="K627" s="2" t="s">
        <v>34</v>
      </c>
      <c r="L627" s="2" t="s">
        <v>34</v>
      </c>
      <c r="M627" s="2" t="s">
        <v>34</v>
      </c>
      <c r="N627" s="2" t="s">
        <v>34</v>
      </c>
      <c r="O627" s="2" t="s">
        <v>34</v>
      </c>
      <c r="P627" s="3">
        <v>44197</v>
      </c>
      <c r="Q627" s="3">
        <v>44561</v>
      </c>
      <c r="R627" s="2" t="s">
        <v>1268</v>
      </c>
      <c r="S627" s="2" t="s">
        <v>70</v>
      </c>
    </row>
    <row r="628" spans="1:19" hidden="1" x14ac:dyDescent="0.25">
      <c r="A628" s="2" t="s">
        <v>1271</v>
      </c>
      <c r="B628" s="2" t="s">
        <v>67</v>
      </c>
      <c r="C628" s="2" t="s">
        <v>86</v>
      </c>
      <c r="D628" s="2" t="s">
        <v>1272</v>
      </c>
      <c r="E628" s="2">
        <v>2290</v>
      </c>
      <c r="F628" s="2">
        <v>29.180610000000001</v>
      </c>
      <c r="G628" s="2">
        <v>-83.065830000000005</v>
      </c>
      <c r="H628" s="2" t="s">
        <v>34</v>
      </c>
      <c r="I628" s="2" t="s">
        <v>46</v>
      </c>
      <c r="J628" s="2" t="s">
        <v>34</v>
      </c>
      <c r="K628" s="2" t="s">
        <v>34</v>
      </c>
      <c r="L628" s="2" t="s">
        <v>34</v>
      </c>
      <c r="M628" s="2" t="s">
        <v>34</v>
      </c>
      <c r="N628" s="2" t="s">
        <v>34</v>
      </c>
      <c r="O628" s="2" t="s">
        <v>34</v>
      </c>
      <c r="P628" s="3">
        <v>44197</v>
      </c>
      <c r="Q628" s="3">
        <v>44561</v>
      </c>
      <c r="R628" s="2" t="s">
        <v>1272</v>
      </c>
      <c r="S628" s="2" t="s">
        <v>70</v>
      </c>
    </row>
    <row r="629" spans="1:19" hidden="1" x14ac:dyDescent="0.25">
      <c r="A629" s="2" t="s">
        <v>1269</v>
      </c>
      <c r="B629" s="2" t="s">
        <v>67</v>
      </c>
      <c r="C629" s="2" t="s">
        <v>86</v>
      </c>
      <c r="D629" s="2" t="s">
        <v>1270</v>
      </c>
      <c r="E629" s="2">
        <v>2173</v>
      </c>
      <c r="F629" s="2">
        <v>29.186440000000001</v>
      </c>
      <c r="G629" s="2">
        <v>-83.062439999999995</v>
      </c>
      <c r="H629" s="2" t="s">
        <v>34</v>
      </c>
      <c r="I629" s="2" t="s">
        <v>46</v>
      </c>
      <c r="J629" s="2" t="s">
        <v>34</v>
      </c>
      <c r="K629" s="2" t="s">
        <v>34</v>
      </c>
      <c r="L629" s="2" t="s">
        <v>34</v>
      </c>
      <c r="M629" s="2" t="s">
        <v>34</v>
      </c>
      <c r="N629" s="2" t="s">
        <v>34</v>
      </c>
      <c r="O629" s="2" t="s">
        <v>34</v>
      </c>
      <c r="P629" s="3">
        <v>44197</v>
      </c>
      <c r="Q629" s="3">
        <v>44561</v>
      </c>
      <c r="R629" s="2" t="s">
        <v>1270</v>
      </c>
      <c r="S629" s="2" t="s">
        <v>70</v>
      </c>
    </row>
    <row r="630" spans="1:19" hidden="1" x14ac:dyDescent="0.25">
      <c r="A630" s="2" t="s">
        <v>1273</v>
      </c>
      <c r="B630" s="2" t="s">
        <v>67</v>
      </c>
      <c r="C630" s="2" t="s">
        <v>86</v>
      </c>
      <c r="D630" s="2" t="s">
        <v>1274</v>
      </c>
      <c r="E630" s="2">
        <v>2513</v>
      </c>
      <c r="F630" s="2">
        <v>29.185700000000001</v>
      </c>
      <c r="G630" s="2">
        <v>-83.051540000000003</v>
      </c>
      <c r="H630" s="2" t="s">
        <v>34</v>
      </c>
      <c r="I630" s="2" t="s">
        <v>46</v>
      </c>
      <c r="J630" s="2" t="s">
        <v>34</v>
      </c>
      <c r="K630" s="2" t="s">
        <v>34</v>
      </c>
      <c r="L630" s="2" t="s">
        <v>34</v>
      </c>
      <c r="M630" s="2" t="s">
        <v>34</v>
      </c>
      <c r="N630" s="2" t="s">
        <v>34</v>
      </c>
      <c r="O630" s="2" t="s">
        <v>34</v>
      </c>
      <c r="P630" s="3">
        <v>44197</v>
      </c>
      <c r="Q630" s="3">
        <v>44561</v>
      </c>
      <c r="R630" s="2" t="s">
        <v>1274</v>
      </c>
      <c r="S630" s="2" t="s">
        <v>70</v>
      </c>
    </row>
    <row r="631" spans="1:19" hidden="1" x14ac:dyDescent="0.25">
      <c r="A631" s="2" t="s">
        <v>1280</v>
      </c>
      <c r="B631" s="2" t="s">
        <v>67</v>
      </c>
      <c r="C631" s="2" t="s">
        <v>77</v>
      </c>
      <c r="D631" s="2" t="s">
        <v>1281</v>
      </c>
      <c r="E631" s="2">
        <v>1126</v>
      </c>
      <c r="F631" s="2">
        <v>29.330449999999999</v>
      </c>
      <c r="G631" s="2">
        <v>-83.173439999999999</v>
      </c>
      <c r="H631" s="2" t="s">
        <v>34</v>
      </c>
      <c r="I631" s="2" t="s">
        <v>46</v>
      </c>
      <c r="J631" s="2" t="s">
        <v>34</v>
      </c>
      <c r="K631" s="2" t="s">
        <v>34</v>
      </c>
      <c r="L631" s="2" t="s">
        <v>34</v>
      </c>
      <c r="M631" s="2" t="s">
        <v>34</v>
      </c>
      <c r="N631" s="2" t="s">
        <v>34</v>
      </c>
      <c r="O631" s="2" t="s">
        <v>34</v>
      </c>
      <c r="P631" s="3">
        <v>44197</v>
      </c>
      <c r="Q631" s="3">
        <v>44561</v>
      </c>
      <c r="R631" s="2" t="s">
        <v>1281</v>
      </c>
      <c r="S631" s="2" t="s">
        <v>70</v>
      </c>
    </row>
    <row r="632" spans="1:19" hidden="1" x14ac:dyDescent="0.25">
      <c r="A632" s="2" t="s">
        <v>1288</v>
      </c>
      <c r="B632" s="2" t="s">
        <v>67</v>
      </c>
      <c r="C632" s="2" t="s">
        <v>77</v>
      </c>
      <c r="D632" s="2" t="s">
        <v>1289</v>
      </c>
      <c r="E632" s="2">
        <v>1767</v>
      </c>
      <c r="F632" s="2">
        <v>29.339700000000001</v>
      </c>
      <c r="G632" s="2">
        <v>-83.168490000000006</v>
      </c>
      <c r="H632" s="2" t="s">
        <v>34</v>
      </c>
      <c r="I632" s="2" t="s">
        <v>46</v>
      </c>
      <c r="J632" s="2" t="s">
        <v>34</v>
      </c>
      <c r="K632" s="2" t="s">
        <v>34</v>
      </c>
      <c r="L632" s="2" t="s">
        <v>34</v>
      </c>
      <c r="M632" s="2" t="s">
        <v>34</v>
      </c>
      <c r="N632" s="2" t="s">
        <v>34</v>
      </c>
      <c r="O632" s="2" t="s">
        <v>34</v>
      </c>
      <c r="P632" s="3">
        <v>44197</v>
      </c>
      <c r="Q632" s="3">
        <v>44561</v>
      </c>
      <c r="R632" s="2" t="s">
        <v>1289</v>
      </c>
      <c r="S632" s="2" t="s">
        <v>70</v>
      </c>
    </row>
    <row r="633" spans="1:19" hidden="1" x14ac:dyDescent="0.25">
      <c r="A633" s="2" t="s">
        <v>1290</v>
      </c>
      <c r="B633" s="2" t="s">
        <v>67</v>
      </c>
      <c r="C633" s="2" t="s">
        <v>77</v>
      </c>
      <c r="D633" s="2" t="s">
        <v>1291</v>
      </c>
      <c r="E633" s="2">
        <v>1096</v>
      </c>
      <c r="F633" s="2">
        <v>29.314889999999998</v>
      </c>
      <c r="G633" s="2">
        <v>-83.181960000000004</v>
      </c>
      <c r="H633" s="2" t="s">
        <v>34</v>
      </c>
      <c r="I633" s="2" t="s">
        <v>46</v>
      </c>
      <c r="J633" s="2" t="s">
        <v>34</v>
      </c>
      <c r="K633" s="2" t="s">
        <v>34</v>
      </c>
      <c r="L633" s="2" t="s">
        <v>34</v>
      </c>
      <c r="M633" s="2" t="s">
        <v>34</v>
      </c>
      <c r="N633" s="2" t="s">
        <v>34</v>
      </c>
      <c r="O633" s="2" t="s">
        <v>34</v>
      </c>
      <c r="P633" s="3">
        <v>44197</v>
      </c>
      <c r="Q633" s="3">
        <v>44561</v>
      </c>
      <c r="R633" s="2" t="s">
        <v>1291</v>
      </c>
      <c r="S633" s="2" t="s">
        <v>70</v>
      </c>
    </row>
    <row r="634" spans="1:19" hidden="1" x14ac:dyDescent="0.25">
      <c r="A634" s="2" t="s">
        <v>1298</v>
      </c>
      <c r="B634" s="2" t="s">
        <v>67</v>
      </c>
      <c r="C634" s="2" t="s">
        <v>77</v>
      </c>
      <c r="D634" s="2" t="s">
        <v>1299</v>
      </c>
      <c r="E634" s="2">
        <v>1831</v>
      </c>
      <c r="F634" s="2">
        <v>29.356249999999999</v>
      </c>
      <c r="G634" s="2">
        <v>-83.184830000000005</v>
      </c>
      <c r="H634" s="2" t="s">
        <v>34</v>
      </c>
      <c r="I634" s="2" t="s">
        <v>46</v>
      </c>
      <c r="J634" s="2" t="s">
        <v>34</v>
      </c>
      <c r="K634" s="2" t="s">
        <v>34</v>
      </c>
      <c r="L634" s="2" t="s">
        <v>34</v>
      </c>
      <c r="M634" s="2" t="s">
        <v>34</v>
      </c>
      <c r="N634" s="2" t="s">
        <v>34</v>
      </c>
      <c r="O634" s="2" t="s">
        <v>34</v>
      </c>
      <c r="P634" s="3">
        <v>44197</v>
      </c>
      <c r="Q634" s="3">
        <v>44561</v>
      </c>
      <c r="R634" s="2" t="s">
        <v>1299</v>
      </c>
      <c r="S634" s="2" t="s">
        <v>70</v>
      </c>
    </row>
    <row r="635" spans="1:19" hidden="1" x14ac:dyDescent="0.25">
      <c r="A635" s="2" t="s">
        <v>1292</v>
      </c>
      <c r="B635" s="2" t="s">
        <v>67</v>
      </c>
      <c r="C635" s="2" t="s">
        <v>77</v>
      </c>
      <c r="D635" s="2" t="s">
        <v>1293</v>
      </c>
      <c r="E635" s="2">
        <v>1181</v>
      </c>
      <c r="F635" s="2">
        <v>29.363299999999999</v>
      </c>
      <c r="G635" s="2">
        <v>-83.177859999999995</v>
      </c>
      <c r="H635" s="2" t="s">
        <v>34</v>
      </c>
      <c r="I635" s="2" t="s">
        <v>46</v>
      </c>
      <c r="J635" s="2" t="s">
        <v>34</v>
      </c>
      <c r="K635" s="2" t="s">
        <v>34</v>
      </c>
      <c r="L635" s="2" t="s">
        <v>34</v>
      </c>
      <c r="M635" s="2" t="s">
        <v>34</v>
      </c>
      <c r="N635" s="2" t="s">
        <v>34</v>
      </c>
      <c r="O635" s="2" t="s">
        <v>34</v>
      </c>
      <c r="P635" s="3">
        <v>44197</v>
      </c>
      <c r="Q635" s="3">
        <v>44561</v>
      </c>
      <c r="R635" s="2" t="s">
        <v>1293</v>
      </c>
      <c r="S635" s="2" t="s">
        <v>70</v>
      </c>
    </row>
    <row r="636" spans="1:19" hidden="1" x14ac:dyDescent="0.25">
      <c r="A636" s="2" t="s">
        <v>1296</v>
      </c>
      <c r="B636" s="2" t="s">
        <v>67</v>
      </c>
      <c r="C636" s="2" t="s">
        <v>77</v>
      </c>
      <c r="D636" s="2" t="s">
        <v>1297</v>
      </c>
      <c r="E636" s="2">
        <v>1798</v>
      </c>
      <c r="F636" s="2">
        <v>29.36674</v>
      </c>
      <c r="G636" s="2">
        <v>-83.170349999999999</v>
      </c>
      <c r="H636" s="2" t="s">
        <v>34</v>
      </c>
      <c r="I636" s="2" t="s">
        <v>46</v>
      </c>
      <c r="J636" s="2" t="s">
        <v>34</v>
      </c>
      <c r="K636" s="2" t="s">
        <v>34</v>
      </c>
      <c r="L636" s="2" t="s">
        <v>34</v>
      </c>
      <c r="M636" s="2" t="s">
        <v>34</v>
      </c>
      <c r="N636" s="2" t="s">
        <v>34</v>
      </c>
      <c r="O636" s="2" t="s">
        <v>34</v>
      </c>
      <c r="P636" s="3">
        <v>44197</v>
      </c>
      <c r="Q636" s="3">
        <v>44561</v>
      </c>
      <c r="R636" s="2" t="s">
        <v>1297</v>
      </c>
      <c r="S636" s="2" t="s">
        <v>70</v>
      </c>
    </row>
    <row r="637" spans="1:19" hidden="1" x14ac:dyDescent="0.25">
      <c r="A637" s="2" t="s">
        <v>1294</v>
      </c>
      <c r="B637" s="2" t="s">
        <v>67</v>
      </c>
      <c r="C637" s="2" t="s">
        <v>77</v>
      </c>
      <c r="D637" s="2" t="s">
        <v>1295</v>
      </c>
      <c r="E637" s="2">
        <v>1217</v>
      </c>
      <c r="F637" s="2">
        <v>29.370529999999999</v>
      </c>
      <c r="G637" s="2">
        <v>-83.167100000000005</v>
      </c>
      <c r="H637" s="2" t="s">
        <v>34</v>
      </c>
      <c r="I637" s="2" t="s">
        <v>46</v>
      </c>
      <c r="J637" s="2" t="s">
        <v>34</v>
      </c>
      <c r="K637" s="2" t="s">
        <v>34</v>
      </c>
      <c r="L637" s="2" t="s">
        <v>34</v>
      </c>
      <c r="M637" s="2" t="s">
        <v>34</v>
      </c>
      <c r="N637" s="2" t="s">
        <v>34</v>
      </c>
      <c r="O637" s="2" t="s">
        <v>34</v>
      </c>
      <c r="P637" s="3">
        <v>44197</v>
      </c>
      <c r="Q637" s="3">
        <v>44561</v>
      </c>
      <c r="R637" s="2" t="s">
        <v>1295</v>
      </c>
      <c r="S637" s="2" t="s">
        <v>70</v>
      </c>
    </row>
    <row r="638" spans="1:19" hidden="1" x14ac:dyDescent="0.25">
      <c r="A638" s="2" t="s">
        <v>1304</v>
      </c>
      <c r="B638" s="2" t="s">
        <v>67</v>
      </c>
      <c r="C638" s="2" t="s">
        <v>77</v>
      </c>
      <c r="D638" s="2" t="s">
        <v>1305</v>
      </c>
      <c r="E638" s="2">
        <v>1890</v>
      </c>
      <c r="F638" s="2">
        <v>29.241</v>
      </c>
      <c r="G638" s="2">
        <v>-83.071690000000004</v>
      </c>
      <c r="H638" s="2" t="s">
        <v>34</v>
      </c>
      <c r="I638" s="2" t="s">
        <v>46</v>
      </c>
      <c r="J638" s="2" t="s">
        <v>34</v>
      </c>
      <c r="K638" s="2" t="s">
        <v>34</v>
      </c>
      <c r="L638" s="2" t="s">
        <v>34</v>
      </c>
      <c r="M638" s="2" t="s">
        <v>34</v>
      </c>
      <c r="N638" s="2" t="s">
        <v>34</v>
      </c>
      <c r="O638" s="2" t="s">
        <v>34</v>
      </c>
      <c r="P638" s="3">
        <v>44197</v>
      </c>
      <c r="Q638" s="3">
        <v>44561</v>
      </c>
      <c r="R638" s="2" t="s">
        <v>1305</v>
      </c>
      <c r="S638" s="2" t="s">
        <v>70</v>
      </c>
    </row>
    <row r="639" spans="1:19" hidden="1" x14ac:dyDescent="0.25">
      <c r="A639" s="2" t="s">
        <v>1300</v>
      </c>
      <c r="B639" s="2" t="s">
        <v>67</v>
      </c>
      <c r="C639" s="2" t="s">
        <v>77</v>
      </c>
      <c r="D639" s="2" t="s">
        <v>1301</v>
      </c>
      <c r="E639" s="2">
        <v>1692</v>
      </c>
      <c r="F639" s="2">
        <v>29.23537</v>
      </c>
      <c r="G639" s="2">
        <v>-83.065250000000006</v>
      </c>
      <c r="H639" s="2" t="s">
        <v>34</v>
      </c>
      <c r="I639" s="2" t="s">
        <v>46</v>
      </c>
      <c r="J639" s="2" t="s">
        <v>34</v>
      </c>
      <c r="K639" s="2" t="s">
        <v>34</v>
      </c>
      <c r="L639" s="2" t="s">
        <v>34</v>
      </c>
      <c r="M639" s="2" t="s">
        <v>34</v>
      </c>
      <c r="N639" s="2" t="s">
        <v>34</v>
      </c>
      <c r="O639" s="2" t="s">
        <v>34</v>
      </c>
      <c r="P639" s="3">
        <v>44197</v>
      </c>
      <c r="Q639" s="3">
        <v>44561</v>
      </c>
      <c r="R639" s="2" t="s">
        <v>1301</v>
      </c>
      <c r="S639" s="2" t="s">
        <v>70</v>
      </c>
    </row>
    <row r="640" spans="1:19" hidden="1" x14ac:dyDescent="0.25">
      <c r="A640" s="2" t="s">
        <v>1302</v>
      </c>
      <c r="B640" s="2" t="s">
        <v>67</v>
      </c>
      <c r="C640" s="2" t="s">
        <v>77</v>
      </c>
      <c r="D640" s="2" t="s">
        <v>1303</v>
      </c>
      <c r="E640" s="2">
        <v>1804</v>
      </c>
      <c r="F640" s="2">
        <v>29.231079999999999</v>
      </c>
      <c r="G640" s="2">
        <v>-83.073179999999994</v>
      </c>
      <c r="H640" s="2" t="s">
        <v>34</v>
      </c>
      <c r="I640" s="2" t="s">
        <v>46</v>
      </c>
      <c r="J640" s="2" t="s">
        <v>34</v>
      </c>
      <c r="K640" s="2" t="s">
        <v>34</v>
      </c>
      <c r="L640" s="2" t="s">
        <v>34</v>
      </c>
      <c r="M640" s="2" t="s">
        <v>34</v>
      </c>
      <c r="N640" s="2" t="s">
        <v>34</v>
      </c>
      <c r="O640" s="2" t="s">
        <v>34</v>
      </c>
      <c r="P640" s="3">
        <v>44197</v>
      </c>
      <c r="Q640" s="3">
        <v>44561</v>
      </c>
      <c r="R640" s="2" t="s">
        <v>1303</v>
      </c>
      <c r="S640" s="2" t="s">
        <v>70</v>
      </c>
    </row>
    <row r="641" spans="1:19" hidden="1" x14ac:dyDescent="0.25">
      <c r="A641" s="2" t="s">
        <v>1314</v>
      </c>
      <c r="B641" s="2" t="s">
        <v>67</v>
      </c>
      <c r="C641" s="2" t="s">
        <v>34</v>
      </c>
      <c r="D641" s="2" t="s">
        <v>1315</v>
      </c>
      <c r="E641" s="2">
        <v>508</v>
      </c>
      <c r="F641" s="2">
        <v>29.37631</v>
      </c>
      <c r="G641" s="2">
        <v>-83.187700000000007</v>
      </c>
      <c r="H641" s="2" t="s">
        <v>34</v>
      </c>
      <c r="I641" s="2" t="s">
        <v>46</v>
      </c>
      <c r="J641" s="2" t="s">
        <v>34</v>
      </c>
      <c r="K641" s="2" t="s">
        <v>34</v>
      </c>
      <c r="L641" s="2" t="s">
        <v>34</v>
      </c>
      <c r="M641" s="2" t="s">
        <v>34</v>
      </c>
      <c r="N641" s="2" t="s">
        <v>34</v>
      </c>
      <c r="O641" s="2" t="s">
        <v>34</v>
      </c>
      <c r="P641" s="3">
        <v>44197</v>
      </c>
      <c r="Q641" s="3">
        <v>44561</v>
      </c>
      <c r="R641" s="2" t="s">
        <v>1315</v>
      </c>
      <c r="S641" s="2" t="s">
        <v>70</v>
      </c>
    </row>
    <row r="642" spans="1:19" hidden="1" x14ac:dyDescent="0.25">
      <c r="A642" s="2" t="s">
        <v>1308</v>
      </c>
      <c r="B642" s="2" t="s">
        <v>67</v>
      </c>
      <c r="C642" s="2" t="s">
        <v>34</v>
      </c>
      <c r="D642" s="2" t="s">
        <v>1309</v>
      </c>
      <c r="E642" s="2">
        <v>16</v>
      </c>
      <c r="F642" s="2">
        <v>29.374849999999999</v>
      </c>
      <c r="G642" s="2">
        <v>-83.192800000000005</v>
      </c>
      <c r="H642" s="2" t="s">
        <v>34</v>
      </c>
      <c r="I642" s="2" t="s">
        <v>46</v>
      </c>
      <c r="J642" s="2" t="s">
        <v>34</v>
      </c>
      <c r="K642" s="2" t="s">
        <v>34</v>
      </c>
      <c r="L642" s="2" t="s">
        <v>34</v>
      </c>
      <c r="M642" s="2" t="s">
        <v>34</v>
      </c>
      <c r="N642" s="2" t="s">
        <v>34</v>
      </c>
      <c r="O642" s="2" t="s">
        <v>34</v>
      </c>
      <c r="P642" s="3">
        <v>44197</v>
      </c>
      <c r="Q642" s="3">
        <v>44561</v>
      </c>
      <c r="R642" s="2" t="s">
        <v>1309</v>
      </c>
      <c r="S642" s="2" t="s">
        <v>70</v>
      </c>
    </row>
    <row r="643" spans="1:19" hidden="1" x14ac:dyDescent="0.25">
      <c r="A643" s="2" t="s">
        <v>1310</v>
      </c>
      <c r="B643" s="2" t="s">
        <v>67</v>
      </c>
      <c r="C643" s="2" t="s">
        <v>34</v>
      </c>
      <c r="D643" s="2" t="s">
        <v>1311</v>
      </c>
      <c r="E643" s="2">
        <v>233</v>
      </c>
      <c r="F643" s="2">
        <v>29.377079999999999</v>
      </c>
      <c r="G643" s="2">
        <v>-83.197149999999993</v>
      </c>
      <c r="H643" s="2" t="s">
        <v>34</v>
      </c>
      <c r="I643" s="2" t="s">
        <v>46</v>
      </c>
      <c r="J643" s="2" t="s">
        <v>34</v>
      </c>
      <c r="K643" s="2" t="s">
        <v>34</v>
      </c>
      <c r="L643" s="2" t="s">
        <v>34</v>
      </c>
      <c r="M643" s="2" t="s">
        <v>34</v>
      </c>
      <c r="N643" s="2" t="s">
        <v>34</v>
      </c>
      <c r="O643" s="2" t="s">
        <v>34</v>
      </c>
      <c r="P643" s="3">
        <v>44197</v>
      </c>
      <c r="Q643" s="3">
        <v>44561</v>
      </c>
      <c r="R643" s="2" t="s">
        <v>1311</v>
      </c>
      <c r="S643" s="2" t="s">
        <v>70</v>
      </c>
    </row>
    <row r="644" spans="1:19" hidden="1" x14ac:dyDescent="0.25">
      <c r="A644" s="2" t="s">
        <v>1312</v>
      </c>
      <c r="B644" s="2" t="s">
        <v>67</v>
      </c>
      <c r="C644" s="2" t="s">
        <v>34</v>
      </c>
      <c r="D644" s="2" t="s">
        <v>1313</v>
      </c>
      <c r="E644" s="2">
        <v>246</v>
      </c>
      <c r="F644" s="2">
        <v>29.36552</v>
      </c>
      <c r="G644" s="2">
        <v>-83.202340000000007</v>
      </c>
      <c r="H644" s="2" t="s">
        <v>34</v>
      </c>
      <c r="I644" s="2" t="s">
        <v>46</v>
      </c>
      <c r="J644" s="2" t="s">
        <v>34</v>
      </c>
      <c r="K644" s="2" t="s">
        <v>34</v>
      </c>
      <c r="L644" s="2" t="s">
        <v>34</v>
      </c>
      <c r="M644" s="2" t="s">
        <v>34</v>
      </c>
      <c r="N644" s="2" t="s">
        <v>34</v>
      </c>
      <c r="O644" s="2" t="s">
        <v>34</v>
      </c>
      <c r="P644" s="3">
        <v>44197</v>
      </c>
      <c r="Q644" s="3">
        <v>44561</v>
      </c>
      <c r="R644" s="2" t="s">
        <v>1313</v>
      </c>
      <c r="S644" s="2" t="s">
        <v>70</v>
      </c>
    </row>
    <row r="645" spans="1:19" hidden="1" x14ac:dyDescent="0.25">
      <c r="A645" s="2" t="s">
        <v>1316</v>
      </c>
      <c r="B645" s="2" t="s">
        <v>67</v>
      </c>
      <c r="C645" s="2" t="s">
        <v>77</v>
      </c>
      <c r="D645" s="2" t="s">
        <v>1317</v>
      </c>
      <c r="E645" s="2">
        <v>1840</v>
      </c>
      <c r="F645" s="2">
        <v>29.36131</v>
      </c>
      <c r="G645" s="2">
        <v>-83.184899999999999</v>
      </c>
      <c r="H645" s="2" t="s">
        <v>34</v>
      </c>
      <c r="I645" s="2" t="s">
        <v>46</v>
      </c>
      <c r="J645" s="2" t="s">
        <v>34</v>
      </c>
      <c r="K645" s="2" t="s">
        <v>34</v>
      </c>
      <c r="L645" s="2" t="s">
        <v>34</v>
      </c>
      <c r="M645" s="2" t="s">
        <v>34</v>
      </c>
      <c r="N645" s="2" t="s">
        <v>34</v>
      </c>
      <c r="O645" s="2" t="s">
        <v>34</v>
      </c>
      <c r="P645" s="3">
        <v>44197</v>
      </c>
      <c r="Q645" s="3">
        <v>44561</v>
      </c>
      <c r="R645" s="2" t="s">
        <v>1317</v>
      </c>
      <c r="S645" s="2" t="s">
        <v>70</v>
      </c>
    </row>
    <row r="646" spans="1:19" hidden="1" x14ac:dyDescent="0.25">
      <c r="A646" s="2" t="s">
        <v>1328</v>
      </c>
      <c r="B646" s="2" t="s">
        <v>67</v>
      </c>
      <c r="C646" s="2" t="s">
        <v>34</v>
      </c>
      <c r="D646" s="2" t="s">
        <v>1329</v>
      </c>
      <c r="E646" s="2">
        <v>682</v>
      </c>
      <c r="F646" s="2">
        <v>29.402229999999999</v>
      </c>
      <c r="G646" s="2">
        <v>-83.204149999999998</v>
      </c>
      <c r="H646" s="2" t="s">
        <v>34</v>
      </c>
      <c r="I646" s="2" t="s">
        <v>46</v>
      </c>
      <c r="J646" s="2" t="s">
        <v>34</v>
      </c>
      <c r="K646" s="2" t="s">
        <v>34</v>
      </c>
      <c r="L646" s="2" t="s">
        <v>34</v>
      </c>
      <c r="M646" s="2" t="s">
        <v>34</v>
      </c>
      <c r="N646" s="2" t="s">
        <v>34</v>
      </c>
      <c r="O646" s="2" t="s">
        <v>34</v>
      </c>
      <c r="P646" s="3">
        <v>44197</v>
      </c>
      <c r="Q646" s="3">
        <v>44561</v>
      </c>
      <c r="R646" s="2" t="s">
        <v>1329</v>
      </c>
      <c r="S646" s="2" t="s">
        <v>70</v>
      </c>
    </row>
    <row r="647" spans="1:19" hidden="1" x14ac:dyDescent="0.25">
      <c r="A647" s="2" t="s">
        <v>1326</v>
      </c>
      <c r="B647" s="2" t="s">
        <v>67</v>
      </c>
      <c r="C647" s="2" t="s">
        <v>34</v>
      </c>
      <c r="D647" s="2" t="s">
        <v>1327</v>
      </c>
      <c r="E647" s="2">
        <v>338</v>
      </c>
      <c r="F647" s="2">
        <v>29.404869999999999</v>
      </c>
      <c r="G647" s="2">
        <v>-83.211979999999997</v>
      </c>
      <c r="H647" s="2" t="s">
        <v>34</v>
      </c>
      <c r="I647" s="2" t="s">
        <v>46</v>
      </c>
      <c r="J647" s="2" t="s">
        <v>34</v>
      </c>
      <c r="K647" s="2" t="s">
        <v>34</v>
      </c>
      <c r="L647" s="2" t="s">
        <v>34</v>
      </c>
      <c r="M647" s="2" t="s">
        <v>34</v>
      </c>
      <c r="N647" s="2" t="s">
        <v>34</v>
      </c>
      <c r="O647" s="2" t="s">
        <v>34</v>
      </c>
      <c r="P647" s="3">
        <v>44197</v>
      </c>
      <c r="Q647" s="3">
        <v>44561</v>
      </c>
      <c r="R647" s="2" t="s">
        <v>1327</v>
      </c>
      <c r="S647" s="2" t="s">
        <v>70</v>
      </c>
    </row>
    <row r="648" spans="1:19" hidden="1" x14ac:dyDescent="0.25">
      <c r="A648" s="2" t="s">
        <v>1318</v>
      </c>
      <c r="B648" s="2" t="s">
        <v>67</v>
      </c>
      <c r="C648" s="2" t="s">
        <v>34</v>
      </c>
      <c r="D648" s="2" t="s">
        <v>1319</v>
      </c>
      <c r="E648" s="2">
        <v>39</v>
      </c>
      <c r="F648" s="2">
        <v>29.398060000000001</v>
      </c>
      <c r="G648" s="2">
        <v>-83.2119</v>
      </c>
      <c r="H648" s="2" t="s">
        <v>34</v>
      </c>
      <c r="I648" s="2" t="s">
        <v>46</v>
      </c>
      <c r="J648" s="2" t="s">
        <v>34</v>
      </c>
      <c r="K648" s="2" t="s">
        <v>34</v>
      </c>
      <c r="L648" s="2" t="s">
        <v>34</v>
      </c>
      <c r="M648" s="2" t="s">
        <v>34</v>
      </c>
      <c r="N648" s="2" t="s">
        <v>34</v>
      </c>
      <c r="O648" s="2" t="s">
        <v>34</v>
      </c>
      <c r="P648" s="3">
        <v>44197</v>
      </c>
      <c r="Q648" s="3">
        <v>44561</v>
      </c>
      <c r="R648" s="2" t="s">
        <v>1319</v>
      </c>
      <c r="S648" s="2" t="s">
        <v>70</v>
      </c>
    </row>
    <row r="649" spans="1:19" hidden="1" x14ac:dyDescent="0.25">
      <c r="A649" s="2" t="s">
        <v>1322</v>
      </c>
      <c r="B649" s="2" t="s">
        <v>67</v>
      </c>
      <c r="C649" s="2" t="s">
        <v>34</v>
      </c>
      <c r="D649" s="2" t="s">
        <v>1323</v>
      </c>
      <c r="E649" s="2">
        <v>272</v>
      </c>
      <c r="F649" s="2">
        <v>29.388089999999998</v>
      </c>
      <c r="G649" s="2">
        <v>-83.202749999999995</v>
      </c>
      <c r="H649" s="2" t="s">
        <v>34</v>
      </c>
      <c r="I649" s="2" t="s">
        <v>46</v>
      </c>
      <c r="J649" s="2" t="s">
        <v>34</v>
      </c>
      <c r="K649" s="2" t="s">
        <v>34</v>
      </c>
      <c r="L649" s="2" t="s">
        <v>34</v>
      </c>
      <c r="M649" s="2" t="s">
        <v>34</v>
      </c>
      <c r="N649" s="2" t="s">
        <v>34</v>
      </c>
      <c r="O649" s="2" t="s">
        <v>34</v>
      </c>
      <c r="P649" s="3">
        <v>44197</v>
      </c>
      <c r="Q649" s="3">
        <v>44561</v>
      </c>
      <c r="R649" s="2" t="s">
        <v>1323</v>
      </c>
      <c r="S649" s="2" t="s">
        <v>70</v>
      </c>
    </row>
    <row r="650" spans="1:19" hidden="1" x14ac:dyDescent="0.25">
      <c r="A650" s="2" t="s">
        <v>1320</v>
      </c>
      <c r="B650" s="2" t="s">
        <v>67</v>
      </c>
      <c r="C650" s="2" t="s">
        <v>34</v>
      </c>
      <c r="D650" s="2" t="s">
        <v>1321</v>
      </c>
      <c r="E650" s="2">
        <v>172</v>
      </c>
      <c r="F650" s="2">
        <v>29.384779999999999</v>
      </c>
      <c r="G650" s="2">
        <v>-83.200810000000004</v>
      </c>
      <c r="H650" s="2" t="s">
        <v>34</v>
      </c>
      <c r="I650" s="2" t="s">
        <v>46</v>
      </c>
      <c r="J650" s="2" t="s">
        <v>34</v>
      </c>
      <c r="K650" s="2" t="s">
        <v>34</v>
      </c>
      <c r="L650" s="2" t="s">
        <v>34</v>
      </c>
      <c r="M650" s="2" t="s">
        <v>34</v>
      </c>
      <c r="N650" s="2" t="s">
        <v>34</v>
      </c>
      <c r="O650" s="2" t="s">
        <v>34</v>
      </c>
      <c r="P650" s="3">
        <v>44197</v>
      </c>
      <c r="Q650" s="3">
        <v>44561</v>
      </c>
      <c r="R650" s="2" t="s">
        <v>1321</v>
      </c>
      <c r="S650" s="2" t="s">
        <v>70</v>
      </c>
    </row>
    <row r="651" spans="1:19" hidden="1" x14ac:dyDescent="0.25">
      <c r="A651" s="2" t="s">
        <v>1330</v>
      </c>
      <c r="B651" s="2" t="s">
        <v>67</v>
      </c>
      <c r="C651" s="2" t="s">
        <v>86</v>
      </c>
      <c r="D651" s="2" t="s">
        <v>1331</v>
      </c>
      <c r="E651" s="2">
        <v>2461</v>
      </c>
      <c r="F651" s="2">
        <v>29.173570000000002</v>
      </c>
      <c r="G651" s="2">
        <v>-82.967579999999998</v>
      </c>
      <c r="H651" s="2" t="s">
        <v>34</v>
      </c>
      <c r="I651" s="2" t="s">
        <v>46</v>
      </c>
      <c r="J651" s="2" t="s">
        <v>34</v>
      </c>
      <c r="K651" s="2" t="s">
        <v>34</v>
      </c>
      <c r="L651" s="2" t="s">
        <v>34</v>
      </c>
      <c r="M651" s="2" t="s">
        <v>34</v>
      </c>
      <c r="N651" s="2" t="s">
        <v>34</v>
      </c>
      <c r="O651" s="2" t="s">
        <v>34</v>
      </c>
      <c r="P651" s="3">
        <v>44197</v>
      </c>
      <c r="Q651" s="3">
        <v>44561</v>
      </c>
      <c r="R651" s="2" t="s">
        <v>1331</v>
      </c>
      <c r="S651" s="2" t="s">
        <v>70</v>
      </c>
    </row>
    <row r="652" spans="1:19" hidden="1" x14ac:dyDescent="0.25">
      <c r="A652" s="2" t="s">
        <v>1412</v>
      </c>
      <c r="B652" s="2" t="s">
        <v>67</v>
      </c>
      <c r="C652" s="2" t="s">
        <v>86</v>
      </c>
      <c r="D652" s="2" t="s">
        <v>1413</v>
      </c>
      <c r="E652" s="2">
        <v>2057</v>
      </c>
      <c r="F652" s="2">
        <v>29.159800000000001</v>
      </c>
      <c r="G652" s="2">
        <v>-83.004900000000006</v>
      </c>
      <c r="H652" s="2" t="s">
        <v>34</v>
      </c>
      <c r="I652" s="2" t="s">
        <v>46</v>
      </c>
      <c r="J652" s="2" t="s">
        <v>34</v>
      </c>
      <c r="K652" s="2" t="s">
        <v>34</v>
      </c>
      <c r="L652" s="2" t="s">
        <v>34</v>
      </c>
      <c r="M652" s="2" t="s">
        <v>34</v>
      </c>
      <c r="N652" s="2" t="s">
        <v>34</v>
      </c>
      <c r="O652" s="2" t="s">
        <v>34</v>
      </c>
      <c r="P652" s="3">
        <v>44197</v>
      </c>
      <c r="Q652" s="3">
        <v>44561</v>
      </c>
      <c r="R652" s="2" t="s">
        <v>1413</v>
      </c>
      <c r="S652" s="2" t="s">
        <v>70</v>
      </c>
    </row>
    <row r="653" spans="1:19" hidden="1" x14ac:dyDescent="0.25">
      <c r="A653" s="2" t="s">
        <v>1332</v>
      </c>
      <c r="B653" s="2" t="s">
        <v>67</v>
      </c>
      <c r="C653" s="2" t="s">
        <v>77</v>
      </c>
      <c r="D653" s="2" t="s">
        <v>1333</v>
      </c>
      <c r="E653" s="2">
        <v>815</v>
      </c>
      <c r="F653" s="2">
        <v>29.2271</v>
      </c>
      <c r="G653" s="2">
        <v>-83.083150000000003</v>
      </c>
      <c r="H653" s="2" t="s">
        <v>34</v>
      </c>
      <c r="I653" s="2" t="s">
        <v>46</v>
      </c>
      <c r="J653" s="2" t="s">
        <v>34</v>
      </c>
      <c r="K653" s="2" t="s">
        <v>34</v>
      </c>
      <c r="L653" s="2" t="s">
        <v>34</v>
      </c>
      <c r="M653" s="2" t="s">
        <v>34</v>
      </c>
      <c r="N653" s="2" t="s">
        <v>34</v>
      </c>
      <c r="O653" s="2" t="s">
        <v>34</v>
      </c>
      <c r="P653" s="3">
        <v>44197</v>
      </c>
      <c r="Q653" s="3">
        <v>44561</v>
      </c>
      <c r="R653" s="2" t="s">
        <v>1333</v>
      </c>
      <c r="S653" s="2" t="s">
        <v>70</v>
      </c>
    </row>
    <row r="654" spans="1:19" hidden="1" x14ac:dyDescent="0.25">
      <c r="A654" s="2" t="s">
        <v>1340</v>
      </c>
      <c r="B654" s="2" t="s">
        <v>67</v>
      </c>
      <c r="C654" s="2" t="s">
        <v>77</v>
      </c>
      <c r="D654" s="2" t="s">
        <v>1341</v>
      </c>
      <c r="E654" s="2">
        <v>1939</v>
      </c>
      <c r="F654" s="2">
        <v>29.228249999999999</v>
      </c>
      <c r="G654" s="2">
        <v>-83.075450000000004</v>
      </c>
      <c r="H654" s="2" t="s">
        <v>34</v>
      </c>
      <c r="I654" s="2" t="s">
        <v>46</v>
      </c>
      <c r="J654" s="2" t="s">
        <v>34</v>
      </c>
      <c r="K654" s="2" t="s">
        <v>34</v>
      </c>
      <c r="L654" s="2" t="s">
        <v>34</v>
      </c>
      <c r="M654" s="2" t="s">
        <v>34</v>
      </c>
      <c r="N654" s="2" t="s">
        <v>34</v>
      </c>
      <c r="O654" s="2" t="s">
        <v>34</v>
      </c>
      <c r="P654" s="3">
        <v>44197</v>
      </c>
      <c r="Q654" s="3">
        <v>44561</v>
      </c>
      <c r="R654" s="2" t="s">
        <v>1341</v>
      </c>
      <c r="S654" s="2" t="s">
        <v>70</v>
      </c>
    </row>
    <row r="655" spans="1:19" hidden="1" x14ac:dyDescent="0.25">
      <c r="A655" s="2" t="s">
        <v>1338</v>
      </c>
      <c r="B655" s="2" t="s">
        <v>67</v>
      </c>
      <c r="C655" s="2" t="s">
        <v>77</v>
      </c>
      <c r="D655" s="2" t="s">
        <v>1339</v>
      </c>
      <c r="E655" s="2">
        <v>1933</v>
      </c>
      <c r="F655" s="2">
        <v>29.229700000000001</v>
      </c>
      <c r="G655" s="2">
        <v>-83.078019999999995</v>
      </c>
      <c r="H655" s="2" t="s">
        <v>34</v>
      </c>
      <c r="I655" s="2" t="s">
        <v>46</v>
      </c>
      <c r="J655" s="2" t="s">
        <v>34</v>
      </c>
      <c r="K655" s="2" t="s">
        <v>34</v>
      </c>
      <c r="L655" s="2" t="s">
        <v>34</v>
      </c>
      <c r="M655" s="2" t="s">
        <v>34</v>
      </c>
      <c r="N655" s="2" t="s">
        <v>34</v>
      </c>
      <c r="O655" s="2" t="s">
        <v>34</v>
      </c>
      <c r="P655" s="3">
        <v>44197</v>
      </c>
      <c r="Q655" s="3">
        <v>44561</v>
      </c>
      <c r="R655" s="2" t="s">
        <v>1339</v>
      </c>
      <c r="S655" s="2" t="s">
        <v>70</v>
      </c>
    </row>
    <row r="656" spans="1:19" hidden="1" x14ac:dyDescent="0.25">
      <c r="A656" s="2" t="s">
        <v>1336</v>
      </c>
      <c r="B656" s="2" t="s">
        <v>67</v>
      </c>
      <c r="C656" s="2" t="s">
        <v>77</v>
      </c>
      <c r="D656" s="2" t="s">
        <v>1337</v>
      </c>
      <c r="E656" s="2">
        <v>1534</v>
      </c>
      <c r="F656" s="2">
        <v>29.226600000000001</v>
      </c>
      <c r="G656" s="2">
        <v>-83.073009999999996</v>
      </c>
      <c r="H656" s="2" t="s">
        <v>34</v>
      </c>
      <c r="I656" s="2" t="s">
        <v>46</v>
      </c>
      <c r="J656" s="2" t="s">
        <v>34</v>
      </c>
      <c r="K656" s="2" t="s">
        <v>34</v>
      </c>
      <c r="L656" s="2" t="s">
        <v>34</v>
      </c>
      <c r="M656" s="2" t="s">
        <v>34</v>
      </c>
      <c r="N656" s="2" t="s">
        <v>34</v>
      </c>
      <c r="O656" s="2" t="s">
        <v>34</v>
      </c>
      <c r="P656" s="3">
        <v>44197</v>
      </c>
      <c r="Q656" s="3">
        <v>44561</v>
      </c>
      <c r="R656" s="2" t="s">
        <v>1337</v>
      </c>
      <c r="S656" s="2" t="s">
        <v>70</v>
      </c>
    </row>
    <row r="657" spans="1:19" hidden="1" x14ac:dyDescent="0.25">
      <c r="A657" s="2" t="s">
        <v>1334</v>
      </c>
      <c r="B657" s="2" t="s">
        <v>67</v>
      </c>
      <c r="C657" s="2" t="s">
        <v>77</v>
      </c>
      <c r="D657" s="2" t="s">
        <v>1335</v>
      </c>
      <c r="E657" s="2">
        <v>833</v>
      </c>
      <c r="F657" s="2">
        <v>29.234919999999999</v>
      </c>
      <c r="G657" s="2">
        <v>-83.08</v>
      </c>
      <c r="H657" s="2" t="s">
        <v>34</v>
      </c>
      <c r="I657" s="2" t="s">
        <v>46</v>
      </c>
      <c r="J657" s="2" t="s">
        <v>34</v>
      </c>
      <c r="K657" s="2" t="s">
        <v>34</v>
      </c>
      <c r="L657" s="2" t="s">
        <v>34</v>
      </c>
      <c r="M657" s="2" t="s">
        <v>34</v>
      </c>
      <c r="N657" s="2" t="s">
        <v>34</v>
      </c>
      <c r="O657" s="2" t="s">
        <v>34</v>
      </c>
      <c r="P657" s="3">
        <v>44197</v>
      </c>
      <c r="Q657" s="3">
        <v>44561</v>
      </c>
      <c r="R657" s="2" t="s">
        <v>1335</v>
      </c>
      <c r="S657" s="2" t="s">
        <v>70</v>
      </c>
    </row>
    <row r="658" spans="1:19" hidden="1" x14ac:dyDescent="0.25">
      <c r="A658" s="2" t="s">
        <v>1346</v>
      </c>
      <c r="B658" s="2" t="s">
        <v>67</v>
      </c>
      <c r="C658" s="2" t="s">
        <v>86</v>
      </c>
      <c r="D658" s="2" t="s">
        <v>1347</v>
      </c>
      <c r="E658" s="2">
        <v>2591</v>
      </c>
      <c r="F658" s="2">
        <v>29.221520000000002</v>
      </c>
      <c r="G658" s="2">
        <v>-83.078050000000005</v>
      </c>
      <c r="H658" s="2" t="s">
        <v>34</v>
      </c>
      <c r="I658" s="2" t="s">
        <v>46</v>
      </c>
      <c r="J658" s="2" t="s">
        <v>34</v>
      </c>
      <c r="K658" s="2" t="s">
        <v>34</v>
      </c>
      <c r="L658" s="2" t="s">
        <v>34</v>
      </c>
      <c r="M658" s="2" t="s">
        <v>34</v>
      </c>
      <c r="N658" s="2" t="s">
        <v>34</v>
      </c>
      <c r="O658" s="2" t="s">
        <v>34</v>
      </c>
      <c r="P658" s="3">
        <v>44197</v>
      </c>
      <c r="Q658" s="3">
        <v>44561</v>
      </c>
      <c r="R658" s="2" t="s">
        <v>1347</v>
      </c>
      <c r="S658" s="2" t="s">
        <v>70</v>
      </c>
    </row>
    <row r="659" spans="1:19" hidden="1" x14ac:dyDescent="0.25">
      <c r="A659" s="2" t="s">
        <v>1344</v>
      </c>
      <c r="B659" s="2" t="s">
        <v>67</v>
      </c>
      <c r="C659" s="2" t="s">
        <v>86</v>
      </c>
      <c r="D659" s="2" t="s">
        <v>1345</v>
      </c>
      <c r="E659" s="2">
        <v>2559</v>
      </c>
      <c r="F659" s="2">
        <v>29.221170000000001</v>
      </c>
      <c r="G659" s="2">
        <v>-83.076970000000003</v>
      </c>
      <c r="H659" s="2" t="s">
        <v>34</v>
      </c>
      <c r="I659" s="2" t="s">
        <v>46</v>
      </c>
      <c r="J659" s="2" t="s">
        <v>34</v>
      </c>
      <c r="K659" s="2" t="s">
        <v>34</v>
      </c>
      <c r="L659" s="2" t="s">
        <v>34</v>
      </c>
      <c r="M659" s="2" t="s">
        <v>34</v>
      </c>
      <c r="N659" s="2" t="s">
        <v>34</v>
      </c>
      <c r="O659" s="2" t="s">
        <v>34</v>
      </c>
      <c r="P659" s="3">
        <v>44197</v>
      </c>
      <c r="Q659" s="3">
        <v>44561</v>
      </c>
      <c r="R659" s="2" t="s">
        <v>1345</v>
      </c>
      <c r="S659" s="2" t="s">
        <v>70</v>
      </c>
    </row>
    <row r="660" spans="1:19" hidden="1" x14ac:dyDescent="0.25">
      <c r="A660" s="2" t="s">
        <v>1342</v>
      </c>
      <c r="B660" s="2" t="s">
        <v>67</v>
      </c>
      <c r="C660" s="2" t="s">
        <v>86</v>
      </c>
      <c r="D660" s="2" t="s">
        <v>1343</v>
      </c>
      <c r="E660" s="2">
        <v>2245</v>
      </c>
      <c r="F660" s="2">
        <v>29.224119999999999</v>
      </c>
      <c r="G660" s="2">
        <v>-83.084029999999998</v>
      </c>
      <c r="H660" s="2" t="s">
        <v>34</v>
      </c>
      <c r="I660" s="2" t="s">
        <v>46</v>
      </c>
      <c r="J660" s="2" t="s">
        <v>34</v>
      </c>
      <c r="K660" s="2" t="s">
        <v>34</v>
      </c>
      <c r="L660" s="2" t="s">
        <v>34</v>
      </c>
      <c r="M660" s="2" t="s">
        <v>34</v>
      </c>
      <c r="N660" s="2" t="s">
        <v>34</v>
      </c>
      <c r="O660" s="2" t="s">
        <v>34</v>
      </c>
      <c r="P660" s="3">
        <v>44197</v>
      </c>
      <c r="Q660" s="3">
        <v>44561</v>
      </c>
      <c r="R660" s="2" t="s">
        <v>1343</v>
      </c>
      <c r="S660" s="2" t="s">
        <v>70</v>
      </c>
    </row>
    <row r="661" spans="1:19" hidden="1" x14ac:dyDescent="0.25">
      <c r="A661" s="2" t="s">
        <v>1348</v>
      </c>
      <c r="B661" s="2" t="s">
        <v>67</v>
      </c>
      <c r="C661" s="2" t="s">
        <v>34</v>
      </c>
      <c r="D661" s="2" t="s">
        <v>1349</v>
      </c>
      <c r="E661" s="2">
        <v>86</v>
      </c>
      <c r="F661" s="2">
        <v>29.423909999999999</v>
      </c>
      <c r="G661" s="2">
        <v>-83.226150000000004</v>
      </c>
      <c r="H661" s="2" t="s">
        <v>34</v>
      </c>
      <c r="I661" s="2" t="s">
        <v>46</v>
      </c>
      <c r="J661" s="2" t="s">
        <v>34</v>
      </c>
      <c r="K661" s="2" t="s">
        <v>34</v>
      </c>
      <c r="L661" s="2" t="s">
        <v>34</v>
      </c>
      <c r="M661" s="2" t="s">
        <v>34</v>
      </c>
      <c r="N661" s="2" t="s">
        <v>34</v>
      </c>
      <c r="O661" s="2" t="s">
        <v>34</v>
      </c>
      <c r="P661" s="3">
        <v>44197</v>
      </c>
      <c r="Q661" s="3">
        <v>44561</v>
      </c>
      <c r="R661" s="2" t="s">
        <v>1349</v>
      </c>
      <c r="S661" s="2" t="s">
        <v>70</v>
      </c>
    </row>
    <row r="662" spans="1:19" hidden="1" x14ac:dyDescent="0.25">
      <c r="A662" s="2" t="s">
        <v>1352</v>
      </c>
      <c r="B662" s="2" t="s">
        <v>67</v>
      </c>
      <c r="C662" s="2" t="s">
        <v>34</v>
      </c>
      <c r="D662" s="2" t="s">
        <v>1353</v>
      </c>
      <c r="E662" s="2">
        <v>689</v>
      </c>
      <c r="F662" s="2">
        <v>29.410450000000001</v>
      </c>
      <c r="G662" s="2">
        <v>-83.211470000000006</v>
      </c>
      <c r="H662" s="2" t="s">
        <v>34</v>
      </c>
      <c r="I662" s="2" t="s">
        <v>46</v>
      </c>
      <c r="J662" s="2" t="s">
        <v>34</v>
      </c>
      <c r="K662" s="2" t="s">
        <v>34</v>
      </c>
      <c r="L662" s="2" t="s">
        <v>34</v>
      </c>
      <c r="M662" s="2" t="s">
        <v>34</v>
      </c>
      <c r="N662" s="2" t="s">
        <v>34</v>
      </c>
      <c r="O662" s="2" t="s">
        <v>34</v>
      </c>
      <c r="P662" s="3">
        <v>44197</v>
      </c>
      <c r="Q662" s="3">
        <v>44561</v>
      </c>
      <c r="R662" s="2" t="s">
        <v>1353</v>
      </c>
      <c r="S662" s="2" t="s">
        <v>70</v>
      </c>
    </row>
    <row r="663" spans="1:19" hidden="1" x14ac:dyDescent="0.25">
      <c r="A663" s="2" t="s">
        <v>1350</v>
      </c>
      <c r="B663" s="2" t="s">
        <v>67</v>
      </c>
      <c r="C663" s="2" t="s">
        <v>34</v>
      </c>
      <c r="D663" s="2" t="s">
        <v>1351</v>
      </c>
      <c r="E663" s="2">
        <v>679</v>
      </c>
      <c r="F663" s="2">
        <v>29.40025</v>
      </c>
      <c r="G663" s="2">
        <v>-83.208079999999995</v>
      </c>
      <c r="H663" s="2" t="s">
        <v>34</v>
      </c>
      <c r="I663" s="2" t="s">
        <v>46</v>
      </c>
      <c r="J663" s="2" t="s">
        <v>34</v>
      </c>
      <c r="K663" s="2" t="s">
        <v>34</v>
      </c>
      <c r="L663" s="2" t="s">
        <v>34</v>
      </c>
      <c r="M663" s="2" t="s">
        <v>34</v>
      </c>
      <c r="N663" s="2" t="s">
        <v>34</v>
      </c>
      <c r="O663" s="2" t="s">
        <v>34</v>
      </c>
      <c r="P663" s="3">
        <v>44197</v>
      </c>
      <c r="Q663" s="3">
        <v>44561</v>
      </c>
      <c r="R663" s="2" t="s">
        <v>1351</v>
      </c>
      <c r="S663" s="2" t="s">
        <v>70</v>
      </c>
    </row>
    <row r="664" spans="1:19" hidden="1" x14ac:dyDescent="0.25">
      <c r="A664" s="2" t="s">
        <v>1362</v>
      </c>
      <c r="B664" s="2" t="s">
        <v>67</v>
      </c>
      <c r="C664" s="2" t="s">
        <v>34</v>
      </c>
      <c r="D664" s="2" t="s">
        <v>1363</v>
      </c>
      <c r="E664" s="2">
        <v>3333</v>
      </c>
      <c r="F664" s="2">
        <v>29.401710000000001</v>
      </c>
      <c r="G664" s="2">
        <v>-83.212199999999996</v>
      </c>
      <c r="H664" s="2" t="s">
        <v>34</v>
      </c>
      <c r="I664" s="2" t="s">
        <v>46</v>
      </c>
      <c r="J664" s="2" t="s">
        <v>34</v>
      </c>
      <c r="K664" s="2" t="s">
        <v>34</v>
      </c>
      <c r="L664" s="2" t="s">
        <v>34</v>
      </c>
      <c r="M664" s="2" t="s">
        <v>34</v>
      </c>
      <c r="N664" s="2" t="s">
        <v>34</v>
      </c>
      <c r="O664" s="2" t="s">
        <v>34</v>
      </c>
      <c r="P664" s="3">
        <v>44197</v>
      </c>
      <c r="Q664" s="3">
        <v>44561</v>
      </c>
      <c r="R664" s="2" t="s">
        <v>1363</v>
      </c>
      <c r="S664" s="2" t="s">
        <v>70</v>
      </c>
    </row>
    <row r="665" spans="1:19" hidden="1" x14ac:dyDescent="0.25">
      <c r="A665" s="2" t="s">
        <v>1360</v>
      </c>
      <c r="B665" s="2" t="s">
        <v>67</v>
      </c>
      <c r="C665" s="2" t="s">
        <v>34</v>
      </c>
      <c r="D665" s="2" t="s">
        <v>1361</v>
      </c>
      <c r="E665" s="2">
        <v>362</v>
      </c>
      <c r="F665" s="2">
        <v>29.426020000000001</v>
      </c>
      <c r="G665" s="2">
        <v>-83.222200000000001</v>
      </c>
      <c r="H665" s="2" t="s">
        <v>34</v>
      </c>
      <c r="I665" s="2" t="s">
        <v>46</v>
      </c>
      <c r="J665" s="2" t="s">
        <v>34</v>
      </c>
      <c r="K665" s="2" t="s">
        <v>34</v>
      </c>
      <c r="L665" s="2" t="s">
        <v>34</v>
      </c>
      <c r="M665" s="2" t="s">
        <v>34</v>
      </c>
      <c r="N665" s="2" t="s">
        <v>34</v>
      </c>
      <c r="O665" s="2" t="s">
        <v>34</v>
      </c>
      <c r="P665" s="3">
        <v>44197</v>
      </c>
      <c r="Q665" s="3">
        <v>44561</v>
      </c>
      <c r="R665" s="2" t="s">
        <v>1361</v>
      </c>
      <c r="S665" s="2" t="s">
        <v>70</v>
      </c>
    </row>
    <row r="666" spans="1:19" hidden="1" x14ac:dyDescent="0.25">
      <c r="A666" s="2" t="s">
        <v>1354</v>
      </c>
      <c r="B666" s="2" t="s">
        <v>67</v>
      </c>
      <c r="C666" s="2" t="s">
        <v>34</v>
      </c>
      <c r="D666" s="2" t="s">
        <v>1355</v>
      </c>
      <c r="E666" s="2">
        <v>122</v>
      </c>
      <c r="F666" s="2">
        <v>29.427569999999999</v>
      </c>
      <c r="G666" s="2">
        <v>-83.236099999999993</v>
      </c>
      <c r="H666" s="2" t="s">
        <v>34</v>
      </c>
      <c r="I666" s="2" t="s">
        <v>46</v>
      </c>
      <c r="J666" s="2" t="s">
        <v>34</v>
      </c>
      <c r="K666" s="2" t="s">
        <v>34</v>
      </c>
      <c r="L666" s="2" t="s">
        <v>34</v>
      </c>
      <c r="M666" s="2" t="s">
        <v>34</v>
      </c>
      <c r="N666" s="2" t="s">
        <v>34</v>
      </c>
      <c r="O666" s="2" t="s">
        <v>34</v>
      </c>
      <c r="P666" s="3">
        <v>44197</v>
      </c>
      <c r="Q666" s="3">
        <v>44561</v>
      </c>
      <c r="R666" s="2" t="s">
        <v>1355</v>
      </c>
      <c r="S666" s="2" t="s">
        <v>70</v>
      </c>
    </row>
    <row r="667" spans="1:19" hidden="1" x14ac:dyDescent="0.25">
      <c r="A667" s="2" t="s">
        <v>1356</v>
      </c>
      <c r="B667" s="2" t="s">
        <v>67</v>
      </c>
      <c r="C667" s="2" t="s">
        <v>34</v>
      </c>
      <c r="D667" s="2" t="s">
        <v>1357</v>
      </c>
      <c r="E667" s="2">
        <v>127</v>
      </c>
      <c r="F667" s="2">
        <v>29.42193</v>
      </c>
      <c r="G667" s="2">
        <v>-83.239260000000002</v>
      </c>
      <c r="H667" s="2" t="s">
        <v>34</v>
      </c>
      <c r="I667" s="2" t="s">
        <v>46</v>
      </c>
      <c r="J667" s="2" t="s">
        <v>34</v>
      </c>
      <c r="K667" s="2" t="s">
        <v>34</v>
      </c>
      <c r="L667" s="2" t="s">
        <v>34</v>
      </c>
      <c r="M667" s="2" t="s">
        <v>34</v>
      </c>
      <c r="N667" s="2" t="s">
        <v>34</v>
      </c>
      <c r="O667" s="2" t="s">
        <v>34</v>
      </c>
      <c r="P667" s="3">
        <v>44197</v>
      </c>
      <c r="Q667" s="3">
        <v>44561</v>
      </c>
      <c r="R667" s="2" t="s">
        <v>1357</v>
      </c>
      <c r="S667" s="2" t="s">
        <v>70</v>
      </c>
    </row>
    <row r="668" spans="1:19" hidden="1" x14ac:dyDescent="0.25">
      <c r="A668" s="2" t="s">
        <v>1358</v>
      </c>
      <c r="B668" s="2" t="s">
        <v>67</v>
      </c>
      <c r="C668" s="2" t="s">
        <v>34</v>
      </c>
      <c r="D668" s="2" t="s">
        <v>1359</v>
      </c>
      <c r="E668" s="2">
        <v>160</v>
      </c>
      <c r="F668" s="2">
        <v>29.4329</v>
      </c>
      <c r="G668" s="2">
        <v>-83.246510000000001</v>
      </c>
      <c r="H668" s="2" t="s">
        <v>34</v>
      </c>
      <c r="I668" s="2" t="s">
        <v>46</v>
      </c>
      <c r="J668" s="2" t="s">
        <v>34</v>
      </c>
      <c r="K668" s="2" t="s">
        <v>34</v>
      </c>
      <c r="L668" s="2" t="s">
        <v>34</v>
      </c>
      <c r="M668" s="2" t="s">
        <v>34</v>
      </c>
      <c r="N668" s="2" t="s">
        <v>34</v>
      </c>
      <c r="O668" s="2" t="s">
        <v>34</v>
      </c>
      <c r="P668" s="3">
        <v>44197</v>
      </c>
      <c r="Q668" s="3">
        <v>44561</v>
      </c>
      <c r="R668" s="2" t="s">
        <v>1359</v>
      </c>
      <c r="S668" s="2" t="s">
        <v>70</v>
      </c>
    </row>
    <row r="669" spans="1:19" hidden="1" x14ac:dyDescent="0.25">
      <c r="A669" s="2" t="s">
        <v>1374</v>
      </c>
      <c r="B669" s="2" t="s">
        <v>67</v>
      </c>
      <c r="C669" s="2" t="s">
        <v>86</v>
      </c>
      <c r="D669" s="2" t="s">
        <v>1375</v>
      </c>
      <c r="E669" s="2">
        <v>2310</v>
      </c>
      <c r="F669" s="2">
        <v>29.221530000000001</v>
      </c>
      <c r="G669" s="2">
        <v>-83.080100000000002</v>
      </c>
      <c r="H669" s="2" t="s">
        <v>34</v>
      </c>
      <c r="I669" s="2" t="s">
        <v>46</v>
      </c>
      <c r="J669" s="2" t="s">
        <v>34</v>
      </c>
      <c r="K669" s="2" t="s">
        <v>34</v>
      </c>
      <c r="L669" s="2" t="s">
        <v>34</v>
      </c>
      <c r="M669" s="2" t="s">
        <v>34</v>
      </c>
      <c r="N669" s="2" t="s">
        <v>34</v>
      </c>
      <c r="O669" s="2" t="s">
        <v>34</v>
      </c>
      <c r="P669" s="3">
        <v>44197</v>
      </c>
      <c r="Q669" s="3">
        <v>44561</v>
      </c>
      <c r="R669" s="2" t="s">
        <v>1375</v>
      </c>
      <c r="S669" s="2" t="s">
        <v>70</v>
      </c>
    </row>
    <row r="670" spans="1:19" hidden="1" x14ac:dyDescent="0.25">
      <c r="A670" s="2" t="s">
        <v>1372</v>
      </c>
      <c r="B670" s="2" t="s">
        <v>67</v>
      </c>
      <c r="C670" s="2" t="s">
        <v>86</v>
      </c>
      <c r="D670" s="2" t="s">
        <v>1373</v>
      </c>
      <c r="E670" s="2">
        <v>2195</v>
      </c>
      <c r="F670" s="2">
        <v>29.209019999999999</v>
      </c>
      <c r="G670" s="2">
        <v>-83.080780000000004</v>
      </c>
      <c r="H670" s="2" t="s">
        <v>34</v>
      </c>
      <c r="I670" s="2" t="s">
        <v>46</v>
      </c>
      <c r="J670" s="2" t="s">
        <v>34</v>
      </c>
      <c r="K670" s="2" t="s">
        <v>34</v>
      </c>
      <c r="L670" s="2" t="s">
        <v>34</v>
      </c>
      <c r="M670" s="2" t="s">
        <v>34</v>
      </c>
      <c r="N670" s="2" t="s">
        <v>34</v>
      </c>
      <c r="O670" s="2" t="s">
        <v>34</v>
      </c>
      <c r="P670" s="3">
        <v>44197</v>
      </c>
      <c r="Q670" s="3">
        <v>44561</v>
      </c>
      <c r="R670" s="2" t="s">
        <v>1373</v>
      </c>
      <c r="S670" s="2" t="s">
        <v>70</v>
      </c>
    </row>
    <row r="671" spans="1:19" hidden="1" x14ac:dyDescent="0.25">
      <c r="A671" s="2" t="s">
        <v>1370</v>
      </c>
      <c r="B671" s="2" t="s">
        <v>67</v>
      </c>
      <c r="C671" s="2" t="s">
        <v>86</v>
      </c>
      <c r="D671" s="2" t="s">
        <v>1371</v>
      </c>
      <c r="E671" s="2">
        <v>2017</v>
      </c>
      <c r="F671" s="2">
        <v>29.209099999999999</v>
      </c>
      <c r="G671" s="2">
        <v>-83.083039999999997</v>
      </c>
      <c r="H671" s="2" t="s">
        <v>34</v>
      </c>
      <c r="I671" s="2" t="s">
        <v>46</v>
      </c>
      <c r="J671" s="2" t="s">
        <v>34</v>
      </c>
      <c r="K671" s="2" t="s">
        <v>34</v>
      </c>
      <c r="L671" s="2" t="s">
        <v>34</v>
      </c>
      <c r="M671" s="2" t="s">
        <v>34</v>
      </c>
      <c r="N671" s="2" t="s">
        <v>34</v>
      </c>
      <c r="O671" s="2" t="s">
        <v>34</v>
      </c>
      <c r="P671" s="3">
        <v>44197</v>
      </c>
      <c r="Q671" s="3">
        <v>44561</v>
      </c>
      <c r="R671" s="2" t="s">
        <v>1371</v>
      </c>
      <c r="S671" s="2" t="s">
        <v>70</v>
      </c>
    </row>
    <row r="672" spans="1:19" hidden="1" x14ac:dyDescent="0.25">
      <c r="A672" s="2" t="s">
        <v>1368</v>
      </c>
      <c r="B672" s="2" t="s">
        <v>67</v>
      </c>
      <c r="C672" s="2" t="s">
        <v>86</v>
      </c>
      <c r="D672" s="2" t="s">
        <v>1369</v>
      </c>
      <c r="E672" s="2">
        <v>2006</v>
      </c>
      <c r="F672" s="2">
        <v>29.195350000000001</v>
      </c>
      <c r="G672" s="2">
        <v>-83.083699999999993</v>
      </c>
      <c r="H672" s="2" t="s">
        <v>34</v>
      </c>
      <c r="I672" s="2" t="s">
        <v>46</v>
      </c>
      <c r="J672" s="2" t="s">
        <v>34</v>
      </c>
      <c r="K672" s="2" t="s">
        <v>34</v>
      </c>
      <c r="L672" s="2" t="s">
        <v>34</v>
      </c>
      <c r="M672" s="2" t="s">
        <v>34</v>
      </c>
      <c r="N672" s="2" t="s">
        <v>34</v>
      </c>
      <c r="O672" s="2" t="s">
        <v>34</v>
      </c>
      <c r="P672" s="3">
        <v>44197</v>
      </c>
      <c r="Q672" s="3">
        <v>44561</v>
      </c>
      <c r="R672" s="2" t="s">
        <v>1369</v>
      </c>
      <c r="S672" s="2" t="s">
        <v>70</v>
      </c>
    </row>
    <row r="673" spans="1:19" hidden="1" x14ac:dyDescent="0.25">
      <c r="A673" s="2" t="s">
        <v>1364</v>
      </c>
      <c r="B673" s="2" t="s">
        <v>67</v>
      </c>
      <c r="C673" s="2" t="s">
        <v>86</v>
      </c>
      <c r="D673" s="2" t="s">
        <v>1365</v>
      </c>
      <c r="E673" s="2">
        <v>1983</v>
      </c>
      <c r="F673" s="2">
        <v>29.21416</v>
      </c>
      <c r="G673" s="2">
        <v>-83.124399999999994</v>
      </c>
      <c r="H673" s="2" t="s">
        <v>34</v>
      </c>
      <c r="I673" s="2" t="s">
        <v>46</v>
      </c>
      <c r="J673" s="2" t="s">
        <v>34</v>
      </c>
      <c r="K673" s="2" t="s">
        <v>34</v>
      </c>
      <c r="L673" s="2" t="s">
        <v>34</v>
      </c>
      <c r="M673" s="2" t="s">
        <v>34</v>
      </c>
      <c r="N673" s="2" t="s">
        <v>34</v>
      </c>
      <c r="O673" s="2" t="s">
        <v>34</v>
      </c>
      <c r="P673" s="3">
        <v>44197</v>
      </c>
      <c r="Q673" s="3">
        <v>44561</v>
      </c>
      <c r="R673" s="2" t="s">
        <v>1365</v>
      </c>
      <c r="S673" s="2" t="s">
        <v>70</v>
      </c>
    </row>
    <row r="674" spans="1:19" hidden="1" x14ac:dyDescent="0.25">
      <c r="A674" s="2" t="s">
        <v>1366</v>
      </c>
      <c r="B674" s="2" t="s">
        <v>67</v>
      </c>
      <c r="C674" s="2" t="s">
        <v>86</v>
      </c>
      <c r="D674" s="2" t="s">
        <v>1367</v>
      </c>
      <c r="E674" s="2">
        <v>1990</v>
      </c>
      <c r="F674" s="2">
        <v>29.22587</v>
      </c>
      <c r="G674" s="2">
        <v>-83.134180000000001</v>
      </c>
      <c r="H674" s="2" t="s">
        <v>34</v>
      </c>
      <c r="I674" s="2" t="s">
        <v>46</v>
      </c>
      <c r="J674" s="2" t="s">
        <v>34</v>
      </c>
      <c r="K674" s="2" t="s">
        <v>34</v>
      </c>
      <c r="L674" s="2" t="s">
        <v>34</v>
      </c>
      <c r="M674" s="2" t="s">
        <v>34</v>
      </c>
      <c r="N674" s="2" t="s">
        <v>34</v>
      </c>
      <c r="O674" s="2" t="s">
        <v>34</v>
      </c>
      <c r="P674" s="3">
        <v>44197</v>
      </c>
      <c r="Q674" s="3">
        <v>44561</v>
      </c>
      <c r="R674" s="2" t="s">
        <v>1367</v>
      </c>
      <c r="S674" s="2" t="s">
        <v>70</v>
      </c>
    </row>
    <row r="675" spans="1:19" hidden="1" x14ac:dyDescent="0.25">
      <c r="A675" s="2" t="s">
        <v>1388</v>
      </c>
      <c r="B675" s="2" t="s">
        <v>67</v>
      </c>
      <c r="C675" s="2" t="s">
        <v>34</v>
      </c>
      <c r="D675" s="2" t="s">
        <v>1389</v>
      </c>
      <c r="E675" s="2">
        <v>438</v>
      </c>
      <c r="F675" s="2">
        <v>29.44051</v>
      </c>
      <c r="G675" s="2">
        <v>-83.264099999999999</v>
      </c>
      <c r="H675" s="2" t="s">
        <v>34</v>
      </c>
      <c r="I675" s="2" t="s">
        <v>46</v>
      </c>
      <c r="J675" s="2" t="s">
        <v>34</v>
      </c>
      <c r="K675" s="2" t="s">
        <v>34</v>
      </c>
      <c r="L675" s="2" t="s">
        <v>34</v>
      </c>
      <c r="M675" s="2" t="s">
        <v>34</v>
      </c>
      <c r="N675" s="2" t="s">
        <v>34</v>
      </c>
      <c r="O675" s="2" t="s">
        <v>34</v>
      </c>
      <c r="P675" s="3">
        <v>44197</v>
      </c>
      <c r="Q675" s="3">
        <v>44561</v>
      </c>
      <c r="R675" s="2" t="s">
        <v>1389</v>
      </c>
      <c r="S675" s="2" t="s">
        <v>70</v>
      </c>
    </row>
    <row r="676" spans="1:19" hidden="1" x14ac:dyDescent="0.25">
      <c r="A676" s="2" t="s">
        <v>1386</v>
      </c>
      <c r="B676" s="2" t="s">
        <v>67</v>
      </c>
      <c r="C676" s="2" t="s">
        <v>34</v>
      </c>
      <c r="D676" s="2" t="s">
        <v>1387</v>
      </c>
      <c r="E676" s="2">
        <v>399</v>
      </c>
      <c r="F676" s="2">
        <v>29.43355</v>
      </c>
      <c r="G676" s="2">
        <v>-83.262100000000004</v>
      </c>
      <c r="H676" s="2" t="s">
        <v>34</v>
      </c>
      <c r="I676" s="2" t="s">
        <v>46</v>
      </c>
      <c r="J676" s="2" t="s">
        <v>34</v>
      </c>
      <c r="K676" s="2" t="s">
        <v>34</v>
      </c>
      <c r="L676" s="2" t="s">
        <v>34</v>
      </c>
      <c r="M676" s="2" t="s">
        <v>34</v>
      </c>
      <c r="N676" s="2" t="s">
        <v>34</v>
      </c>
      <c r="O676" s="2" t="s">
        <v>34</v>
      </c>
      <c r="P676" s="3">
        <v>44197</v>
      </c>
      <c r="Q676" s="3">
        <v>44561</v>
      </c>
      <c r="R676" s="2" t="s">
        <v>1387</v>
      </c>
      <c r="S676" s="2" t="s">
        <v>70</v>
      </c>
    </row>
    <row r="677" spans="1:19" hidden="1" x14ac:dyDescent="0.25">
      <c r="A677" s="2" t="s">
        <v>1390</v>
      </c>
      <c r="B677" s="2" t="s">
        <v>67</v>
      </c>
      <c r="C677" s="2" t="s">
        <v>34</v>
      </c>
      <c r="D677" s="2" t="s">
        <v>1391</v>
      </c>
      <c r="E677" s="2">
        <v>474</v>
      </c>
      <c r="F677" s="2">
        <v>29.430700000000002</v>
      </c>
      <c r="G677" s="2">
        <v>-83.265969999999996</v>
      </c>
      <c r="H677" s="2" t="s">
        <v>34</v>
      </c>
      <c r="I677" s="2" t="s">
        <v>46</v>
      </c>
      <c r="J677" s="2" t="s">
        <v>34</v>
      </c>
      <c r="K677" s="2" t="s">
        <v>34</v>
      </c>
      <c r="L677" s="2" t="s">
        <v>34</v>
      </c>
      <c r="M677" s="2" t="s">
        <v>34</v>
      </c>
      <c r="N677" s="2" t="s">
        <v>34</v>
      </c>
      <c r="O677" s="2" t="s">
        <v>34</v>
      </c>
      <c r="P677" s="3">
        <v>44197</v>
      </c>
      <c r="Q677" s="3">
        <v>44561</v>
      </c>
      <c r="R677" s="2" t="s">
        <v>1391</v>
      </c>
      <c r="S677" s="2" t="s">
        <v>70</v>
      </c>
    </row>
    <row r="678" spans="1:19" hidden="1" x14ac:dyDescent="0.25">
      <c r="A678" s="2" t="s">
        <v>1384</v>
      </c>
      <c r="B678" s="2" t="s">
        <v>67</v>
      </c>
      <c r="C678" s="2" t="s">
        <v>34</v>
      </c>
      <c r="D678" s="2" t="s">
        <v>1385</v>
      </c>
      <c r="E678" s="2">
        <v>190</v>
      </c>
      <c r="F678" s="2">
        <v>29.42887</v>
      </c>
      <c r="G678" s="2">
        <v>-83.259169999999997</v>
      </c>
      <c r="H678" s="2" t="s">
        <v>34</v>
      </c>
      <c r="I678" s="2" t="s">
        <v>46</v>
      </c>
      <c r="J678" s="2" t="s">
        <v>34</v>
      </c>
      <c r="K678" s="2" t="s">
        <v>34</v>
      </c>
      <c r="L678" s="2" t="s">
        <v>34</v>
      </c>
      <c r="M678" s="2" t="s">
        <v>34</v>
      </c>
      <c r="N678" s="2" t="s">
        <v>34</v>
      </c>
      <c r="O678" s="2" t="s">
        <v>34</v>
      </c>
      <c r="P678" s="3">
        <v>44197</v>
      </c>
      <c r="Q678" s="3">
        <v>44561</v>
      </c>
      <c r="R678" s="2" t="s">
        <v>1385</v>
      </c>
      <c r="S678" s="2" t="s">
        <v>70</v>
      </c>
    </row>
    <row r="679" spans="1:19" hidden="1" x14ac:dyDescent="0.25">
      <c r="A679" s="2" t="s">
        <v>1380</v>
      </c>
      <c r="B679" s="2" t="s">
        <v>67</v>
      </c>
      <c r="C679" s="2" t="s">
        <v>34</v>
      </c>
      <c r="D679" s="2" t="s">
        <v>1381</v>
      </c>
      <c r="E679" s="2">
        <v>114</v>
      </c>
      <c r="F679" s="2">
        <v>29.426780000000001</v>
      </c>
      <c r="G679" s="2">
        <v>-83.253079999999997</v>
      </c>
      <c r="H679" s="2" t="s">
        <v>34</v>
      </c>
      <c r="I679" s="2" t="s">
        <v>46</v>
      </c>
      <c r="J679" s="2" t="s">
        <v>34</v>
      </c>
      <c r="K679" s="2" t="s">
        <v>34</v>
      </c>
      <c r="L679" s="2" t="s">
        <v>34</v>
      </c>
      <c r="M679" s="2" t="s">
        <v>34</v>
      </c>
      <c r="N679" s="2" t="s">
        <v>34</v>
      </c>
      <c r="O679" s="2" t="s">
        <v>34</v>
      </c>
      <c r="P679" s="3">
        <v>44197</v>
      </c>
      <c r="Q679" s="3">
        <v>44561</v>
      </c>
      <c r="R679" s="2" t="s">
        <v>1381</v>
      </c>
      <c r="S679" s="2" t="s">
        <v>70</v>
      </c>
    </row>
    <row r="680" spans="1:19" hidden="1" x14ac:dyDescent="0.25">
      <c r="A680" s="2" t="s">
        <v>1378</v>
      </c>
      <c r="B680" s="2" t="s">
        <v>67</v>
      </c>
      <c r="C680" s="2" t="s">
        <v>34</v>
      </c>
      <c r="D680" s="2" t="s">
        <v>1379</v>
      </c>
      <c r="E680" s="2">
        <v>59</v>
      </c>
      <c r="F680" s="2">
        <v>29.415710000000001</v>
      </c>
      <c r="G680" s="2">
        <v>-83.237039999999993</v>
      </c>
      <c r="H680" s="2" t="s">
        <v>34</v>
      </c>
      <c r="I680" s="2" t="s">
        <v>46</v>
      </c>
      <c r="J680" s="2" t="s">
        <v>34</v>
      </c>
      <c r="K680" s="2" t="s">
        <v>34</v>
      </c>
      <c r="L680" s="2" t="s">
        <v>34</v>
      </c>
      <c r="M680" s="2" t="s">
        <v>34</v>
      </c>
      <c r="N680" s="2" t="s">
        <v>34</v>
      </c>
      <c r="O680" s="2" t="s">
        <v>34</v>
      </c>
      <c r="P680" s="3">
        <v>44197</v>
      </c>
      <c r="Q680" s="3">
        <v>44561</v>
      </c>
      <c r="R680" s="2" t="s">
        <v>1379</v>
      </c>
      <c r="S680" s="2" t="s">
        <v>70</v>
      </c>
    </row>
    <row r="681" spans="1:19" hidden="1" x14ac:dyDescent="0.25">
      <c r="A681" s="2" t="s">
        <v>1376</v>
      </c>
      <c r="B681" s="2" t="s">
        <v>67</v>
      </c>
      <c r="C681" s="2" t="s">
        <v>34</v>
      </c>
      <c r="D681" s="2" t="s">
        <v>1377</v>
      </c>
      <c r="E681" s="2">
        <v>52</v>
      </c>
      <c r="F681" s="2">
        <v>29.406939999999999</v>
      </c>
      <c r="G681" s="2">
        <v>-83.248599999999996</v>
      </c>
      <c r="H681" s="2" t="s">
        <v>34</v>
      </c>
      <c r="I681" s="2" t="s">
        <v>46</v>
      </c>
      <c r="J681" s="2" t="s">
        <v>34</v>
      </c>
      <c r="K681" s="2" t="s">
        <v>34</v>
      </c>
      <c r="L681" s="2" t="s">
        <v>34</v>
      </c>
      <c r="M681" s="2" t="s">
        <v>34</v>
      </c>
      <c r="N681" s="2" t="s">
        <v>34</v>
      </c>
      <c r="O681" s="2" t="s">
        <v>34</v>
      </c>
      <c r="P681" s="3">
        <v>44197</v>
      </c>
      <c r="Q681" s="3">
        <v>44561</v>
      </c>
      <c r="R681" s="2" t="s">
        <v>1377</v>
      </c>
      <c r="S681" s="2" t="s">
        <v>70</v>
      </c>
    </row>
    <row r="682" spans="1:19" hidden="1" x14ac:dyDescent="0.25">
      <c r="A682" s="2" t="s">
        <v>1382</v>
      </c>
      <c r="B682" s="2" t="s">
        <v>67</v>
      </c>
      <c r="C682" s="2" t="s">
        <v>34</v>
      </c>
      <c r="D682" s="2" t="s">
        <v>1383</v>
      </c>
      <c r="E682" s="2">
        <v>118</v>
      </c>
      <c r="F682" s="2">
        <v>29.427295999999998</v>
      </c>
      <c r="G682" s="2">
        <v>-83.254811000000004</v>
      </c>
      <c r="H682" s="2" t="s">
        <v>34</v>
      </c>
      <c r="I682" s="2" t="s">
        <v>46</v>
      </c>
      <c r="J682" s="2" t="s">
        <v>34</v>
      </c>
      <c r="K682" s="2" t="s">
        <v>34</v>
      </c>
      <c r="L682" s="2" t="s">
        <v>34</v>
      </c>
      <c r="M682" s="2" t="s">
        <v>34</v>
      </c>
      <c r="N682" s="2" t="s">
        <v>34</v>
      </c>
      <c r="O682" s="2" t="s">
        <v>34</v>
      </c>
      <c r="P682" s="3">
        <v>44197</v>
      </c>
      <c r="Q682" s="3">
        <v>44561</v>
      </c>
      <c r="R682" s="2" t="s">
        <v>1383</v>
      </c>
      <c r="S682" s="2" t="s">
        <v>70</v>
      </c>
    </row>
    <row r="683" spans="1:19" hidden="1" x14ac:dyDescent="0.25">
      <c r="A683" s="2" t="s">
        <v>1392</v>
      </c>
      <c r="B683" s="2" t="s">
        <v>67</v>
      </c>
      <c r="C683" s="2" t="s">
        <v>34</v>
      </c>
      <c r="D683" s="2" t="s">
        <v>1393</v>
      </c>
      <c r="E683" s="2">
        <v>68</v>
      </c>
      <c r="F683" s="2">
        <v>29.418990000000001</v>
      </c>
      <c r="G683" s="2">
        <v>-83.247730000000004</v>
      </c>
      <c r="H683" s="2" t="s">
        <v>34</v>
      </c>
      <c r="I683" s="2" t="s">
        <v>46</v>
      </c>
      <c r="J683" s="2" t="s">
        <v>34</v>
      </c>
      <c r="K683" s="2" t="s">
        <v>34</v>
      </c>
      <c r="L683" s="2" t="s">
        <v>34</v>
      </c>
      <c r="M683" s="2" t="s">
        <v>34</v>
      </c>
      <c r="N683" s="2" t="s">
        <v>34</v>
      </c>
      <c r="O683" s="2" t="s">
        <v>34</v>
      </c>
      <c r="P683" s="3">
        <v>44197</v>
      </c>
      <c r="Q683" s="3">
        <v>44561</v>
      </c>
      <c r="R683" s="2" t="s">
        <v>1393</v>
      </c>
      <c r="S683" s="2" t="s">
        <v>70</v>
      </c>
    </row>
    <row r="684" spans="1:19" hidden="1" x14ac:dyDescent="0.25">
      <c r="A684" s="2" t="s">
        <v>1394</v>
      </c>
      <c r="B684" s="2" t="s">
        <v>67</v>
      </c>
      <c r="C684" s="2" t="s">
        <v>34</v>
      </c>
      <c r="D684" s="2" t="s">
        <v>1395</v>
      </c>
      <c r="E684" s="2">
        <v>408</v>
      </c>
      <c r="F684" s="2">
        <v>29.434999999999999</v>
      </c>
      <c r="G684" s="2">
        <v>-83.283760000000001</v>
      </c>
      <c r="H684" s="2" t="s">
        <v>34</v>
      </c>
      <c r="I684" s="2" t="s">
        <v>46</v>
      </c>
      <c r="J684" s="2" t="s">
        <v>34</v>
      </c>
      <c r="K684" s="2" t="s">
        <v>34</v>
      </c>
      <c r="L684" s="2" t="s">
        <v>34</v>
      </c>
      <c r="M684" s="2" t="s">
        <v>34</v>
      </c>
      <c r="N684" s="2" t="s">
        <v>34</v>
      </c>
      <c r="O684" s="2" t="s">
        <v>34</v>
      </c>
      <c r="P684" s="3">
        <v>44197</v>
      </c>
      <c r="Q684" s="3">
        <v>44561</v>
      </c>
      <c r="R684" s="2" t="s">
        <v>1395</v>
      </c>
      <c r="S684" s="2" t="s">
        <v>70</v>
      </c>
    </row>
    <row r="685" spans="1:19" hidden="1" x14ac:dyDescent="0.25">
      <c r="A685" s="2" t="s">
        <v>1398</v>
      </c>
      <c r="B685" s="2" t="s">
        <v>67</v>
      </c>
      <c r="C685" s="2" t="s">
        <v>34</v>
      </c>
      <c r="D685" s="2" t="s">
        <v>1399</v>
      </c>
      <c r="E685" s="2">
        <v>708</v>
      </c>
      <c r="F685" s="2">
        <v>29.430040000000002</v>
      </c>
      <c r="G685" s="2">
        <v>-83.275779999999997</v>
      </c>
      <c r="H685" s="2" t="s">
        <v>34</v>
      </c>
      <c r="I685" s="2" t="s">
        <v>46</v>
      </c>
      <c r="J685" s="2" t="s">
        <v>34</v>
      </c>
      <c r="K685" s="2" t="s">
        <v>34</v>
      </c>
      <c r="L685" s="2" t="s">
        <v>34</v>
      </c>
      <c r="M685" s="2" t="s">
        <v>34</v>
      </c>
      <c r="N685" s="2" t="s">
        <v>34</v>
      </c>
      <c r="O685" s="2" t="s">
        <v>34</v>
      </c>
      <c r="P685" s="3">
        <v>44197</v>
      </c>
      <c r="Q685" s="3">
        <v>44561</v>
      </c>
      <c r="R685" s="2" t="s">
        <v>1399</v>
      </c>
      <c r="S685" s="2" t="s">
        <v>70</v>
      </c>
    </row>
    <row r="686" spans="1:19" hidden="1" x14ac:dyDescent="0.25">
      <c r="A686" s="2" t="s">
        <v>1402</v>
      </c>
      <c r="B686" s="2" t="s">
        <v>67</v>
      </c>
      <c r="C686" s="2" t="s">
        <v>34</v>
      </c>
      <c r="D686" s="2" t="s">
        <v>1403</v>
      </c>
      <c r="E686" s="2">
        <v>750</v>
      </c>
      <c r="F686" s="2">
        <v>29.4358</v>
      </c>
      <c r="G686" s="2">
        <v>-83.241699999999994</v>
      </c>
      <c r="H686" s="2" t="s">
        <v>34</v>
      </c>
      <c r="I686" s="2" t="s">
        <v>46</v>
      </c>
      <c r="J686" s="2" t="s">
        <v>34</v>
      </c>
      <c r="K686" s="2" t="s">
        <v>34</v>
      </c>
      <c r="L686" s="2" t="s">
        <v>34</v>
      </c>
      <c r="M686" s="2" t="s">
        <v>34</v>
      </c>
      <c r="N686" s="2" t="s">
        <v>34</v>
      </c>
      <c r="O686" s="2" t="s">
        <v>34</v>
      </c>
      <c r="P686" s="3">
        <v>44197</v>
      </c>
      <c r="Q686" s="3">
        <v>44561</v>
      </c>
      <c r="R686" s="2" t="s">
        <v>1403</v>
      </c>
      <c r="S686" s="2" t="s">
        <v>70</v>
      </c>
    </row>
    <row r="687" spans="1:19" hidden="1" x14ac:dyDescent="0.25">
      <c r="A687" s="2" t="s">
        <v>1396</v>
      </c>
      <c r="B687" s="2" t="s">
        <v>67</v>
      </c>
      <c r="C687" s="2" t="s">
        <v>34</v>
      </c>
      <c r="D687" s="2" t="s">
        <v>1397</v>
      </c>
      <c r="E687" s="2">
        <v>703</v>
      </c>
      <c r="F687" s="2">
        <v>29.428923999999999</v>
      </c>
      <c r="G687" s="2">
        <v>-83.282101999999995</v>
      </c>
      <c r="H687" s="2" t="s">
        <v>34</v>
      </c>
      <c r="I687" s="2" t="s">
        <v>46</v>
      </c>
      <c r="J687" s="2" t="s">
        <v>34</v>
      </c>
      <c r="K687" s="2" t="s">
        <v>34</v>
      </c>
      <c r="L687" s="2" t="s">
        <v>34</v>
      </c>
      <c r="M687" s="2" t="s">
        <v>34</v>
      </c>
      <c r="N687" s="2" t="s">
        <v>34</v>
      </c>
      <c r="O687" s="2" t="s">
        <v>34</v>
      </c>
      <c r="P687" s="3">
        <v>44197</v>
      </c>
      <c r="Q687" s="3">
        <v>44561</v>
      </c>
      <c r="R687" s="2" t="s">
        <v>1397</v>
      </c>
      <c r="S687" s="2" t="s">
        <v>70</v>
      </c>
    </row>
    <row r="688" spans="1:19" hidden="1" x14ac:dyDescent="0.25">
      <c r="A688" s="2" t="s">
        <v>1400</v>
      </c>
      <c r="B688" s="2" t="s">
        <v>67</v>
      </c>
      <c r="C688" s="2" t="s">
        <v>34</v>
      </c>
      <c r="D688" s="2" t="s">
        <v>1401</v>
      </c>
      <c r="E688" s="2">
        <v>720</v>
      </c>
      <c r="F688" s="2">
        <v>29.431895000000001</v>
      </c>
      <c r="G688" s="2">
        <v>-83.282409000000001</v>
      </c>
      <c r="H688" s="2" t="s">
        <v>34</v>
      </c>
      <c r="I688" s="2" t="s">
        <v>46</v>
      </c>
      <c r="J688" s="2" t="s">
        <v>34</v>
      </c>
      <c r="K688" s="2" t="s">
        <v>34</v>
      </c>
      <c r="L688" s="2" t="s">
        <v>34</v>
      </c>
      <c r="M688" s="2" t="s">
        <v>34</v>
      </c>
      <c r="N688" s="2" t="s">
        <v>34</v>
      </c>
      <c r="O688" s="2" t="s">
        <v>34</v>
      </c>
      <c r="P688" s="3">
        <v>44197</v>
      </c>
      <c r="Q688" s="3">
        <v>44561</v>
      </c>
      <c r="R688" s="2" t="s">
        <v>1401</v>
      </c>
      <c r="S688" s="2" t="s">
        <v>70</v>
      </c>
    </row>
    <row r="689" spans="1:19" hidden="1" x14ac:dyDescent="0.25">
      <c r="A689" s="2" t="s">
        <v>1404</v>
      </c>
      <c r="B689" s="2" t="s">
        <v>67</v>
      </c>
      <c r="C689" s="2" t="s">
        <v>86</v>
      </c>
      <c r="D689" s="2" t="s">
        <v>1405</v>
      </c>
      <c r="E689" s="2">
        <v>2137</v>
      </c>
      <c r="F689" s="2">
        <v>29.167819999999999</v>
      </c>
      <c r="G689" s="2">
        <v>-83.038460000000001</v>
      </c>
      <c r="H689" s="2" t="s">
        <v>34</v>
      </c>
      <c r="I689" s="2" t="s">
        <v>46</v>
      </c>
      <c r="J689" s="2" t="s">
        <v>34</v>
      </c>
      <c r="K689" s="2" t="s">
        <v>34</v>
      </c>
      <c r="L689" s="2" t="s">
        <v>34</v>
      </c>
      <c r="M689" s="2" t="s">
        <v>34</v>
      </c>
      <c r="N689" s="2" t="s">
        <v>34</v>
      </c>
      <c r="O689" s="2" t="s">
        <v>34</v>
      </c>
      <c r="P689" s="3">
        <v>44197</v>
      </c>
      <c r="Q689" s="3">
        <v>44561</v>
      </c>
      <c r="R689" s="2" t="s">
        <v>1405</v>
      </c>
      <c r="S689" s="2" t="s">
        <v>70</v>
      </c>
    </row>
    <row r="690" spans="1:19" hidden="1" x14ac:dyDescent="0.25">
      <c r="A690" s="2" t="s">
        <v>1406</v>
      </c>
      <c r="B690" s="2" t="s">
        <v>67</v>
      </c>
      <c r="C690" s="2" t="s">
        <v>86</v>
      </c>
      <c r="D690" s="2" t="s">
        <v>1407</v>
      </c>
      <c r="E690" s="2">
        <v>2155</v>
      </c>
      <c r="F690" s="2">
        <v>29.171690000000002</v>
      </c>
      <c r="G690" s="2">
        <v>-83.05171</v>
      </c>
      <c r="H690" s="2" t="s">
        <v>34</v>
      </c>
      <c r="I690" s="2" t="s">
        <v>46</v>
      </c>
      <c r="J690" s="2" t="s">
        <v>34</v>
      </c>
      <c r="K690" s="2" t="s">
        <v>34</v>
      </c>
      <c r="L690" s="2" t="s">
        <v>34</v>
      </c>
      <c r="M690" s="2" t="s">
        <v>34</v>
      </c>
      <c r="N690" s="2" t="s">
        <v>34</v>
      </c>
      <c r="O690" s="2" t="s">
        <v>34</v>
      </c>
      <c r="P690" s="3">
        <v>44197</v>
      </c>
      <c r="Q690" s="3">
        <v>44561</v>
      </c>
      <c r="R690" s="2" t="s">
        <v>1407</v>
      </c>
      <c r="S690" s="2" t="s">
        <v>70</v>
      </c>
    </row>
    <row r="691" spans="1:19" hidden="1" x14ac:dyDescent="0.25">
      <c r="A691" s="2" t="s">
        <v>1410</v>
      </c>
      <c r="B691" s="2" t="s">
        <v>67</v>
      </c>
      <c r="C691" s="2" t="s">
        <v>86</v>
      </c>
      <c r="D691" s="2" t="s">
        <v>1411</v>
      </c>
      <c r="E691" s="2">
        <v>2499</v>
      </c>
      <c r="F691" s="2">
        <v>29.176189999999998</v>
      </c>
      <c r="G691" s="2">
        <v>-83.057680000000005</v>
      </c>
      <c r="H691" s="2" t="s">
        <v>34</v>
      </c>
      <c r="I691" s="2" t="s">
        <v>46</v>
      </c>
      <c r="J691" s="2" t="s">
        <v>34</v>
      </c>
      <c r="K691" s="2" t="s">
        <v>34</v>
      </c>
      <c r="L691" s="2" t="s">
        <v>34</v>
      </c>
      <c r="M691" s="2" t="s">
        <v>34</v>
      </c>
      <c r="N691" s="2" t="s">
        <v>34</v>
      </c>
      <c r="O691" s="2" t="s">
        <v>34</v>
      </c>
      <c r="P691" s="3">
        <v>44197</v>
      </c>
      <c r="Q691" s="3">
        <v>44561</v>
      </c>
      <c r="R691" s="2" t="s">
        <v>1411</v>
      </c>
      <c r="S691" s="2" t="s">
        <v>70</v>
      </c>
    </row>
    <row r="692" spans="1:19" hidden="1" x14ac:dyDescent="0.25">
      <c r="A692" s="2" t="s">
        <v>1408</v>
      </c>
      <c r="B692" s="2" t="s">
        <v>67</v>
      </c>
      <c r="C692" s="2" t="s">
        <v>86</v>
      </c>
      <c r="D692" s="2" t="s">
        <v>1409</v>
      </c>
      <c r="E692" s="2">
        <v>2357</v>
      </c>
      <c r="F692" s="2">
        <v>29.139720000000001</v>
      </c>
      <c r="G692" s="2">
        <v>-83.045159999999996</v>
      </c>
      <c r="H692" s="2" t="s">
        <v>34</v>
      </c>
      <c r="I692" s="2" t="s">
        <v>46</v>
      </c>
      <c r="J692" s="2" t="s">
        <v>34</v>
      </c>
      <c r="K692" s="2" t="s">
        <v>34</v>
      </c>
      <c r="L692" s="2" t="s">
        <v>34</v>
      </c>
      <c r="M692" s="2" t="s">
        <v>34</v>
      </c>
      <c r="N692" s="2" t="s">
        <v>34</v>
      </c>
      <c r="O692" s="2" t="s">
        <v>34</v>
      </c>
      <c r="P692" s="3">
        <v>44197</v>
      </c>
      <c r="Q692" s="3">
        <v>44561</v>
      </c>
      <c r="R692" s="2" t="s">
        <v>1409</v>
      </c>
      <c r="S692" s="2" t="s">
        <v>70</v>
      </c>
    </row>
    <row r="693" spans="1:19" hidden="1" x14ac:dyDescent="0.25">
      <c r="A693" s="2" t="s">
        <v>1432</v>
      </c>
      <c r="B693" s="2" t="s">
        <v>67</v>
      </c>
      <c r="C693" s="2" t="s">
        <v>86</v>
      </c>
      <c r="D693" s="2" t="s">
        <v>1433</v>
      </c>
      <c r="E693" s="2">
        <v>2059</v>
      </c>
      <c r="F693" s="2">
        <v>29.159800000000001</v>
      </c>
      <c r="G693" s="2">
        <v>-83.004900000000006</v>
      </c>
      <c r="H693" s="2" t="s">
        <v>34</v>
      </c>
      <c r="I693" s="2" t="s">
        <v>46</v>
      </c>
      <c r="J693" s="2" t="s">
        <v>34</v>
      </c>
      <c r="K693" s="2" t="s">
        <v>34</v>
      </c>
      <c r="L693" s="2" t="s">
        <v>34</v>
      </c>
      <c r="M693" s="2" t="s">
        <v>34</v>
      </c>
      <c r="N693" s="2" t="s">
        <v>34</v>
      </c>
      <c r="O693" s="2" t="s">
        <v>34</v>
      </c>
      <c r="P693" s="3">
        <v>44197</v>
      </c>
      <c r="Q693" s="3">
        <v>44561</v>
      </c>
      <c r="R693" s="2" t="s">
        <v>1433</v>
      </c>
      <c r="S693" s="2" t="s">
        <v>70</v>
      </c>
    </row>
    <row r="694" spans="1:19" hidden="1" x14ac:dyDescent="0.25">
      <c r="A694" s="2" t="s">
        <v>1416</v>
      </c>
      <c r="B694" s="2" t="s">
        <v>67</v>
      </c>
      <c r="C694" s="2" t="s">
        <v>86</v>
      </c>
      <c r="D694" s="2" t="s">
        <v>1417</v>
      </c>
      <c r="E694" s="2">
        <v>2301</v>
      </c>
      <c r="F694" s="2">
        <v>29.160730000000001</v>
      </c>
      <c r="G694" s="2">
        <v>-83.003469999999993</v>
      </c>
      <c r="H694" s="2" t="s">
        <v>34</v>
      </c>
      <c r="I694" s="2" t="s">
        <v>46</v>
      </c>
      <c r="J694" s="2" t="s">
        <v>34</v>
      </c>
      <c r="K694" s="2" t="s">
        <v>34</v>
      </c>
      <c r="L694" s="2" t="s">
        <v>34</v>
      </c>
      <c r="M694" s="2" t="s">
        <v>34</v>
      </c>
      <c r="N694" s="2" t="s">
        <v>34</v>
      </c>
      <c r="O694" s="2" t="s">
        <v>34</v>
      </c>
      <c r="P694" s="3">
        <v>44197</v>
      </c>
      <c r="Q694" s="3">
        <v>44561</v>
      </c>
      <c r="R694" s="2" t="s">
        <v>1417</v>
      </c>
      <c r="S694" s="2" t="s">
        <v>70</v>
      </c>
    </row>
    <row r="695" spans="1:19" hidden="1" x14ac:dyDescent="0.25">
      <c r="A695" s="2" t="s">
        <v>1414</v>
      </c>
      <c r="B695" s="2" t="s">
        <v>67</v>
      </c>
      <c r="C695" s="2" t="s">
        <v>86</v>
      </c>
      <c r="D695" s="2" t="s">
        <v>1415</v>
      </c>
      <c r="E695" s="2">
        <v>2258</v>
      </c>
      <c r="F695" s="2">
        <v>29.154499999999999</v>
      </c>
      <c r="G695" s="2">
        <v>-83.021289999999993</v>
      </c>
      <c r="H695" s="2" t="s">
        <v>34</v>
      </c>
      <c r="I695" s="2" t="s">
        <v>46</v>
      </c>
      <c r="J695" s="2" t="s">
        <v>34</v>
      </c>
      <c r="K695" s="2" t="s">
        <v>34</v>
      </c>
      <c r="L695" s="2" t="s">
        <v>34</v>
      </c>
      <c r="M695" s="2" t="s">
        <v>34</v>
      </c>
      <c r="N695" s="2" t="s">
        <v>34</v>
      </c>
      <c r="O695" s="2" t="s">
        <v>34</v>
      </c>
      <c r="P695" s="3">
        <v>44197</v>
      </c>
      <c r="Q695" s="3">
        <v>44561</v>
      </c>
      <c r="R695" s="2" t="s">
        <v>1415</v>
      </c>
      <c r="S695" s="2" t="s">
        <v>70</v>
      </c>
    </row>
    <row r="696" spans="1:19" hidden="1" x14ac:dyDescent="0.25">
      <c r="A696" s="2" t="s">
        <v>1422</v>
      </c>
      <c r="B696" s="2" t="s">
        <v>67</v>
      </c>
      <c r="C696" s="2" t="s">
        <v>86</v>
      </c>
      <c r="D696" s="2" t="s">
        <v>1423</v>
      </c>
      <c r="E696" s="2">
        <v>2602</v>
      </c>
      <c r="F696" s="2">
        <v>29.16489</v>
      </c>
      <c r="G696" s="2">
        <v>-82.299060999999995</v>
      </c>
      <c r="H696" s="2" t="s">
        <v>34</v>
      </c>
      <c r="I696" s="2" t="s">
        <v>46</v>
      </c>
      <c r="J696" s="2" t="s">
        <v>34</v>
      </c>
      <c r="K696" s="2" t="s">
        <v>34</v>
      </c>
      <c r="L696" s="2" t="s">
        <v>34</v>
      </c>
      <c r="M696" s="2" t="s">
        <v>34</v>
      </c>
      <c r="N696" s="2" t="s">
        <v>34</v>
      </c>
      <c r="O696" s="2" t="s">
        <v>34</v>
      </c>
      <c r="P696" s="3">
        <v>44197</v>
      </c>
      <c r="Q696" s="3">
        <v>44561</v>
      </c>
      <c r="R696" s="2" t="s">
        <v>1423</v>
      </c>
      <c r="S696" s="2" t="s">
        <v>70</v>
      </c>
    </row>
    <row r="697" spans="1:19" hidden="1" x14ac:dyDescent="0.25">
      <c r="A697" s="2" t="s">
        <v>1420</v>
      </c>
      <c r="B697" s="2" t="s">
        <v>67</v>
      </c>
      <c r="C697" s="2" t="s">
        <v>86</v>
      </c>
      <c r="D697" s="2" t="s">
        <v>1421</v>
      </c>
      <c r="E697" s="2">
        <v>2601</v>
      </c>
      <c r="F697" s="2">
        <v>29.15211</v>
      </c>
      <c r="G697" s="2">
        <v>-82.980500000000006</v>
      </c>
      <c r="H697" s="2" t="s">
        <v>34</v>
      </c>
      <c r="I697" s="2" t="s">
        <v>46</v>
      </c>
      <c r="J697" s="2" t="s">
        <v>34</v>
      </c>
      <c r="K697" s="2" t="s">
        <v>34</v>
      </c>
      <c r="L697" s="2" t="s">
        <v>34</v>
      </c>
      <c r="M697" s="2" t="s">
        <v>34</v>
      </c>
      <c r="N697" s="2" t="s">
        <v>34</v>
      </c>
      <c r="O697" s="2" t="s">
        <v>34</v>
      </c>
      <c r="P697" s="3">
        <v>44197</v>
      </c>
      <c r="Q697" s="3">
        <v>44561</v>
      </c>
      <c r="R697" s="2" t="s">
        <v>1421</v>
      </c>
      <c r="S697" s="2" t="s">
        <v>70</v>
      </c>
    </row>
    <row r="698" spans="1:19" hidden="1" x14ac:dyDescent="0.25">
      <c r="A698" s="2" t="s">
        <v>1418</v>
      </c>
      <c r="B698" s="2" t="s">
        <v>67</v>
      </c>
      <c r="C698" s="2" t="s">
        <v>86</v>
      </c>
      <c r="D698" s="2" t="s">
        <v>1419</v>
      </c>
      <c r="E698" s="2">
        <v>2378</v>
      </c>
      <c r="F698" s="2">
        <v>29.14995</v>
      </c>
      <c r="G698" s="2">
        <v>-83.027869999999993</v>
      </c>
      <c r="H698" s="2" t="s">
        <v>34</v>
      </c>
      <c r="I698" s="2" t="s">
        <v>46</v>
      </c>
      <c r="J698" s="2" t="s">
        <v>34</v>
      </c>
      <c r="K698" s="2" t="s">
        <v>34</v>
      </c>
      <c r="L698" s="2" t="s">
        <v>34</v>
      </c>
      <c r="M698" s="2" t="s">
        <v>34</v>
      </c>
      <c r="N698" s="2" t="s">
        <v>34</v>
      </c>
      <c r="O698" s="2" t="s">
        <v>34</v>
      </c>
      <c r="P698" s="3">
        <v>44197</v>
      </c>
      <c r="Q698" s="3">
        <v>44561</v>
      </c>
      <c r="R698" s="2" t="s">
        <v>1419</v>
      </c>
      <c r="S698" s="2" t="s">
        <v>70</v>
      </c>
    </row>
    <row r="699" spans="1:19" hidden="1" x14ac:dyDescent="0.25">
      <c r="A699" s="2" t="s">
        <v>1430</v>
      </c>
      <c r="B699" s="2" t="s">
        <v>67</v>
      </c>
      <c r="C699" s="2" t="s">
        <v>77</v>
      </c>
      <c r="D699" s="2" t="s">
        <v>1431</v>
      </c>
      <c r="E699" s="2">
        <v>1306</v>
      </c>
      <c r="F699" s="2">
        <v>29.34637</v>
      </c>
      <c r="G699" s="2">
        <v>-83.16977</v>
      </c>
      <c r="H699" s="2" t="s">
        <v>34</v>
      </c>
      <c r="I699" s="2" t="s">
        <v>46</v>
      </c>
      <c r="J699" s="2" t="s">
        <v>34</v>
      </c>
      <c r="K699" s="2" t="s">
        <v>34</v>
      </c>
      <c r="L699" s="2" t="s">
        <v>34</v>
      </c>
      <c r="M699" s="2" t="s">
        <v>34</v>
      </c>
      <c r="N699" s="2" t="s">
        <v>34</v>
      </c>
      <c r="O699" s="2" t="s">
        <v>34</v>
      </c>
      <c r="P699" s="3">
        <v>44197</v>
      </c>
      <c r="Q699" s="3">
        <v>44561</v>
      </c>
      <c r="R699" s="2" t="s">
        <v>1431</v>
      </c>
      <c r="S699" s="2" t="s">
        <v>70</v>
      </c>
    </row>
    <row r="700" spans="1:19" hidden="1" x14ac:dyDescent="0.25">
      <c r="A700" s="2" t="s">
        <v>1428</v>
      </c>
      <c r="B700" s="2" t="s">
        <v>67</v>
      </c>
      <c r="C700" s="2" t="s">
        <v>77</v>
      </c>
      <c r="D700" s="2" t="s">
        <v>1429</v>
      </c>
      <c r="E700" s="2">
        <v>1162</v>
      </c>
      <c r="F700" s="2">
        <v>29.351649999999999</v>
      </c>
      <c r="G700" s="2">
        <v>-83.175910000000002</v>
      </c>
      <c r="H700" s="2" t="s">
        <v>34</v>
      </c>
      <c r="I700" s="2" t="s">
        <v>46</v>
      </c>
      <c r="J700" s="2" t="s">
        <v>34</v>
      </c>
      <c r="K700" s="2" t="s">
        <v>34</v>
      </c>
      <c r="L700" s="2" t="s">
        <v>34</v>
      </c>
      <c r="M700" s="2" t="s">
        <v>34</v>
      </c>
      <c r="N700" s="2" t="s">
        <v>34</v>
      </c>
      <c r="O700" s="2" t="s">
        <v>34</v>
      </c>
      <c r="P700" s="3">
        <v>44197</v>
      </c>
      <c r="Q700" s="3">
        <v>44561</v>
      </c>
      <c r="R700" s="2" t="s">
        <v>1429</v>
      </c>
      <c r="S700" s="2" t="s">
        <v>70</v>
      </c>
    </row>
    <row r="701" spans="1:19" hidden="1" x14ac:dyDescent="0.25">
      <c r="A701" s="2" t="s">
        <v>1424</v>
      </c>
      <c r="B701" s="2" t="s">
        <v>67</v>
      </c>
      <c r="C701" s="2" t="s">
        <v>34</v>
      </c>
      <c r="D701" s="2" t="s">
        <v>1425</v>
      </c>
      <c r="E701" s="2">
        <v>25</v>
      </c>
      <c r="F701" s="2">
        <v>29.383369999999999</v>
      </c>
      <c r="G701" s="2">
        <v>-83.204059999999998</v>
      </c>
      <c r="H701" s="2" t="s">
        <v>34</v>
      </c>
      <c r="I701" s="2" t="s">
        <v>46</v>
      </c>
      <c r="J701" s="2" t="s">
        <v>34</v>
      </c>
      <c r="K701" s="2" t="s">
        <v>34</v>
      </c>
      <c r="L701" s="2" t="s">
        <v>34</v>
      </c>
      <c r="M701" s="2" t="s">
        <v>34</v>
      </c>
      <c r="N701" s="2" t="s">
        <v>34</v>
      </c>
      <c r="O701" s="2" t="s">
        <v>34</v>
      </c>
      <c r="P701" s="3">
        <v>44197</v>
      </c>
      <c r="Q701" s="3">
        <v>44561</v>
      </c>
      <c r="R701" s="2" t="s">
        <v>1425</v>
      </c>
      <c r="S701" s="2" t="s">
        <v>70</v>
      </c>
    </row>
    <row r="702" spans="1:19" hidden="1" x14ac:dyDescent="0.25">
      <c r="A702" s="2" t="s">
        <v>1426</v>
      </c>
      <c r="B702" s="2" t="s">
        <v>67</v>
      </c>
      <c r="C702" s="2" t="s">
        <v>34</v>
      </c>
      <c r="D702" s="2" t="s">
        <v>1427</v>
      </c>
      <c r="E702" s="2">
        <v>229</v>
      </c>
      <c r="F702" s="2">
        <v>29.383430000000001</v>
      </c>
      <c r="G702" s="2">
        <v>-83.198189999999997</v>
      </c>
      <c r="H702" s="2" t="s">
        <v>34</v>
      </c>
      <c r="I702" s="2" t="s">
        <v>46</v>
      </c>
      <c r="J702" s="2" t="s">
        <v>34</v>
      </c>
      <c r="K702" s="2" t="s">
        <v>34</v>
      </c>
      <c r="L702" s="2" t="s">
        <v>34</v>
      </c>
      <c r="M702" s="2" t="s">
        <v>34</v>
      </c>
      <c r="N702" s="2" t="s">
        <v>34</v>
      </c>
      <c r="O702" s="2" t="s">
        <v>34</v>
      </c>
      <c r="P702" s="3">
        <v>44197</v>
      </c>
      <c r="Q702" s="3">
        <v>44561</v>
      </c>
      <c r="R702" s="2" t="s">
        <v>1427</v>
      </c>
      <c r="S702" s="2" t="s">
        <v>70</v>
      </c>
    </row>
    <row r="703" spans="1:19" hidden="1" x14ac:dyDescent="0.25">
      <c r="A703" s="2" t="s">
        <v>1130</v>
      </c>
      <c r="B703" s="2" t="s">
        <v>67</v>
      </c>
      <c r="C703" s="2" t="s">
        <v>86</v>
      </c>
      <c r="D703" s="2" t="s">
        <v>1131</v>
      </c>
      <c r="E703" s="2">
        <v>344</v>
      </c>
      <c r="F703" s="2">
        <v>29.165469999999999</v>
      </c>
      <c r="G703" s="2">
        <v>-82.978399999999993</v>
      </c>
      <c r="H703" s="2" t="s">
        <v>34</v>
      </c>
      <c r="I703" s="2" t="s">
        <v>34</v>
      </c>
      <c r="J703" s="2" t="s">
        <v>34</v>
      </c>
      <c r="K703" s="2" t="s">
        <v>34</v>
      </c>
      <c r="L703" s="2" t="s">
        <v>46</v>
      </c>
      <c r="M703" s="2" t="s">
        <v>34</v>
      </c>
      <c r="N703" s="2" t="s">
        <v>34</v>
      </c>
      <c r="O703" s="2" t="s">
        <v>34</v>
      </c>
      <c r="P703" s="3">
        <v>44562</v>
      </c>
      <c r="Q703" s="3">
        <v>44926</v>
      </c>
      <c r="R703" s="2" t="s">
        <v>1131</v>
      </c>
      <c r="S703" s="2" t="s">
        <v>70</v>
      </c>
    </row>
    <row r="704" spans="1:19" hidden="1" x14ac:dyDescent="0.25">
      <c r="A704" s="2" t="s">
        <v>1132</v>
      </c>
      <c r="B704" s="2" t="s">
        <v>67</v>
      </c>
      <c r="C704" s="2" t="s">
        <v>86</v>
      </c>
      <c r="D704" s="2" t="s">
        <v>1133</v>
      </c>
      <c r="E704" s="2">
        <v>77</v>
      </c>
      <c r="F704" s="2">
        <v>29.149360000000001</v>
      </c>
      <c r="G704" s="2">
        <v>-83.065209999999993</v>
      </c>
      <c r="H704" s="2" t="s">
        <v>34</v>
      </c>
      <c r="I704" s="2" t="s">
        <v>34</v>
      </c>
      <c r="J704" s="2" t="s">
        <v>34</v>
      </c>
      <c r="K704" s="2" t="s">
        <v>34</v>
      </c>
      <c r="L704" s="2" t="s">
        <v>46</v>
      </c>
      <c r="M704" s="2" t="s">
        <v>34</v>
      </c>
      <c r="N704" s="2" t="s">
        <v>34</v>
      </c>
      <c r="O704" s="2" t="s">
        <v>34</v>
      </c>
      <c r="P704" s="3">
        <v>44562</v>
      </c>
      <c r="Q704" s="3">
        <v>44926</v>
      </c>
      <c r="R704" s="2" t="s">
        <v>1133</v>
      </c>
      <c r="S704" s="2" t="s">
        <v>70</v>
      </c>
    </row>
    <row r="705" spans="1:19" hidden="1" x14ac:dyDescent="0.25">
      <c r="A705" s="2" t="s">
        <v>1134</v>
      </c>
      <c r="B705" s="2" t="s">
        <v>67</v>
      </c>
      <c r="C705" s="2" t="s">
        <v>86</v>
      </c>
      <c r="D705" s="2" t="s">
        <v>1135</v>
      </c>
      <c r="E705" s="2">
        <v>401</v>
      </c>
      <c r="F705" s="2">
        <v>29.186319999999998</v>
      </c>
      <c r="G705" s="2">
        <v>-83.069509999999994</v>
      </c>
      <c r="H705" s="2" t="s">
        <v>34</v>
      </c>
      <c r="I705" s="2" t="s">
        <v>34</v>
      </c>
      <c r="J705" s="2" t="s">
        <v>34</v>
      </c>
      <c r="K705" s="2" t="s">
        <v>34</v>
      </c>
      <c r="L705" s="2" t="s">
        <v>46</v>
      </c>
      <c r="M705" s="2" t="s">
        <v>34</v>
      </c>
      <c r="N705" s="2" t="s">
        <v>34</v>
      </c>
      <c r="O705" s="2" t="s">
        <v>34</v>
      </c>
      <c r="P705" s="3">
        <v>44562</v>
      </c>
      <c r="Q705" s="3">
        <v>44926</v>
      </c>
      <c r="R705" s="2" t="s">
        <v>1135</v>
      </c>
      <c r="S705" s="2" t="s">
        <v>70</v>
      </c>
    </row>
    <row r="706" spans="1:19" hidden="1" x14ac:dyDescent="0.25">
      <c r="A706" s="2" t="s">
        <v>1136</v>
      </c>
      <c r="B706" s="2" t="s">
        <v>67</v>
      </c>
      <c r="C706" s="2" t="s">
        <v>86</v>
      </c>
      <c r="D706" s="2" t="s">
        <v>1137</v>
      </c>
      <c r="E706" s="2">
        <v>241</v>
      </c>
      <c r="F706" s="2">
        <v>29.163309999999999</v>
      </c>
      <c r="G706" s="2">
        <v>-83.049220000000005</v>
      </c>
      <c r="H706" s="2" t="s">
        <v>34</v>
      </c>
      <c r="I706" s="2" t="s">
        <v>34</v>
      </c>
      <c r="J706" s="2" t="s">
        <v>34</v>
      </c>
      <c r="K706" s="2" t="s">
        <v>34</v>
      </c>
      <c r="L706" s="2" t="s">
        <v>46</v>
      </c>
      <c r="M706" s="2" t="s">
        <v>34</v>
      </c>
      <c r="N706" s="2" t="s">
        <v>34</v>
      </c>
      <c r="O706" s="2" t="s">
        <v>34</v>
      </c>
      <c r="P706" s="3">
        <v>44562</v>
      </c>
      <c r="Q706" s="3">
        <v>44926</v>
      </c>
      <c r="R706" s="2" t="s">
        <v>1137</v>
      </c>
      <c r="S706" s="2" t="s">
        <v>70</v>
      </c>
    </row>
    <row r="707" spans="1:19" hidden="1" x14ac:dyDescent="0.25">
      <c r="A707" s="2" t="s">
        <v>1138</v>
      </c>
      <c r="B707" s="2" t="s">
        <v>67</v>
      </c>
      <c r="C707" s="2" t="s">
        <v>34</v>
      </c>
      <c r="D707" s="2" t="s">
        <v>1139</v>
      </c>
      <c r="E707" s="2">
        <v>827</v>
      </c>
      <c r="F707" s="2">
        <v>29.433050000000001</v>
      </c>
      <c r="G707" s="2">
        <v>-83.24109</v>
      </c>
      <c r="H707" s="2" t="s">
        <v>34</v>
      </c>
      <c r="I707" s="2" t="s">
        <v>34</v>
      </c>
      <c r="J707" s="2" t="s">
        <v>34</v>
      </c>
      <c r="K707" s="2" t="s">
        <v>34</v>
      </c>
      <c r="L707" s="2" t="s">
        <v>46</v>
      </c>
      <c r="M707" s="2" t="s">
        <v>34</v>
      </c>
      <c r="N707" s="2" t="s">
        <v>34</v>
      </c>
      <c r="O707" s="2" t="s">
        <v>34</v>
      </c>
      <c r="P707" s="3">
        <v>44562</v>
      </c>
      <c r="Q707" s="3">
        <v>44926</v>
      </c>
      <c r="R707" s="2" t="s">
        <v>1139</v>
      </c>
      <c r="S707" s="2" t="s">
        <v>70</v>
      </c>
    </row>
    <row r="708" spans="1:19" hidden="1" x14ac:dyDescent="0.25">
      <c r="A708" s="2" t="s">
        <v>1140</v>
      </c>
      <c r="B708" s="2" t="s">
        <v>67</v>
      </c>
      <c r="C708" s="2" t="s">
        <v>34</v>
      </c>
      <c r="D708" s="2" t="s">
        <v>1141</v>
      </c>
      <c r="E708" s="2">
        <v>747</v>
      </c>
      <c r="F708" s="2">
        <v>29.42099</v>
      </c>
      <c r="G708" s="2">
        <v>-83.223399999999998</v>
      </c>
      <c r="H708" s="2" t="s">
        <v>34</v>
      </c>
      <c r="I708" s="2" t="s">
        <v>34</v>
      </c>
      <c r="J708" s="2" t="s">
        <v>34</v>
      </c>
      <c r="K708" s="2" t="s">
        <v>34</v>
      </c>
      <c r="L708" s="2" t="s">
        <v>46</v>
      </c>
      <c r="M708" s="2" t="s">
        <v>34</v>
      </c>
      <c r="N708" s="2" t="s">
        <v>34</v>
      </c>
      <c r="O708" s="2" t="s">
        <v>34</v>
      </c>
      <c r="P708" s="3">
        <v>44562</v>
      </c>
      <c r="Q708" s="3">
        <v>44926</v>
      </c>
      <c r="R708" s="2" t="s">
        <v>1141</v>
      </c>
      <c r="S708" s="2" t="s">
        <v>70</v>
      </c>
    </row>
    <row r="709" spans="1:19" hidden="1" x14ac:dyDescent="0.25">
      <c r="A709" s="2" t="s">
        <v>95</v>
      </c>
      <c r="B709" s="2" t="s">
        <v>67</v>
      </c>
      <c r="C709" s="2" t="s">
        <v>34</v>
      </c>
      <c r="D709" s="2" t="s">
        <v>96</v>
      </c>
      <c r="E709" s="2">
        <v>729</v>
      </c>
      <c r="F709" s="2">
        <v>29.416530000000002</v>
      </c>
      <c r="G709" s="2">
        <v>-83.237110000000001</v>
      </c>
      <c r="H709" s="2" t="s">
        <v>34</v>
      </c>
      <c r="I709" s="2" t="s">
        <v>34</v>
      </c>
      <c r="J709" s="2" t="s">
        <v>34</v>
      </c>
      <c r="K709" s="2" t="s">
        <v>34</v>
      </c>
      <c r="L709" s="2" t="s">
        <v>46</v>
      </c>
      <c r="M709" s="2" t="s">
        <v>34</v>
      </c>
      <c r="N709" s="2" t="s">
        <v>34</v>
      </c>
      <c r="O709" s="2" t="s">
        <v>34</v>
      </c>
      <c r="P709" s="3">
        <v>44562</v>
      </c>
      <c r="Q709" s="3">
        <v>44926</v>
      </c>
      <c r="R709" s="2" t="s">
        <v>96</v>
      </c>
      <c r="S709" s="2" t="s">
        <v>70</v>
      </c>
    </row>
    <row r="710" spans="1:19" hidden="1" x14ac:dyDescent="0.25">
      <c r="A710" s="2" t="s">
        <v>1211</v>
      </c>
      <c r="B710" s="2" t="s">
        <v>67</v>
      </c>
      <c r="C710" s="2" t="s">
        <v>34</v>
      </c>
      <c r="D710" s="2" t="s">
        <v>1212</v>
      </c>
      <c r="E710" s="2">
        <v>734</v>
      </c>
      <c r="F710" s="2">
        <v>29.41827</v>
      </c>
      <c r="G710" s="2">
        <v>-83.251350000000002</v>
      </c>
      <c r="H710" s="2" t="s">
        <v>34</v>
      </c>
      <c r="I710" s="2" t="s">
        <v>34</v>
      </c>
      <c r="J710" s="2" t="s">
        <v>34</v>
      </c>
      <c r="K710" s="2" t="s">
        <v>34</v>
      </c>
      <c r="L710" s="2" t="s">
        <v>46</v>
      </c>
      <c r="M710" s="2" t="s">
        <v>34</v>
      </c>
      <c r="N710" s="2" t="s">
        <v>34</v>
      </c>
      <c r="O710" s="2" t="s">
        <v>34</v>
      </c>
      <c r="P710" s="3">
        <v>44562</v>
      </c>
      <c r="Q710" s="3">
        <v>44926</v>
      </c>
      <c r="R710" s="2" t="s">
        <v>1212</v>
      </c>
      <c r="S710" s="2" t="s">
        <v>70</v>
      </c>
    </row>
    <row r="711" spans="1:19" hidden="1" x14ac:dyDescent="0.25">
      <c r="A711" s="2" t="s">
        <v>1213</v>
      </c>
      <c r="B711" s="2" t="s">
        <v>67</v>
      </c>
      <c r="C711" s="2" t="s">
        <v>34</v>
      </c>
      <c r="D711" s="2" t="s">
        <v>1214</v>
      </c>
      <c r="E711" s="2">
        <v>788</v>
      </c>
      <c r="F711" s="2">
        <v>29.427140000000001</v>
      </c>
      <c r="G711" s="2">
        <v>-83.259929999999997</v>
      </c>
      <c r="H711" s="2" t="s">
        <v>34</v>
      </c>
      <c r="I711" s="2" t="s">
        <v>34</v>
      </c>
      <c r="J711" s="2" t="s">
        <v>34</v>
      </c>
      <c r="K711" s="2" t="s">
        <v>34</v>
      </c>
      <c r="L711" s="2" t="s">
        <v>46</v>
      </c>
      <c r="M711" s="2" t="s">
        <v>34</v>
      </c>
      <c r="N711" s="2" t="s">
        <v>34</v>
      </c>
      <c r="O711" s="2" t="s">
        <v>34</v>
      </c>
      <c r="P711" s="3">
        <v>44562</v>
      </c>
      <c r="Q711" s="3">
        <v>44926</v>
      </c>
      <c r="R711" s="2" t="s">
        <v>1214</v>
      </c>
      <c r="S711" s="2" t="s">
        <v>70</v>
      </c>
    </row>
    <row r="712" spans="1:19" hidden="1" x14ac:dyDescent="0.25">
      <c r="A712" s="2" t="s">
        <v>1215</v>
      </c>
      <c r="B712" s="2" t="s">
        <v>67</v>
      </c>
      <c r="C712" s="2" t="s">
        <v>77</v>
      </c>
      <c r="D712" s="2" t="s">
        <v>1216</v>
      </c>
      <c r="E712" s="2">
        <v>596</v>
      </c>
      <c r="F712" s="2">
        <v>29.290520000000001</v>
      </c>
      <c r="G712" s="2">
        <v>-83.182829999999996</v>
      </c>
      <c r="H712" s="2" t="s">
        <v>34</v>
      </c>
      <c r="I712" s="2" t="s">
        <v>34</v>
      </c>
      <c r="J712" s="2" t="s">
        <v>34</v>
      </c>
      <c r="K712" s="2" t="s">
        <v>34</v>
      </c>
      <c r="L712" s="2" t="s">
        <v>46</v>
      </c>
      <c r="M712" s="2" t="s">
        <v>34</v>
      </c>
      <c r="N712" s="2" t="s">
        <v>34</v>
      </c>
      <c r="O712" s="2" t="s">
        <v>34</v>
      </c>
      <c r="P712" s="3">
        <v>44562</v>
      </c>
      <c r="Q712" s="3">
        <v>44926</v>
      </c>
      <c r="R712" s="2" t="s">
        <v>1216</v>
      </c>
      <c r="S712" s="2" t="s">
        <v>70</v>
      </c>
    </row>
    <row r="713" spans="1:19" hidden="1" x14ac:dyDescent="0.25">
      <c r="A713" s="2" t="s">
        <v>1217</v>
      </c>
      <c r="B713" s="2" t="s">
        <v>67</v>
      </c>
      <c r="C713" s="2" t="s">
        <v>34</v>
      </c>
      <c r="D713" s="2" t="s">
        <v>1218</v>
      </c>
      <c r="E713" s="2">
        <v>637</v>
      </c>
      <c r="F713" s="2">
        <v>29.368790000000001</v>
      </c>
      <c r="G713" s="2">
        <v>-83.18974</v>
      </c>
      <c r="H713" s="2" t="s">
        <v>34</v>
      </c>
      <c r="I713" s="2" t="s">
        <v>34</v>
      </c>
      <c r="J713" s="2" t="s">
        <v>34</v>
      </c>
      <c r="K713" s="2" t="s">
        <v>34</v>
      </c>
      <c r="L713" s="2" t="s">
        <v>46</v>
      </c>
      <c r="M713" s="2" t="s">
        <v>34</v>
      </c>
      <c r="N713" s="2" t="s">
        <v>34</v>
      </c>
      <c r="O713" s="2" t="s">
        <v>34</v>
      </c>
      <c r="P713" s="3">
        <v>44562</v>
      </c>
      <c r="Q713" s="3">
        <v>44926</v>
      </c>
      <c r="R713" s="2" t="s">
        <v>1218</v>
      </c>
      <c r="S713" s="2" t="s">
        <v>70</v>
      </c>
    </row>
    <row r="714" spans="1:19" hidden="1" x14ac:dyDescent="0.25">
      <c r="A714" s="2" t="s">
        <v>1324</v>
      </c>
      <c r="B714" s="2" t="s">
        <v>67</v>
      </c>
      <c r="C714" s="2" t="s">
        <v>86</v>
      </c>
      <c r="D714" s="2" t="s">
        <v>1325</v>
      </c>
      <c r="E714" s="2">
        <v>154</v>
      </c>
      <c r="F714" s="2">
        <v>29.156510000000001</v>
      </c>
      <c r="G714" s="2">
        <v>-83.020030000000006</v>
      </c>
      <c r="H714" s="2" t="s">
        <v>34</v>
      </c>
      <c r="I714" s="2" t="s">
        <v>34</v>
      </c>
      <c r="J714" s="2" t="s">
        <v>34</v>
      </c>
      <c r="K714" s="2" t="s">
        <v>34</v>
      </c>
      <c r="L714" s="2" t="s">
        <v>46</v>
      </c>
      <c r="M714" s="2" t="s">
        <v>34</v>
      </c>
      <c r="N714" s="2" t="s">
        <v>34</v>
      </c>
      <c r="O714" s="2" t="s">
        <v>34</v>
      </c>
      <c r="P714" s="3">
        <v>44562</v>
      </c>
      <c r="Q714" s="3">
        <v>44926</v>
      </c>
      <c r="R714" s="2" t="s">
        <v>1325</v>
      </c>
      <c r="S714" s="2" t="s">
        <v>70</v>
      </c>
    </row>
    <row r="715" spans="1:19" hidden="1" x14ac:dyDescent="0.25">
      <c r="A715" s="2" t="s">
        <v>1219</v>
      </c>
      <c r="B715" s="2" t="s">
        <v>67</v>
      </c>
      <c r="C715" s="2" t="s">
        <v>86</v>
      </c>
      <c r="D715" s="2" t="s">
        <v>1220</v>
      </c>
      <c r="E715" s="2">
        <v>484</v>
      </c>
      <c r="F715" s="2">
        <v>29.214680000000001</v>
      </c>
      <c r="G715" s="2">
        <v>-83.084249999999997</v>
      </c>
      <c r="H715" s="2" t="s">
        <v>34</v>
      </c>
      <c r="I715" s="2" t="s">
        <v>34</v>
      </c>
      <c r="J715" s="2" t="s">
        <v>34</v>
      </c>
      <c r="K715" s="2" t="s">
        <v>34</v>
      </c>
      <c r="L715" s="2" t="s">
        <v>46</v>
      </c>
      <c r="M715" s="2" t="s">
        <v>34</v>
      </c>
      <c r="N715" s="2" t="s">
        <v>34</v>
      </c>
      <c r="O715" s="2" t="s">
        <v>34</v>
      </c>
      <c r="P715" s="3">
        <v>44562</v>
      </c>
      <c r="Q715" s="3">
        <v>44926</v>
      </c>
      <c r="R715" s="2" t="s">
        <v>1220</v>
      </c>
      <c r="S715" s="2" t="s">
        <v>70</v>
      </c>
    </row>
    <row r="716" spans="1:19" hidden="1" x14ac:dyDescent="0.25">
      <c r="A716" s="2" t="s">
        <v>1221</v>
      </c>
      <c r="B716" s="2" t="s">
        <v>67</v>
      </c>
      <c r="C716" s="2" t="s">
        <v>86</v>
      </c>
      <c r="D716" s="2" t="s">
        <v>1222</v>
      </c>
      <c r="E716" s="2">
        <v>514</v>
      </c>
      <c r="F716" s="2">
        <v>29.22392</v>
      </c>
      <c r="G716" s="2">
        <v>-83.080579999999998</v>
      </c>
      <c r="H716" s="2" t="s">
        <v>34</v>
      </c>
      <c r="I716" s="2" t="s">
        <v>34</v>
      </c>
      <c r="J716" s="2" t="s">
        <v>34</v>
      </c>
      <c r="K716" s="2" t="s">
        <v>34</v>
      </c>
      <c r="L716" s="2" t="s">
        <v>46</v>
      </c>
      <c r="M716" s="2" t="s">
        <v>34</v>
      </c>
      <c r="N716" s="2" t="s">
        <v>34</v>
      </c>
      <c r="O716" s="2" t="s">
        <v>34</v>
      </c>
      <c r="P716" s="3">
        <v>44562</v>
      </c>
      <c r="Q716" s="3">
        <v>44926</v>
      </c>
      <c r="R716" s="2" t="s">
        <v>1222</v>
      </c>
      <c r="S716" s="2" t="s">
        <v>70</v>
      </c>
    </row>
    <row r="717" spans="1:19" hidden="1" x14ac:dyDescent="0.25">
      <c r="A717" s="2" t="s">
        <v>366</v>
      </c>
      <c r="B717" s="2" t="s">
        <v>67</v>
      </c>
      <c r="C717" s="2" t="s">
        <v>77</v>
      </c>
      <c r="D717" s="2" t="s">
        <v>367</v>
      </c>
      <c r="E717" s="2">
        <v>7</v>
      </c>
      <c r="F717" s="2">
        <v>29.236830000000001</v>
      </c>
      <c r="G717" s="2">
        <v>-83.14546</v>
      </c>
      <c r="H717" s="2" t="s">
        <v>34</v>
      </c>
      <c r="I717" s="2" t="s">
        <v>46</v>
      </c>
      <c r="J717" s="2" t="s">
        <v>34</v>
      </c>
      <c r="K717" s="2" t="s">
        <v>34</v>
      </c>
      <c r="L717" s="2" t="s">
        <v>34</v>
      </c>
      <c r="M717" s="2" t="s">
        <v>34</v>
      </c>
      <c r="N717" s="2" t="s">
        <v>34</v>
      </c>
      <c r="O717" s="2" t="s">
        <v>34</v>
      </c>
      <c r="P717" s="3">
        <v>45016</v>
      </c>
      <c r="Q717" s="3">
        <v>45078</v>
      </c>
      <c r="R717" s="2" t="s">
        <v>368</v>
      </c>
      <c r="S717" s="2" t="s">
        <v>70</v>
      </c>
    </row>
    <row r="718" spans="1:19" hidden="1" x14ac:dyDescent="0.25">
      <c r="A718" s="2" t="s">
        <v>369</v>
      </c>
      <c r="B718" s="2" t="s">
        <v>67</v>
      </c>
      <c r="C718" s="2" t="s">
        <v>77</v>
      </c>
      <c r="D718" s="2" t="s">
        <v>370</v>
      </c>
      <c r="E718" s="2">
        <v>402</v>
      </c>
      <c r="F718" s="2">
        <v>29.23452</v>
      </c>
      <c r="G718" s="2">
        <v>-83.142809999999997</v>
      </c>
      <c r="H718" s="2" t="s">
        <v>34</v>
      </c>
      <c r="I718" s="2" t="s">
        <v>46</v>
      </c>
      <c r="J718" s="2" t="s">
        <v>34</v>
      </c>
      <c r="K718" s="2" t="s">
        <v>34</v>
      </c>
      <c r="L718" s="2" t="s">
        <v>34</v>
      </c>
      <c r="M718" s="2" t="s">
        <v>34</v>
      </c>
      <c r="N718" s="2" t="s">
        <v>34</v>
      </c>
      <c r="O718" s="2" t="s">
        <v>34</v>
      </c>
      <c r="P718" s="3">
        <v>45016</v>
      </c>
      <c r="Q718" s="3">
        <v>45078</v>
      </c>
      <c r="R718" s="2" t="s">
        <v>371</v>
      </c>
      <c r="S718" s="2" t="s">
        <v>70</v>
      </c>
    </row>
    <row r="719" spans="1:19" hidden="1" x14ac:dyDescent="0.25">
      <c r="A719" s="2" t="s">
        <v>372</v>
      </c>
      <c r="B719" s="2" t="s">
        <v>67</v>
      </c>
      <c r="C719" s="2" t="s">
        <v>77</v>
      </c>
      <c r="D719" s="2" t="s">
        <v>373</v>
      </c>
      <c r="E719" s="2">
        <v>4</v>
      </c>
      <c r="F719" s="2">
        <v>29.233239999999999</v>
      </c>
      <c r="G719" s="2">
        <v>-83.141400000000004</v>
      </c>
      <c r="H719" s="2" t="s">
        <v>34</v>
      </c>
      <c r="I719" s="2" t="s">
        <v>46</v>
      </c>
      <c r="J719" s="2" t="s">
        <v>34</v>
      </c>
      <c r="K719" s="2" t="s">
        <v>34</v>
      </c>
      <c r="L719" s="2" t="s">
        <v>34</v>
      </c>
      <c r="M719" s="2" t="s">
        <v>34</v>
      </c>
      <c r="N719" s="2" t="s">
        <v>34</v>
      </c>
      <c r="O719" s="2" t="s">
        <v>34</v>
      </c>
      <c r="P719" s="3">
        <v>45016</v>
      </c>
      <c r="Q719" s="3">
        <v>45078</v>
      </c>
      <c r="R719" s="2" t="s">
        <v>374</v>
      </c>
      <c r="S719" s="2" t="s">
        <v>70</v>
      </c>
    </row>
    <row r="720" spans="1:19" hidden="1" x14ac:dyDescent="0.25">
      <c r="A720" s="2" t="s">
        <v>375</v>
      </c>
      <c r="B720" s="2" t="s">
        <v>67</v>
      </c>
      <c r="C720" s="2" t="s">
        <v>77</v>
      </c>
      <c r="D720" s="2" t="s">
        <v>376</v>
      </c>
      <c r="E720" s="2">
        <v>21</v>
      </c>
      <c r="F720" s="2">
        <v>29.23096</v>
      </c>
      <c r="G720" s="2">
        <v>-83.137690000000006</v>
      </c>
      <c r="H720" s="2" t="s">
        <v>34</v>
      </c>
      <c r="I720" s="2" t="s">
        <v>46</v>
      </c>
      <c r="J720" s="2" t="s">
        <v>34</v>
      </c>
      <c r="K720" s="2" t="s">
        <v>34</v>
      </c>
      <c r="L720" s="2" t="s">
        <v>34</v>
      </c>
      <c r="M720" s="2" t="s">
        <v>34</v>
      </c>
      <c r="N720" s="2" t="s">
        <v>34</v>
      </c>
      <c r="O720" s="2" t="s">
        <v>34</v>
      </c>
      <c r="P720" s="3">
        <v>45016</v>
      </c>
      <c r="Q720" s="3">
        <v>45078</v>
      </c>
      <c r="R720" s="2" t="s">
        <v>377</v>
      </c>
      <c r="S720" s="2" t="s">
        <v>70</v>
      </c>
    </row>
    <row r="721" spans="1:19" hidden="1" x14ac:dyDescent="0.25">
      <c r="A721" s="2" t="s">
        <v>378</v>
      </c>
      <c r="B721" s="2" t="s">
        <v>67</v>
      </c>
      <c r="C721" s="2" t="s">
        <v>77</v>
      </c>
      <c r="D721" s="2" t="s">
        <v>379</v>
      </c>
      <c r="E721" s="2">
        <v>302</v>
      </c>
      <c r="F721" s="2">
        <v>29.22926</v>
      </c>
      <c r="G721" s="2">
        <v>-83.136030000000005</v>
      </c>
      <c r="H721" s="2" t="s">
        <v>34</v>
      </c>
      <c r="I721" s="2" t="s">
        <v>46</v>
      </c>
      <c r="J721" s="2" t="s">
        <v>34</v>
      </c>
      <c r="K721" s="2" t="s">
        <v>34</v>
      </c>
      <c r="L721" s="2" t="s">
        <v>34</v>
      </c>
      <c r="M721" s="2" t="s">
        <v>34</v>
      </c>
      <c r="N721" s="2" t="s">
        <v>34</v>
      </c>
      <c r="O721" s="2" t="s">
        <v>34</v>
      </c>
      <c r="P721" s="3">
        <v>45016</v>
      </c>
      <c r="Q721" s="3">
        <v>45078</v>
      </c>
      <c r="R721" s="2" t="s">
        <v>380</v>
      </c>
      <c r="S721" s="2" t="s">
        <v>70</v>
      </c>
    </row>
    <row r="722" spans="1:19" hidden="1" x14ac:dyDescent="0.25">
      <c r="A722" s="2" t="s">
        <v>381</v>
      </c>
      <c r="B722" s="2" t="s">
        <v>67</v>
      </c>
      <c r="C722" s="2" t="s">
        <v>77</v>
      </c>
      <c r="D722" s="2" t="s">
        <v>382</v>
      </c>
      <c r="E722" s="2">
        <v>3</v>
      </c>
      <c r="F722" s="2">
        <v>29.22728</v>
      </c>
      <c r="G722" s="2">
        <v>-83.134159999999994</v>
      </c>
      <c r="H722" s="2" t="s">
        <v>34</v>
      </c>
      <c r="I722" s="2" t="s">
        <v>46</v>
      </c>
      <c r="J722" s="2" t="s">
        <v>34</v>
      </c>
      <c r="K722" s="2" t="s">
        <v>34</v>
      </c>
      <c r="L722" s="2" t="s">
        <v>34</v>
      </c>
      <c r="M722" s="2" t="s">
        <v>34</v>
      </c>
      <c r="N722" s="2" t="s">
        <v>34</v>
      </c>
      <c r="O722" s="2" t="s">
        <v>34</v>
      </c>
      <c r="P722" s="3">
        <v>45016</v>
      </c>
      <c r="Q722" s="3">
        <v>45078</v>
      </c>
      <c r="R722" s="2" t="s">
        <v>383</v>
      </c>
      <c r="S722" s="2" t="s">
        <v>70</v>
      </c>
    </row>
    <row r="723" spans="1:19" hidden="1" x14ac:dyDescent="0.25">
      <c r="A723" s="2" t="s">
        <v>384</v>
      </c>
      <c r="B723" s="2" t="s">
        <v>67</v>
      </c>
      <c r="C723" s="2" t="s">
        <v>86</v>
      </c>
      <c r="D723" s="2" t="s">
        <v>385</v>
      </c>
      <c r="E723" s="2">
        <v>502</v>
      </c>
      <c r="F723" s="2">
        <v>29.222899999999999</v>
      </c>
      <c r="G723" s="2">
        <v>-83.130690000000001</v>
      </c>
      <c r="H723" s="2" t="s">
        <v>34</v>
      </c>
      <c r="I723" s="2" t="s">
        <v>46</v>
      </c>
      <c r="J723" s="2" t="s">
        <v>34</v>
      </c>
      <c r="K723" s="2" t="s">
        <v>34</v>
      </c>
      <c r="L723" s="2" t="s">
        <v>34</v>
      </c>
      <c r="M723" s="2" t="s">
        <v>34</v>
      </c>
      <c r="N723" s="2" t="s">
        <v>34</v>
      </c>
      <c r="O723" s="2" t="s">
        <v>34</v>
      </c>
      <c r="P723" s="3">
        <v>45016</v>
      </c>
      <c r="Q723" s="3">
        <v>45078</v>
      </c>
      <c r="R723" s="2" t="s">
        <v>386</v>
      </c>
      <c r="S723" s="2" t="s">
        <v>70</v>
      </c>
    </row>
    <row r="724" spans="1:19" hidden="1" x14ac:dyDescent="0.25">
      <c r="A724" s="2" t="s">
        <v>387</v>
      </c>
      <c r="B724" s="2" t="s">
        <v>67</v>
      </c>
      <c r="C724" s="2" t="s">
        <v>86</v>
      </c>
      <c r="D724" s="2" t="s">
        <v>388</v>
      </c>
      <c r="E724" s="2">
        <v>5</v>
      </c>
      <c r="F724" s="2">
        <v>29.22138</v>
      </c>
      <c r="G724" s="2">
        <v>-83.129270000000005</v>
      </c>
      <c r="H724" s="2" t="s">
        <v>34</v>
      </c>
      <c r="I724" s="2" t="s">
        <v>46</v>
      </c>
      <c r="J724" s="2" t="s">
        <v>34</v>
      </c>
      <c r="K724" s="2" t="s">
        <v>34</v>
      </c>
      <c r="L724" s="2" t="s">
        <v>34</v>
      </c>
      <c r="M724" s="2" t="s">
        <v>34</v>
      </c>
      <c r="N724" s="2" t="s">
        <v>34</v>
      </c>
      <c r="O724" s="2" t="s">
        <v>34</v>
      </c>
      <c r="P724" s="3">
        <v>45016</v>
      </c>
      <c r="Q724" s="3">
        <v>45078</v>
      </c>
      <c r="R724" s="2" t="s">
        <v>389</v>
      </c>
      <c r="S724" s="2" t="s">
        <v>70</v>
      </c>
    </row>
    <row r="725" spans="1:19" hidden="1" x14ac:dyDescent="0.25">
      <c r="A725" s="2" t="s">
        <v>390</v>
      </c>
      <c r="B725" s="2" t="s">
        <v>67</v>
      </c>
      <c r="C725" s="2" t="s">
        <v>86</v>
      </c>
      <c r="D725" s="2" t="s">
        <v>391</v>
      </c>
      <c r="E725" s="2">
        <v>16</v>
      </c>
      <c r="F725" s="2">
        <v>29.20243</v>
      </c>
      <c r="G725" s="2">
        <v>-83.108230000000006</v>
      </c>
      <c r="H725" s="2" t="s">
        <v>34</v>
      </c>
      <c r="I725" s="2" t="s">
        <v>46</v>
      </c>
      <c r="J725" s="2" t="s">
        <v>34</v>
      </c>
      <c r="K725" s="2" t="s">
        <v>34</v>
      </c>
      <c r="L725" s="2" t="s">
        <v>34</v>
      </c>
      <c r="M725" s="2" t="s">
        <v>34</v>
      </c>
      <c r="N725" s="2" t="s">
        <v>34</v>
      </c>
      <c r="O725" s="2" t="s">
        <v>34</v>
      </c>
      <c r="P725" s="3">
        <v>45016</v>
      </c>
      <c r="Q725" s="3">
        <v>45078</v>
      </c>
      <c r="R725" s="2" t="s">
        <v>392</v>
      </c>
      <c r="S725" s="2" t="s">
        <v>70</v>
      </c>
    </row>
    <row r="726" spans="1:19" hidden="1" x14ac:dyDescent="0.25">
      <c r="A726" s="2" t="s">
        <v>393</v>
      </c>
      <c r="B726" s="2" t="s">
        <v>67</v>
      </c>
      <c r="C726" s="2" t="s">
        <v>86</v>
      </c>
      <c r="D726" s="2" t="s">
        <v>394</v>
      </c>
      <c r="E726" s="2">
        <v>12</v>
      </c>
      <c r="F726" s="2">
        <v>29.208300000000001</v>
      </c>
      <c r="G726" s="2">
        <v>-83.117199999999997</v>
      </c>
      <c r="H726" s="2" t="s">
        <v>34</v>
      </c>
      <c r="I726" s="2" t="s">
        <v>46</v>
      </c>
      <c r="J726" s="2" t="s">
        <v>34</v>
      </c>
      <c r="K726" s="2" t="s">
        <v>34</v>
      </c>
      <c r="L726" s="2" t="s">
        <v>34</v>
      </c>
      <c r="M726" s="2" t="s">
        <v>34</v>
      </c>
      <c r="N726" s="2" t="s">
        <v>34</v>
      </c>
      <c r="O726" s="2" t="s">
        <v>34</v>
      </c>
      <c r="P726" s="3">
        <v>45016</v>
      </c>
      <c r="Q726" s="3">
        <v>45078</v>
      </c>
      <c r="R726" s="2" t="s">
        <v>395</v>
      </c>
      <c r="S726" s="2" t="s">
        <v>70</v>
      </c>
    </row>
    <row r="727" spans="1:19" hidden="1" x14ac:dyDescent="0.25">
      <c r="A727" s="2" t="s">
        <v>396</v>
      </c>
      <c r="B727" s="2" t="s">
        <v>67</v>
      </c>
      <c r="C727" s="2" t="s">
        <v>86</v>
      </c>
      <c r="D727" s="2" t="s">
        <v>397</v>
      </c>
      <c r="E727" s="2">
        <v>19</v>
      </c>
      <c r="F727" s="2">
        <v>29.218240000000002</v>
      </c>
      <c r="G727" s="2">
        <v>-83.126829999999998</v>
      </c>
      <c r="H727" s="2" t="s">
        <v>34</v>
      </c>
      <c r="I727" s="2" t="s">
        <v>46</v>
      </c>
      <c r="J727" s="2" t="s">
        <v>34</v>
      </c>
      <c r="K727" s="2" t="s">
        <v>34</v>
      </c>
      <c r="L727" s="2" t="s">
        <v>34</v>
      </c>
      <c r="M727" s="2" t="s">
        <v>34</v>
      </c>
      <c r="N727" s="2" t="s">
        <v>34</v>
      </c>
      <c r="O727" s="2" t="s">
        <v>34</v>
      </c>
      <c r="P727" s="3">
        <v>45016</v>
      </c>
      <c r="Q727" s="3">
        <v>45078</v>
      </c>
      <c r="R727" s="2" t="s">
        <v>398</v>
      </c>
      <c r="S727" s="2" t="s">
        <v>70</v>
      </c>
    </row>
    <row r="728" spans="1:19" hidden="1" x14ac:dyDescent="0.25">
      <c r="A728" s="2" t="s">
        <v>399</v>
      </c>
      <c r="B728" s="2" t="s">
        <v>67</v>
      </c>
      <c r="C728" s="2" t="s">
        <v>77</v>
      </c>
      <c r="D728" s="2" t="s">
        <v>400</v>
      </c>
      <c r="E728" s="2">
        <v>2</v>
      </c>
      <c r="F728" s="2">
        <v>29.274940000000001</v>
      </c>
      <c r="G728" s="2">
        <v>-83.127939999999995</v>
      </c>
      <c r="H728" s="2" t="s">
        <v>34</v>
      </c>
      <c r="I728" s="2" t="s">
        <v>46</v>
      </c>
      <c r="J728" s="2" t="s">
        <v>34</v>
      </c>
      <c r="K728" s="2" t="s">
        <v>34</v>
      </c>
      <c r="L728" s="2" t="s">
        <v>34</v>
      </c>
      <c r="M728" s="2" t="s">
        <v>34</v>
      </c>
      <c r="N728" s="2" t="s">
        <v>34</v>
      </c>
      <c r="O728" s="2" t="s">
        <v>34</v>
      </c>
      <c r="P728" s="3">
        <v>45016</v>
      </c>
      <c r="Q728" s="3">
        <v>45078</v>
      </c>
      <c r="R728" s="2" t="s">
        <v>401</v>
      </c>
      <c r="S728" s="2" t="s">
        <v>70</v>
      </c>
    </row>
    <row r="729" spans="1:19" hidden="1" x14ac:dyDescent="0.25">
      <c r="A729" s="2" t="s">
        <v>402</v>
      </c>
      <c r="B729" s="2" t="s">
        <v>67</v>
      </c>
      <c r="C729" s="2" t="s">
        <v>77</v>
      </c>
      <c r="D729" s="2" t="s">
        <v>403</v>
      </c>
      <c r="E729" s="2">
        <v>202</v>
      </c>
      <c r="F729" s="2">
        <v>29.27553</v>
      </c>
      <c r="G729" s="2">
        <v>-83.126090000000005</v>
      </c>
      <c r="H729" s="2" t="s">
        <v>34</v>
      </c>
      <c r="I729" s="2" t="s">
        <v>46</v>
      </c>
      <c r="J729" s="2" t="s">
        <v>34</v>
      </c>
      <c r="K729" s="2" t="s">
        <v>34</v>
      </c>
      <c r="L729" s="2" t="s">
        <v>34</v>
      </c>
      <c r="M729" s="2" t="s">
        <v>34</v>
      </c>
      <c r="N729" s="2" t="s">
        <v>34</v>
      </c>
      <c r="O729" s="2" t="s">
        <v>34</v>
      </c>
      <c r="P729" s="3">
        <v>45016</v>
      </c>
      <c r="Q729" s="3">
        <v>45078</v>
      </c>
      <c r="R729" s="2" t="s">
        <v>404</v>
      </c>
      <c r="S729" s="2" t="s">
        <v>70</v>
      </c>
    </row>
    <row r="730" spans="1:19" hidden="1" x14ac:dyDescent="0.25">
      <c r="A730" s="2" t="s">
        <v>405</v>
      </c>
      <c r="B730" s="2" t="s">
        <v>67</v>
      </c>
      <c r="C730" s="2" t="s">
        <v>77</v>
      </c>
      <c r="D730" s="2" t="s">
        <v>406</v>
      </c>
      <c r="E730" s="2">
        <v>28</v>
      </c>
      <c r="F730" s="2">
        <v>29.286370000000002</v>
      </c>
      <c r="G730" s="2">
        <v>-83.165800000000004</v>
      </c>
      <c r="H730" s="2" t="s">
        <v>34</v>
      </c>
      <c r="I730" s="2" t="s">
        <v>46</v>
      </c>
      <c r="J730" s="2" t="s">
        <v>34</v>
      </c>
      <c r="K730" s="2" t="s">
        <v>34</v>
      </c>
      <c r="L730" s="2" t="s">
        <v>34</v>
      </c>
      <c r="M730" s="2" t="s">
        <v>34</v>
      </c>
      <c r="N730" s="2" t="s">
        <v>34</v>
      </c>
      <c r="O730" s="2" t="s">
        <v>34</v>
      </c>
      <c r="P730" s="3">
        <v>45016</v>
      </c>
      <c r="Q730" s="3">
        <v>45078</v>
      </c>
      <c r="R730" s="2" t="s">
        <v>407</v>
      </c>
      <c r="S730" s="2" t="s">
        <v>70</v>
      </c>
    </row>
    <row r="731" spans="1:19" hidden="1" x14ac:dyDescent="0.25">
      <c r="A731" s="2" t="s">
        <v>408</v>
      </c>
      <c r="B731" s="2" t="s">
        <v>67</v>
      </c>
      <c r="C731" s="2" t="s">
        <v>77</v>
      </c>
      <c r="D731" s="2" t="s">
        <v>409</v>
      </c>
      <c r="E731" s="2">
        <v>18</v>
      </c>
      <c r="F731" s="2">
        <v>29.281590000000001</v>
      </c>
      <c r="G731" s="2">
        <v>-83.159490000000005</v>
      </c>
      <c r="H731" s="2" t="s">
        <v>34</v>
      </c>
      <c r="I731" s="2" t="s">
        <v>46</v>
      </c>
      <c r="J731" s="2" t="s">
        <v>34</v>
      </c>
      <c r="K731" s="2" t="s">
        <v>34</v>
      </c>
      <c r="L731" s="2" t="s">
        <v>34</v>
      </c>
      <c r="M731" s="2" t="s">
        <v>34</v>
      </c>
      <c r="N731" s="2" t="s">
        <v>34</v>
      </c>
      <c r="O731" s="2" t="s">
        <v>34</v>
      </c>
      <c r="P731" s="3">
        <v>45016</v>
      </c>
      <c r="Q731" s="3">
        <v>45078</v>
      </c>
      <c r="R731" s="2" t="s">
        <v>410</v>
      </c>
      <c r="S731" s="2" t="s">
        <v>70</v>
      </c>
    </row>
    <row r="732" spans="1:19" hidden="1" x14ac:dyDescent="0.25">
      <c r="A732" s="2" t="s">
        <v>411</v>
      </c>
      <c r="B732" s="2" t="s">
        <v>67</v>
      </c>
      <c r="C732" s="2" t="s">
        <v>77</v>
      </c>
      <c r="D732" s="2" t="s">
        <v>412</v>
      </c>
      <c r="E732" s="2">
        <v>13</v>
      </c>
      <c r="F732" s="2">
        <v>29.279299999999999</v>
      </c>
      <c r="G732" s="2">
        <v>-83.155829999999995</v>
      </c>
      <c r="H732" s="2" t="s">
        <v>34</v>
      </c>
      <c r="I732" s="2" t="s">
        <v>46</v>
      </c>
      <c r="J732" s="2" t="s">
        <v>34</v>
      </c>
      <c r="K732" s="2" t="s">
        <v>34</v>
      </c>
      <c r="L732" s="2" t="s">
        <v>34</v>
      </c>
      <c r="M732" s="2" t="s">
        <v>34</v>
      </c>
      <c r="N732" s="2" t="s">
        <v>34</v>
      </c>
      <c r="O732" s="2" t="s">
        <v>34</v>
      </c>
      <c r="P732" s="3">
        <v>45016</v>
      </c>
      <c r="Q732" s="3">
        <v>45078</v>
      </c>
      <c r="R732" s="2" t="s">
        <v>413</v>
      </c>
      <c r="S732" s="2" t="s">
        <v>70</v>
      </c>
    </row>
    <row r="733" spans="1:19" hidden="1" x14ac:dyDescent="0.25">
      <c r="A733" s="2" t="s">
        <v>414</v>
      </c>
      <c r="B733" s="2" t="s">
        <v>67</v>
      </c>
      <c r="C733" s="2" t="s">
        <v>77</v>
      </c>
      <c r="D733" s="2" t="s">
        <v>415</v>
      </c>
      <c r="E733" s="2">
        <v>17</v>
      </c>
      <c r="F733" s="2">
        <v>29.280909999999999</v>
      </c>
      <c r="G733" s="2">
        <v>-83.155159999999995</v>
      </c>
      <c r="H733" s="2" t="s">
        <v>34</v>
      </c>
      <c r="I733" s="2" t="s">
        <v>46</v>
      </c>
      <c r="J733" s="2" t="s">
        <v>34</v>
      </c>
      <c r="K733" s="2" t="s">
        <v>34</v>
      </c>
      <c r="L733" s="2" t="s">
        <v>34</v>
      </c>
      <c r="M733" s="2" t="s">
        <v>34</v>
      </c>
      <c r="N733" s="2" t="s">
        <v>34</v>
      </c>
      <c r="O733" s="2" t="s">
        <v>34</v>
      </c>
      <c r="P733" s="3">
        <v>45016</v>
      </c>
      <c r="Q733" s="3">
        <v>45078</v>
      </c>
      <c r="R733" s="2" t="s">
        <v>416</v>
      </c>
      <c r="S733" s="2" t="s">
        <v>70</v>
      </c>
    </row>
    <row r="734" spans="1:19" hidden="1" x14ac:dyDescent="0.25">
      <c r="A734" s="2" t="s">
        <v>417</v>
      </c>
      <c r="B734" s="2" t="s">
        <v>67</v>
      </c>
      <c r="C734" s="2" t="s">
        <v>77</v>
      </c>
      <c r="D734" s="2" t="s">
        <v>418</v>
      </c>
      <c r="E734" s="2">
        <v>20</v>
      </c>
      <c r="F734" s="2">
        <v>29.279689999999999</v>
      </c>
      <c r="G734" s="2">
        <v>-83.150149999999996</v>
      </c>
      <c r="H734" s="2" t="s">
        <v>34</v>
      </c>
      <c r="I734" s="2" t="s">
        <v>46</v>
      </c>
      <c r="J734" s="2" t="s">
        <v>34</v>
      </c>
      <c r="K734" s="2" t="s">
        <v>34</v>
      </c>
      <c r="L734" s="2" t="s">
        <v>34</v>
      </c>
      <c r="M734" s="2" t="s">
        <v>34</v>
      </c>
      <c r="N734" s="2" t="s">
        <v>34</v>
      </c>
      <c r="O734" s="2" t="s">
        <v>34</v>
      </c>
      <c r="P734" s="3">
        <v>45016</v>
      </c>
      <c r="Q734" s="3">
        <v>45078</v>
      </c>
      <c r="R734" s="2" t="s">
        <v>419</v>
      </c>
      <c r="S734" s="2" t="s">
        <v>70</v>
      </c>
    </row>
    <row r="735" spans="1:19" hidden="1" x14ac:dyDescent="0.25">
      <c r="A735" s="2" t="s">
        <v>420</v>
      </c>
      <c r="B735" s="2" t="s">
        <v>67</v>
      </c>
      <c r="C735" s="2" t="s">
        <v>77</v>
      </c>
      <c r="D735" s="2" t="s">
        <v>421</v>
      </c>
      <c r="E735" s="2">
        <v>26</v>
      </c>
      <c r="F735" s="2">
        <v>29.25901</v>
      </c>
      <c r="G735" s="2">
        <v>-83.110190000000003</v>
      </c>
      <c r="H735" s="2" t="s">
        <v>34</v>
      </c>
      <c r="I735" s="2" t="s">
        <v>46</v>
      </c>
      <c r="J735" s="2" t="s">
        <v>34</v>
      </c>
      <c r="K735" s="2" t="s">
        <v>34</v>
      </c>
      <c r="L735" s="2" t="s">
        <v>34</v>
      </c>
      <c r="M735" s="2" t="s">
        <v>34</v>
      </c>
      <c r="N735" s="2" t="s">
        <v>34</v>
      </c>
      <c r="O735" s="2" t="s">
        <v>34</v>
      </c>
      <c r="P735" s="3">
        <v>45016</v>
      </c>
      <c r="Q735" s="3">
        <v>45078</v>
      </c>
      <c r="R735" s="2" t="s">
        <v>422</v>
      </c>
      <c r="S735" s="2" t="s">
        <v>70</v>
      </c>
    </row>
    <row r="736" spans="1:19" hidden="1" x14ac:dyDescent="0.25">
      <c r="A736" s="2" t="s">
        <v>423</v>
      </c>
      <c r="B736" s="2" t="s">
        <v>67</v>
      </c>
      <c r="C736" s="2" t="s">
        <v>77</v>
      </c>
      <c r="D736" s="2" t="s">
        <v>424</v>
      </c>
      <c r="E736" s="2">
        <v>1</v>
      </c>
      <c r="F736" s="2">
        <v>29.263999999999999</v>
      </c>
      <c r="G736" s="2">
        <v>-83.113380000000006</v>
      </c>
      <c r="H736" s="2" t="s">
        <v>34</v>
      </c>
      <c r="I736" s="2" t="s">
        <v>46</v>
      </c>
      <c r="J736" s="2" t="s">
        <v>34</v>
      </c>
      <c r="K736" s="2" t="s">
        <v>34</v>
      </c>
      <c r="L736" s="2" t="s">
        <v>34</v>
      </c>
      <c r="M736" s="2" t="s">
        <v>34</v>
      </c>
      <c r="N736" s="2" t="s">
        <v>34</v>
      </c>
      <c r="O736" s="2" t="s">
        <v>34</v>
      </c>
      <c r="P736" s="3">
        <v>45016</v>
      </c>
      <c r="Q736" s="3">
        <v>45078</v>
      </c>
      <c r="R736" s="2" t="s">
        <v>425</v>
      </c>
      <c r="S736" s="2" t="s">
        <v>70</v>
      </c>
    </row>
    <row r="737" spans="1:19" hidden="1" x14ac:dyDescent="0.25">
      <c r="A737" s="2" t="s">
        <v>426</v>
      </c>
      <c r="B737" s="2" t="s">
        <v>67</v>
      </c>
      <c r="C737" s="2" t="s">
        <v>77</v>
      </c>
      <c r="D737" s="2" t="s">
        <v>427</v>
      </c>
      <c r="E737" s="2">
        <v>23</v>
      </c>
      <c r="F737" s="2">
        <v>29.26042</v>
      </c>
      <c r="G737" s="2">
        <v>-83.109459999999999</v>
      </c>
      <c r="H737" s="2" t="s">
        <v>34</v>
      </c>
      <c r="I737" s="2" t="s">
        <v>46</v>
      </c>
      <c r="J737" s="2" t="s">
        <v>34</v>
      </c>
      <c r="K737" s="2" t="s">
        <v>34</v>
      </c>
      <c r="L737" s="2" t="s">
        <v>34</v>
      </c>
      <c r="M737" s="2" t="s">
        <v>34</v>
      </c>
      <c r="N737" s="2" t="s">
        <v>34</v>
      </c>
      <c r="O737" s="2" t="s">
        <v>34</v>
      </c>
      <c r="P737" s="3">
        <v>45016</v>
      </c>
      <c r="Q737" s="3">
        <v>45078</v>
      </c>
      <c r="R737" s="2" t="s">
        <v>428</v>
      </c>
      <c r="S737" s="2" t="s">
        <v>70</v>
      </c>
    </row>
    <row r="738" spans="1:19" hidden="1" x14ac:dyDescent="0.25">
      <c r="A738" s="2" t="s">
        <v>429</v>
      </c>
      <c r="B738" s="2" t="s">
        <v>67</v>
      </c>
      <c r="C738" s="2" t="s">
        <v>77</v>
      </c>
      <c r="D738" s="2" t="s">
        <v>430</v>
      </c>
      <c r="E738" s="2">
        <v>6</v>
      </c>
      <c r="F738" s="2">
        <v>29.26305</v>
      </c>
      <c r="G738" s="2">
        <v>-83.104810000000001</v>
      </c>
      <c r="H738" s="2" t="s">
        <v>34</v>
      </c>
      <c r="I738" s="2" t="s">
        <v>46</v>
      </c>
      <c r="J738" s="2" t="s">
        <v>34</v>
      </c>
      <c r="K738" s="2" t="s">
        <v>34</v>
      </c>
      <c r="L738" s="2" t="s">
        <v>34</v>
      </c>
      <c r="M738" s="2" t="s">
        <v>34</v>
      </c>
      <c r="N738" s="2" t="s">
        <v>34</v>
      </c>
      <c r="O738" s="2" t="s">
        <v>34</v>
      </c>
      <c r="P738" s="3">
        <v>45016</v>
      </c>
      <c r="Q738" s="3">
        <v>45078</v>
      </c>
      <c r="R738" s="2" t="s">
        <v>431</v>
      </c>
      <c r="S738" s="2" t="s">
        <v>70</v>
      </c>
    </row>
    <row r="739" spans="1:19" hidden="1" x14ac:dyDescent="0.25">
      <c r="A739" s="2" t="s">
        <v>432</v>
      </c>
      <c r="B739" s="2" t="s">
        <v>67</v>
      </c>
      <c r="C739" s="2" t="s">
        <v>77</v>
      </c>
      <c r="D739" s="2" t="s">
        <v>433</v>
      </c>
      <c r="E739" s="2">
        <v>102</v>
      </c>
      <c r="F739" s="2">
        <v>29.264749999999999</v>
      </c>
      <c r="G739" s="2">
        <v>-83.11054</v>
      </c>
      <c r="H739" s="2" t="s">
        <v>34</v>
      </c>
      <c r="I739" s="2" t="s">
        <v>46</v>
      </c>
      <c r="J739" s="2" t="s">
        <v>34</v>
      </c>
      <c r="K739" s="2" t="s">
        <v>34</v>
      </c>
      <c r="L739" s="2" t="s">
        <v>34</v>
      </c>
      <c r="M739" s="2" t="s">
        <v>34</v>
      </c>
      <c r="N739" s="2" t="s">
        <v>34</v>
      </c>
      <c r="O739" s="2" t="s">
        <v>34</v>
      </c>
      <c r="P739" s="3">
        <v>45016</v>
      </c>
      <c r="Q739" s="3">
        <v>45078</v>
      </c>
      <c r="R739" s="2" t="s">
        <v>434</v>
      </c>
      <c r="S739" s="2" t="s">
        <v>70</v>
      </c>
    </row>
    <row r="740" spans="1:19" hidden="1" x14ac:dyDescent="0.25">
      <c r="A740" s="2" t="s">
        <v>435</v>
      </c>
      <c r="B740" s="2" t="s">
        <v>67</v>
      </c>
      <c r="C740" s="2" t="s">
        <v>77</v>
      </c>
      <c r="D740" s="2" t="s">
        <v>436</v>
      </c>
      <c r="E740" s="2">
        <v>8</v>
      </c>
      <c r="F740" s="2">
        <v>29.267610000000001</v>
      </c>
      <c r="G740" s="2">
        <v>-83.107860000000002</v>
      </c>
      <c r="H740" s="2" t="s">
        <v>34</v>
      </c>
      <c r="I740" s="2" t="s">
        <v>46</v>
      </c>
      <c r="J740" s="2" t="s">
        <v>34</v>
      </c>
      <c r="K740" s="2" t="s">
        <v>34</v>
      </c>
      <c r="L740" s="2" t="s">
        <v>34</v>
      </c>
      <c r="M740" s="2" t="s">
        <v>34</v>
      </c>
      <c r="N740" s="2" t="s">
        <v>34</v>
      </c>
      <c r="O740" s="2" t="s">
        <v>34</v>
      </c>
      <c r="P740" s="3">
        <v>45016</v>
      </c>
      <c r="Q740" s="3">
        <v>45078</v>
      </c>
      <c r="R740" s="2" t="s">
        <v>437</v>
      </c>
      <c r="S740" s="2" t="s">
        <v>70</v>
      </c>
    </row>
    <row r="741" spans="1:19" hidden="1" x14ac:dyDescent="0.25">
      <c r="A741" s="2" t="s">
        <v>438</v>
      </c>
      <c r="B741" s="2" t="s">
        <v>67</v>
      </c>
      <c r="C741" s="2" t="s">
        <v>77</v>
      </c>
      <c r="D741" s="2" t="s">
        <v>439</v>
      </c>
      <c r="E741" s="2">
        <v>25</v>
      </c>
      <c r="F741" s="2">
        <v>29.269159999999999</v>
      </c>
      <c r="G741" s="2">
        <v>-83.112579999999994</v>
      </c>
      <c r="H741" s="2" t="s">
        <v>34</v>
      </c>
      <c r="I741" s="2" t="s">
        <v>46</v>
      </c>
      <c r="J741" s="2" t="s">
        <v>34</v>
      </c>
      <c r="K741" s="2" t="s">
        <v>34</v>
      </c>
      <c r="L741" s="2" t="s">
        <v>34</v>
      </c>
      <c r="M741" s="2" t="s">
        <v>34</v>
      </c>
      <c r="N741" s="2" t="s">
        <v>34</v>
      </c>
      <c r="O741" s="2" t="s">
        <v>34</v>
      </c>
      <c r="P741" s="3">
        <v>45016</v>
      </c>
      <c r="Q741" s="3">
        <v>45078</v>
      </c>
      <c r="R741" s="2" t="s">
        <v>440</v>
      </c>
      <c r="S741" s="2" t="s">
        <v>70</v>
      </c>
    </row>
    <row r="742" spans="1:19" hidden="1" x14ac:dyDescent="0.25">
      <c r="A742" s="2" t="s">
        <v>441</v>
      </c>
      <c r="B742" s="2" t="s">
        <v>67</v>
      </c>
      <c r="C742" s="2" t="s">
        <v>77</v>
      </c>
      <c r="D742" s="2" t="s">
        <v>442</v>
      </c>
      <c r="E742" s="2">
        <v>29</v>
      </c>
      <c r="F742" s="2">
        <v>29.270289999999999</v>
      </c>
      <c r="G742" s="2">
        <v>-83.109210000000004</v>
      </c>
      <c r="H742" s="2" t="s">
        <v>34</v>
      </c>
      <c r="I742" s="2" t="s">
        <v>46</v>
      </c>
      <c r="J742" s="2" t="s">
        <v>34</v>
      </c>
      <c r="K742" s="2" t="s">
        <v>34</v>
      </c>
      <c r="L742" s="2" t="s">
        <v>34</v>
      </c>
      <c r="M742" s="2" t="s">
        <v>34</v>
      </c>
      <c r="N742" s="2" t="s">
        <v>34</v>
      </c>
      <c r="O742" s="2" t="s">
        <v>34</v>
      </c>
      <c r="P742" s="3">
        <v>45016</v>
      </c>
      <c r="Q742" s="3">
        <v>45078</v>
      </c>
      <c r="R742" s="2" t="s">
        <v>443</v>
      </c>
      <c r="S742" s="2" t="s">
        <v>70</v>
      </c>
    </row>
    <row r="743" spans="1:19" hidden="1" x14ac:dyDescent="0.25">
      <c r="A743" s="2" t="s">
        <v>444</v>
      </c>
      <c r="B743" s="2" t="s">
        <v>67</v>
      </c>
      <c r="C743" s="2" t="s">
        <v>77</v>
      </c>
      <c r="D743" s="2" t="s">
        <v>445</v>
      </c>
      <c r="E743" s="2">
        <v>31</v>
      </c>
      <c r="F743" s="2">
        <v>29.271139999999999</v>
      </c>
      <c r="G743" s="2">
        <v>-83.108620000000002</v>
      </c>
      <c r="H743" s="2" t="s">
        <v>34</v>
      </c>
      <c r="I743" s="2" t="s">
        <v>46</v>
      </c>
      <c r="J743" s="2" t="s">
        <v>34</v>
      </c>
      <c r="K743" s="2" t="s">
        <v>34</v>
      </c>
      <c r="L743" s="2" t="s">
        <v>34</v>
      </c>
      <c r="M743" s="2" t="s">
        <v>34</v>
      </c>
      <c r="N743" s="2" t="s">
        <v>34</v>
      </c>
      <c r="O743" s="2" t="s">
        <v>34</v>
      </c>
      <c r="P743" s="3">
        <v>45016</v>
      </c>
      <c r="Q743" s="3">
        <v>45078</v>
      </c>
      <c r="R743" s="2" t="s">
        <v>446</v>
      </c>
      <c r="S743" s="2" t="s">
        <v>70</v>
      </c>
    </row>
    <row r="744" spans="1:19" hidden="1" x14ac:dyDescent="0.25">
      <c r="A744" s="2" t="s">
        <v>447</v>
      </c>
      <c r="B744" s="2" t="s">
        <v>67</v>
      </c>
      <c r="C744" s="2" t="s">
        <v>77</v>
      </c>
      <c r="D744" s="2" t="s">
        <v>448</v>
      </c>
      <c r="E744" s="2">
        <v>30</v>
      </c>
      <c r="F744" s="2">
        <v>29.271450000000002</v>
      </c>
      <c r="G744" s="2">
        <v>-83.110500000000002</v>
      </c>
      <c r="H744" s="2" t="s">
        <v>34</v>
      </c>
      <c r="I744" s="2" t="s">
        <v>46</v>
      </c>
      <c r="J744" s="2" t="s">
        <v>34</v>
      </c>
      <c r="K744" s="2" t="s">
        <v>34</v>
      </c>
      <c r="L744" s="2" t="s">
        <v>34</v>
      </c>
      <c r="M744" s="2" t="s">
        <v>34</v>
      </c>
      <c r="N744" s="2" t="s">
        <v>34</v>
      </c>
      <c r="O744" s="2" t="s">
        <v>34</v>
      </c>
      <c r="P744" s="3">
        <v>45016</v>
      </c>
      <c r="Q744" s="3">
        <v>45078</v>
      </c>
      <c r="R744" s="2" t="s">
        <v>449</v>
      </c>
      <c r="S744" s="2" t="s">
        <v>70</v>
      </c>
    </row>
    <row r="745" spans="1:19" hidden="1" x14ac:dyDescent="0.25">
      <c r="A745" s="2" t="s">
        <v>450</v>
      </c>
      <c r="B745" s="2" t="s">
        <v>67</v>
      </c>
      <c r="C745" s="2" t="s">
        <v>77</v>
      </c>
      <c r="D745" s="2" t="s">
        <v>451</v>
      </c>
      <c r="E745" s="2">
        <v>27</v>
      </c>
      <c r="F745" s="2">
        <v>29.272290000000002</v>
      </c>
      <c r="G745" s="2">
        <v>-83.111800000000002</v>
      </c>
      <c r="H745" s="2" t="s">
        <v>34</v>
      </c>
      <c r="I745" s="2" t="s">
        <v>46</v>
      </c>
      <c r="J745" s="2" t="s">
        <v>34</v>
      </c>
      <c r="K745" s="2" t="s">
        <v>34</v>
      </c>
      <c r="L745" s="2" t="s">
        <v>34</v>
      </c>
      <c r="M745" s="2" t="s">
        <v>34</v>
      </c>
      <c r="N745" s="2" t="s">
        <v>34</v>
      </c>
      <c r="O745" s="2" t="s">
        <v>34</v>
      </c>
      <c r="P745" s="3">
        <v>45016</v>
      </c>
      <c r="Q745" s="3">
        <v>45078</v>
      </c>
      <c r="R745" s="2" t="s">
        <v>452</v>
      </c>
      <c r="S745" s="2" t="s">
        <v>70</v>
      </c>
    </row>
    <row r="746" spans="1:19" hidden="1" x14ac:dyDescent="0.25">
      <c r="A746" s="2" t="s">
        <v>453</v>
      </c>
      <c r="B746" s="2" t="s">
        <v>67</v>
      </c>
      <c r="C746" s="2" t="s">
        <v>77</v>
      </c>
      <c r="D746" s="2" t="s">
        <v>454</v>
      </c>
      <c r="E746" s="2">
        <v>10</v>
      </c>
      <c r="F746" s="2">
        <v>29.274509999999999</v>
      </c>
      <c r="G746" s="2">
        <v>-83.112309999999994</v>
      </c>
      <c r="H746" s="2" t="s">
        <v>34</v>
      </c>
      <c r="I746" s="2" t="s">
        <v>46</v>
      </c>
      <c r="J746" s="2" t="s">
        <v>34</v>
      </c>
      <c r="K746" s="2" t="s">
        <v>34</v>
      </c>
      <c r="L746" s="2" t="s">
        <v>34</v>
      </c>
      <c r="M746" s="2" t="s">
        <v>34</v>
      </c>
      <c r="N746" s="2" t="s">
        <v>34</v>
      </c>
      <c r="O746" s="2" t="s">
        <v>34</v>
      </c>
      <c r="P746" s="3">
        <v>45016</v>
      </c>
      <c r="Q746" s="3">
        <v>45078</v>
      </c>
      <c r="R746" s="2" t="s">
        <v>455</v>
      </c>
      <c r="S746" s="2" t="s">
        <v>70</v>
      </c>
    </row>
    <row r="747" spans="1:19" hidden="1" x14ac:dyDescent="0.25">
      <c r="A747" s="2" t="s">
        <v>456</v>
      </c>
      <c r="B747" s="2" t="s">
        <v>67</v>
      </c>
      <c r="C747" s="2" t="s">
        <v>77</v>
      </c>
      <c r="D747" s="2" t="s">
        <v>457</v>
      </c>
      <c r="E747" s="2">
        <v>11</v>
      </c>
      <c r="F747" s="2">
        <v>29.277799999999999</v>
      </c>
      <c r="G747" s="2">
        <v>-83.111630000000005</v>
      </c>
      <c r="H747" s="2" t="s">
        <v>34</v>
      </c>
      <c r="I747" s="2" t="s">
        <v>46</v>
      </c>
      <c r="J747" s="2" t="s">
        <v>34</v>
      </c>
      <c r="K747" s="2" t="s">
        <v>34</v>
      </c>
      <c r="L747" s="2" t="s">
        <v>34</v>
      </c>
      <c r="M747" s="2" t="s">
        <v>34</v>
      </c>
      <c r="N747" s="2" t="s">
        <v>34</v>
      </c>
      <c r="O747" s="2" t="s">
        <v>34</v>
      </c>
      <c r="P747" s="3">
        <v>45016</v>
      </c>
      <c r="Q747" s="3">
        <v>45078</v>
      </c>
      <c r="R747" s="2" t="s">
        <v>458</v>
      </c>
      <c r="S747" s="2" t="s">
        <v>70</v>
      </c>
    </row>
    <row r="748" spans="1:19" hidden="1" x14ac:dyDescent="0.25">
      <c r="A748" s="2" t="s">
        <v>459</v>
      </c>
      <c r="B748" s="2" t="s">
        <v>67</v>
      </c>
      <c r="C748" s="2" t="s">
        <v>77</v>
      </c>
      <c r="D748" s="2" t="s">
        <v>460</v>
      </c>
      <c r="E748" s="2">
        <v>22</v>
      </c>
      <c r="F748" s="2">
        <v>29.300979999999999</v>
      </c>
      <c r="G748" s="2">
        <v>-83.180989999999994</v>
      </c>
      <c r="H748" s="2" t="s">
        <v>34</v>
      </c>
      <c r="I748" s="2" t="s">
        <v>46</v>
      </c>
      <c r="J748" s="2" t="s">
        <v>34</v>
      </c>
      <c r="K748" s="2" t="s">
        <v>34</v>
      </c>
      <c r="L748" s="2" t="s">
        <v>34</v>
      </c>
      <c r="M748" s="2" t="s">
        <v>34</v>
      </c>
      <c r="N748" s="2" t="s">
        <v>34</v>
      </c>
      <c r="O748" s="2" t="s">
        <v>34</v>
      </c>
      <c r="P748" s="3">
        <v>45016</v>
      </c>
      <c r="Q748" s="3">
        <v>45078</v>
      </c>
      <c r="R748" s="2" t="s">
        <v>461</v>
      </c>
      <c r="S748" s="2" t="s">
        <v>70</v>
      </c>
    </row>
    <row r="749" spans="1:19" hidden="1" x14ac:dyDescent="0.25">
      <c r="A749" s="2" t="s">
        <v>462</v>
      </c>
      <c r="B749" s="2" t="s">
        <v>67</v>
      </c>
      <c r="C749" s="2" t="s">
        <v>77</v>
      </c>
      <c r="D749" s="2" t="s">
        <v>463</v>
      </c>
      <c r="E749" s="2">
        <v>14</v>
      </c>
      <c r="F749" s="2">
        <v>29.288219999999999</v>
      </c>
      <c r="G749" s="2">
        <v>-83.172529999999995</v>
      </c>
      <c r="H749" s="2" t="s">
        <v>34</v>
      </c>
      <c r="I749" s="2" t="s">
        <v>46</v>
      </c>
      <c r="J749" s="2" t="s">
        <v>34</v>
      </c>
      <c r="K749" s="2" t="s">
        <v>34</v>
      </c>
      <c r="L749" s="2" t="s">
        <v>34</v>
      </c>
      <c r="M749" s="2" t="s">
        <v>34</v>
      </c>
      <c r="N749" s="2" t="s">
        <v>34</v>
      </c>
      <c r="O749" s="2" t="s">
        <v>34</v>
      </c>
      <c r="P749" s="3">
        <v>45016</v>
      </c>
      <c r="Q749" s="3">
        <v>45078</v>
      </c>
      <c r="R749" s="2" t="s">
        <v>464</v>
      </c>
      <c r="S749" s="2" t="s">
        <v>70</v>
      </c>
    </row>
    <row r="750" spans="1:19" x14ac:dyDescent="0.25">
      <c r="A750" s="2" t="s">
        <v>1569</v>
      </c>
      <c r="B750" s="2" t="s">
        <v>59</v>
      </c>
      <c r="C750" s="2" t="s">
        <v>1570</v>
      </c>
      <c r="D750" s="2" t="s">
        <v>1571</v>
      </c>
      <c r="E750" s="2">
        <v>9</v>
      </c>
      <c r="F750" s="2">
        <v>27.85417</v>
      </c>
      <c r="G750" s="2">
        <v>-82.377499999999998</v>
      </c>
      <c r="H750" s="2" t="s">
        <v>34</v>
      </c>
      <c r="I750" s="2" t="s">
        <v>46</v>
      </c>
      <c r="J750" s="2" t="s">
        <v>34</v>
      </c>
      <c r="K750" s="2" t="s">
        <v>34</v>
      </c>
      <c r="L750" s="2" t="s">
        <v>34</v>
      </c>
      <c r="M750" s="2" t="s">
        <v>34</v>
      </c>
      <c r="N750" s="2" t="s">
        <v>34</v>
      </c>
      <c r="O750" s="2" t="s">
        <v>34</v>
      </c>
      <c r="P750" s="3">
        <v>45077</v>
      </c>
      <c r="Q750" s="3">
        <v>45108</v>
      </c>
      <c r="R750" s="2" t="s">
        <v>1572</v>
      </c>
      <c r="S750" s="2" t="s">
        <v>63</v>
      </c>
    </row>
    <row r="751" spans="1:19" x14ac:dyDescent="0.25">
      <c r="A751" s="2" t="s">
        <v>1575</v>
      </c>
      <c r="B751" s="2" t="s">
        <v>59</v>
      </c>
      <c r="C751" s="2" t="s">
        <v>1570</v>
      </c>
      <c r="D751" s="2" t="s">
        <v>1576</v>
      </c>
      <c r="E751" s="2">
        <v>10</v>
      </c>
      <c r="F751" s="2">
        <v>27.855830000000001</v>
      </c>
      <c r="G751" s="2">
        <v>-82.379170000000002</v>
      </c>
      <c r="H751" s="2" t="s">
        <v>34</v>
      </c>
      <c r="I751" s="2" t="s">
        <v>46</v>
      </c>
      <c r="J751" s="2" t="s">
        <v>34</v>
      </c>
      <c r="K751" s="2" t="s">
        <v>34</v>
      </c>
      <c r="L751" s="2" t="s">
        <v>34</v>
      </c>
      <c r="M751" s="2" t="s">
        <v>34</v>
      </c>
      <c r="N751" s="2" t="s">
        <v>34</v>
      </c>
      <c r="O751" s="2" t="s">
        <v>34</v>
      </c>
      <c r="P751" s="3">
        <v>45077</v>
      </c>
      <c r="Q751" s="3">
        <v>45108</v>
      </c>
      <c r="R751" s="2" t="s">
        <v>1577</v>
      </c>
      <c r="S751" s="2" t="s">
        <v>63</v>
      </c>
    </row>
    <row r="752" spans="1:19" x14ac:dyDescent="0.25">
      <c r="A752" s="2" t="s">
        <v>1578</v>
      </c>
      <c r="B752" s="2" t="s">
        <v>59</v>
      </c>
      <c r="C752" s="2" t="s">
        <v>1570</v>
      </c>
      <c r="D752" s="2" t="s">
        <v>1579</v>
      </c>
      <c r="E752" s="2">
        <v>11</v>
      </c>
      <c r="F752" s="2">
        <v>27.855830000000001</v>
      </c>
      <c r="G752" s="2">
        <v>-82.377499999999998</v>
      </c>
      <c r="H752" s="2" t="s">
        <v>34</v>
      </c>
      <c r="I752" s="2" t="s">
        <v>46</v>
      </c>
      <c r="J752" s="2" t="s">
        <v>34</v>
      </c>
      <c r="K752" s="2" t="s">
        <v>34</v>
      </c>
      <c r="L752" s="2" t="s">
        <v>34</v>
      </c>
      <c r="M752" s="2" t="s">
        <v>34</v>
      </c>
      <c r="N752" s="2" t="s">
        <v>34</v>
      </c>
      <c r="O752" s="2" t="s">
        <v>34</v>
      </c>
      <c r="P752" s="3">
        <v>45077</v>
      </c>
      <c r="Q752" s="3">
        <v>45108</v>
      </c>
      <c r="R752" s="2" t="s">
        <v>1580</v>
      </c>
      <c r="S752" s="2" t="s">
        <v>63</v>
      </c>
    </row>
    <row r="753" spans="1:19" x14ac:dyDescent="0.25">
      <c r="A753" s="2" t="s">
        <v>1581</v>
      </c>
      <c r="B753" s="2" t="s">
        <v>59</v>
      </c>
      <c r="C753" s="2" t="s">
        <v>1570</v>
      </c>
      <c r="D753" s="2" t="s">
        <v>1582</v>
      </c>
      <c r="E753" s="2">
        <v>12</v>
      </c>
      <c r="F753" s="2">
        <v>27.86083</v>
      </c>
      <c r="G753" s="2">
        <v>-82.380830000000003</v>
      </c>
      <c r="H753" s="2" t="s">
        <v>34</v>
      </c>
      <c r="I753" s="2" t="s">
        <v>46</v>
      </c>
      <c r="J753" s="2" t="s">
        <v>34</v>
      </c>
      <c r="K753" s="2" t="s">
        <v>34</v>
      </c>
      <c r="L753" s="2" t="s">
        <v>34</v>
      </c>
      <c r="M753" s="2" t="s">
        <v>34</v>
      </c>
      <c r="N753" s="2" t="s">
        <v>34</v>
      </c>
      <c r="O753" s="2" t="s">
        <v>34</v>
      </c>
      <c r="P753" s="3">
        <v>45077</v>
      </c>
      <c r="Q753" s="3">
        <v>45108</v>
      </c>
      <c r="R753" s="2" t="s">
        <v>1583</v>
      </c>
      <c r="S753" s="2" t="s">
        <v>63</v>
      </c>
    </row>
    <row r="754" spans="1:19" x14ac:dyDescent="0.25">
      <c r="A754" s="2" t="s">
        <v>1584</v>
      </c>
      <c r="B754" s="2" t="s">
        <v>59</v>
      </c>
      <c r="C754" s="2" t="s">
        <v>1570</v>
      </c>
      <c r="D754" s="2" t="s">
        <v>1585</v>
      </c>
      <c r="E754" s="2">
        <v>13</v>
      </c>
      <c r="F754" s="2">
        <v>27.860800000000001</v>
      </c>
      <c r="G754" s="2">
        <v>-82.382900000000006</v>
      </c>
      <c r="H754" s="2" t="s">
        <v>34</v>
      </c>
      <c r="I754" s="2" t="s">
        <v>46</v>
      </c>
      <c r="J754" s="2" t="s">
        <v>34</v>
      </c>
      <c r="K754" s="2" t="s">
        <v>34</v>
      </c>
      <c r="L754" s="2" t="s">
        <v>34</v>
      </c>
      <c r="M754" s="2" t="s">
        <v>34</v>
      </c>
      <c r="N754" s="2" t="s">
        <v>34</v>
      </c>
      <c r="O754" s="2" t="s">
        <v>34</v>
      </c>
      <c r="P754" s="3">
        <v>45077</v>
      </c>
      <c r="Q754" s="3">
        <v>45108</v>
      </c>
      <c r="R754" s="2" t="s">
        <v>1586</v>
      </c>
      <c r="S754" s="2" t="s">
        <v>63</v>
      </c>
    </row>
    <row r="755" spans="1:19" x14ac:dyDescent="0.25">
      <c r="A755" s="2" t="s">
        <v>1587</v>
      </c>
      <c r="B755" s="2" t="s">
        <v>59</v>
      </c>
      <c r="C755" s="2" t="s">
        <v>1570</v>
      </c>
      <c r="D755" s="2" t="s">
        <v>1588</v>
      </c>
      <c r="E755" s="2">
        <v>14</v>
      </c>
      <c r="F755" s="2">
        <v>27.858419999999999</v>
      </c>
      <c r="G755" s="2">
        <v>-82.384190000000004</v>
      </c>
      <c r="H755" s="2" t="s">
        <v>34</v>
      </c>
      <c r="I755" s="2" t="s">
        <v>46</v>
      </c>
      <c r="J755" s="2" t="s">
        <v>34</v>
      </c>
      <c r="K755" s="2" t="s">
        <v>34</v>
      </c>
      <c r="L755" s="2" t="s">
        <v>34</v>
      </c>
      <c r="M755" s="2" t="s">
        <v>34</v>
      </c>
      <c r="N755" s="2" t="s">
        <v>34</v>
      </c>
      <c r="O755" s="2" t="s">
        <v>34</v>
      </c>
      <c r="P755" s="3">
        <v>45077</v>
      </c>
      <c r="Q755" s="3">
        <v>45108</v>
      </c>
      <c r="R755" s="2" t="s">
        <v>1589</v>
      </c>
      <c r="S755" s="2" t="s">
        <v>63</v>
      </c>
    </row>
    <row r="756" spans="1:19" x14ac:dyDescent="0.25">
      <c r="A756" s="2" t="s">
        <v>1590</v>
      </c>
      <c r="B756" s="2" t="s">
        <v>59</v>
      </c>
      <c r="C756" s="2" t="s">
        <v>1591</v>
      </c>
      <c r="D756" s="2" t="s">
        <v>1592</v>
      </c>
      <c r="E756" s="2">
        <v>15</v>
      </c>
      <c r="F756" s="2">
        <v>27.992599999999999</v>
      </c>
      <c r="G756" s="2">
        <v>-82.661259999999999</v>
      </c>
      <c r="H756" s="2" t="s">
        <v>34</v>
      </c>
      <c r="I756" s="2" t="s">
        <v>46</v>
      </c>
      <c r="J756" s="2" t="s">
        <v>34</v>
      </c>
      <c r="K756" s="2" t="s">
        <v>34</v>
      </c>
      <c r="L756" s="2" t="s">
        <v>34</v>
      </c>
      <c r="M756" s="2" t="s">
        <v>34</v>
      </c>
      <c r="N756" s="2" t="s">
        <v>34</v>
      </c>
      <c r="O756" s="2" t="s">
        <v>34</v>
      </c>
      <c r="P756" s="3">
        <v>45077</v>
      </c>
      <c r="Q756" s="3">
        <v>45108</v>
      </c>
      <c r="R756" s="2" t="s">
        <v>1593</v>
      </c>
      <c r="S756" s="2" t="s">
        <v>63</v>
      </c>
    </row>
    <row r="757" spans="1:19" x14ac:dyDescent="0.25">
      <c r="A757" s="2" t="s">
        <v>1594</v>
      </c>
      <c r="B757" s="2" t="s">
        <v>59</v>
      </c>
      <c r="C757" s="2" t="s">
        <v>1591</v>
      </c>
      <c r="D757" s="2" t="s">
        <v>1595</v>
      </c>
      <c r="E757" s="2">
        <v>16</v>
      </c>
      <c r="F757" s="2">
        <v>27.99</v>
      </c>
      <c r="G757" s="2">
        <v>-82.660200000000003</v>
      </c>
      <c r="H757" s="2" t="s">
        <v>34</v>
      </c>
      <c r="I757" s="2" t="s">
        <v>46</v>
      </c>
      <c r="J757" s="2" t="s">
        <v>34</v>
      </c>
      <c r="K757" s="2" t="s">
        <v>34</v>
      </c>
      <c r="L757" s="2" t="s">
        <v>34</v>
      </c>
      <c r="M757" s="2" t="s">
        <v>34</v>
      </c>
      <c r="N757" s="2" t="s">
        <v>34</v>
      </c>
      <c r="O757" s="2" t="s">
        <v>34</v>
      </c>
      <c r="P757" s="3">
        <v>45077</v>
      </c>
      <c r="Q757" s="3">
        <v>45108</v>
      </c>
      <c r="R757" s="2" t="s">
        <v>1596</v>
      </c>
      <c r="S757" s="2" t="s">
        <v>63</v>
      </c>
    </row>
    <row r="758" spans="1:19" x14ac:dyDescent="0.25">
      <c r="A758" s="2" t="s">
        <v>1597</v>
      </c>
      <c r="B758" s="2" t="s">
        <v>59</v>
      </c>
      <c r="C758" s="2" t="s">
        <v>1591</v>
      </c>
      <c r="D758" s="2" t="s">
        <v>1598</v>
      </c>
      <c r="E758" s="2">
        <v>17</v>
      </c>
      <c r="F758" s="2">
        <v>27.9925</v>
      </c>
      <c r="G758" s="2">
        <v>-82.664169999999999</v>
      </c>
      <c r="H758" s="2" t="s">
        <v>34</v>
      </c>
      <c r="I758" s="2" t="s">
        <v>46</v>
      </c>
      <c r="J758" s="2" t="s">
        <v>34</v>
      </c>
      <c r="K758" s="2" t="s">
        <v>34</v>
      </c>
      <c r="L758" s="2" t="s">
        <v>34</v>
      </c>
      <c r="M758" s="2" t="s">
        <v>34</v>
      </c>
      <c r="N758" s="2" t="s">
        <v>34</v>
      </c>
      <c r="O758" s="2" t="s">
        <v>34</v>
      </c>
      <c r="P758" s="3">
        <v>45077</v>
      </c>
      <c r="Q758" s="3">
        <v>45108</v>
      </c>
      <c r="R758" s="2" t="s">
        <v>1599</v>
      </c>
      <c r="S758" s="2" t="s">
        <v>63</v>
      </c>
    </row>
    <row r="759" spans="1:19" x14ac:dyDescent="0.25">
      <c r="A759" s="2" t="s">
        <v>1600</v>
      </c>
      <c r="B759" s="2" t="s">
        <v>59</v>
      </c>
      <c r="C759" s="2" t="s">
        <v>1591</v>
      </c>
      <c r="D759" s="2" t="s">
        <v>1601</v>
      </c>
      <c r="E759" s="2">
        <v>18</v>
      </c>
      <c r="F759" s="2">
        <v>27.99417</v>
      </c>
      <c r="G759" s="2">
        <v>-82.664169999999999</v>
      </c>
      <c r="H759" s="2" t="s">
        <v>34</v>
      </c>
      <c r="I759" s="2" t="s">
        <v>46</v>
      </c>
      <c r="J759" s="2" t="s">
        <v>34</v>
      </c>
      <c r="K759" s="2" t="s">
        <v>34</v>
      </c>
      <c r="L759" s="2" t="s">
        <v>34</v>
      </c>
      <c r="M759" s="2" t="s">
        <v>34</v>
      </c>
      <c r="N759" s="2" t="s">
        <v>34</v>
      </c>
      <c r="O759" s="2" t="s">
        <v>34</v>
      </c>
      <c r="P759" s="3">
        <v>45077</v>
      </c>
      <c r="Q759" s="3">
        <v>45108</v>
      </c>
      <c r="R759" s="2" t="s">
        <v>1602</v>
      </c>
      <c r="S759" s="2" t="s">
        <v>63</v>
      </c>
    </row>
    <row r="760" spans="1:19" x14ac:dyDescent="0.25">
      <c r="A760" s="2" t="s">
        <v>1663</v>
      </c>
      <c r="B760" s="2" t="s">
        <v>59</v>
      </c>
      <c r="C760" s="2" t="s">
        <v>500</v>
      </c>
      <c r="D760" s="2" t="s">
        <v>1664</v>
      </c>
      <c r="E760" s="2">
        <v>19</v>
      </c>
      <c r="F760" s="2">
        <v>27.495570000000001</v>
      </c>
      <c r="G760" s="2">
        <v>-82.523929999999993</v>
      </c>
      <c r="H760" s="2" t="s">
        <v>34</v>
      </c>
      <c r="I760" s="2" t="s">
        <v>46</v>
      </c>
      <c r="J760" s="2" t="s">
        <v>34</v>
      </c>
      <c r="K760" s="2" t="s">
        <v>34</v>
      </c>
      <c r="L760" s="2" t="s">
        <v>34</v>
      </c>
      <c r="M760" s="2" t="s">
        <v>34</v>
      </c>
      <c r="N760" s="2" t="s">
        <v>34</v>
      </c>
      <c r="O760" s="2" t="s">
        <v>34</v>
      </c>
      <c r="P760" s="3">
        <v>45138</v>
      </c>
      <c r="Q760" s="3">
        <v>45170</v>
      </c>
      <c r="R760" s="2" t="s">
        <v>1665</v>
      </c>
      <c r="S760" s="2" t="s">
        <v>63</v>
      </c>
    </row>
    <row r="761" spans="1:19" x14ac:dyDescent="0.25">
      <c r="A761" s="2" t="s">
        <v>1666</v>
      </c>
      <c r="B761" s="2" t="s">
        <v>59</v>
      </c>
      <c r="C761" s="2" t="s">
        <v>500</v>
      </c>
      <c r="D761" s="2" t="s">
        <v>1667</v>
      </c>
      <c r="E761" s="2">
        <v>20</v>
      </c>
      <c r="F761" s="2">
        <v>27.494959999999999</v>
      </c>
      <c r="G761" s="2">
        <v>-82.523539999999997</v>
      </c>
      <c r="H761" s="2" t="s">
        <v>34</v>
      </c>
      <c r="I761" s="2" t="s">
        <v>46</v>
      </c>
      <c r="J761" s="2" t="s">
        <v>34</v>
      </c>
      <c r="K761" s="2" t="s">
        <v>34</v>
      </c>
      <c r="L761" s="2" t="s">
        <v>34</v>
      </c>
      <c r="M761" s="2" t="s">
        <v>34</v>
      </c>
      <c r="N761" s="2" t="s">
        <v>34</v>
      </c>
      <c r="O761" s="2" t="s">
        <v>34</v>
      </c>
      <c r="P761" s="3">
        <v>45138</v>
      </c>
      <c r="Q761" s="3">
        <v>45170</v>
      </c>
      <c r="R761" s="2" t="s">
        <v>1668</v>
      </c>
      <c r="S761" s="2" t="s">
        <v>63</v>
      </c>
    </row>
    <row r="762" spans="1:19" x14ac:dyDescent="0.25">
      <c r="A762" s="2" t="s">
        <v>1669</v>
      </c>
      <c r="B762" s="2" t="s">
        <v>59</v>
      </c>
      <c r="C762" s="2" t="s">
        <v>500</v>
      </c>
      <c r="D762" s="2" t="s">
        <v>1670</v>
      </c>
      <c r="E762" s="2">
        <v>21</v>
      </c>
      <c r="F762" s="2">
        <v>27.49249</v>
      </c>
      <c r="G762" s="2">
        <v>-82.520070000000004</v>
      </c>
      <c r="H762" s="2" t="s">
        <v>34</v>
      </c>
      <c r="I762" s="2" t="s">
        <v>46</v>
      </c>
      <c r="J762" s="2" t="s">
        <v>34</v>
      </c>
      <c r="K762" s="2" t="s">
        <v>34</v>
      </c>
      <c r="L762" s="2" t="s">
        <v>34</v>
      </c>
      <c r="M762" s="2" t="s">
        <v>34</v>
      </c>
      <c r="N762" s="2" t="s">
        <v>34</v>
      </c>
      <c r="O762" s="2" t="s">
        <v>34</v>
      </c>
      <c r="P762" s="3">
        <v>45138</v>
      </c>
      <c r="Q762" s="3">
        <v>45170</v>
      </c>
      <c r="R762" s="2" t="s">
        <v>1671</v>
      </c>
      <c r="S762" s="2" t="s">
        <v>63</v>
      </c>
    </row>
    <row r="763" spans="1:19" x14ac:dyDescent="0.25">
      <c r="A763" s="2" t="s">
        <v>1672</v>
      </c>
      <c r="B763" s="2" t="s">
        <v>59</v>
      </c>
      <c r="C763" s="2" t="s">
        <v>500</v>
      </c>
      <c r="D763" s="2" t="s">
        <v>1673</v>
      </c>
      <c r="E763" s="2">
        <v>22</v>
      </c>
      <c r="F763" s="2">
        <v>27.491399999999999</v>
      </c>
      <c r="G763" s="2">
        <v>-82.516040000000004</v>
      </c>
      <c r="H763" s="2" t="s">
        <v>34</v>
      </c>
      <c r="I763" s="2" t="s">
        <v>46</v>
      </c>
      <c r="J763" s="2" t="s">
        <v>34</v>
      </c>
      <c r="K763" s="2" t="s">
        <v>34</v>
      </c>
      <c r="L763" s="2" t="s">
        <v>34</v>
      </c>
      <c r="M763" s="2" t="s">
        <v>34</v>
      </c>
      <c r="N763" s="2" t="s">
        <v>34</v>
      </c>
      <c r="O763" s="2" t="s">
        <v>34</v>
      </c>
      <c r="P763" s="3">
        <v>45138</v>
      </c>
      <c r="Q763" s="3">
        <v>45170</v>
      </c>
      <c r="R763" s="2" t="s">
        <v>1674</v>
      </c>
      <c r="S763" s="2" t="s">
        <v>63</v>
      </c>
    </row>
    <row r="764" spans="1:19" x14ac:dyDescent="0.25">
      <c r="A764" s="2" t="s">
        <v>1675</v>
      </c>
      <c r="B764" s="2" t="s">
        <v>59</v>
      </c>
      <c r="C764" s="2" t="s">
        <v>500</v>
      </c>
      <c r="D764" s="2" t="s">
        <v>1676</v>
      </c>
      <c r="E764" s="2">
        <v>23</v>
      </c>
      <c r="F764" s="2">
        <v>27.490449999999999</v>
      </c>
      <c r="G764" s="2">
        <v>-82.515339999999995</v>
      </c>
      <c r="H764" s="2" t="s">
        <v>34</v>
      </c>
      <c r="I764" s="2" t="s">
        <v>46</v>
      </c>
      <c r="J764" s="2" t="s">
        <v>34</v>
      </c>
      <c r="K764" s="2" t="s">
        <v>34</v>
      </c>
      <c r="L764" s="2" t="s">
        <v>34</v>
      </c>
      <c r="M764" s="2" t="s">
        <v>34</v>
      </c>
      <c r="N764" s="2" t="s">
        <v>34</v>
      </c>
      <c r="O764" s="2" t="s">
        <v>34</v>
      </c>
      <c r="P764" s="3">
        <v>45138</v>
      </c>
      <c r="Q764" s="3">
        <v>45170</v>
      </c>
      <c r="R764" s="2" t="s">
        <v>1677</v>
      </c>
      <c r="S764" s="2" t="s">
        <v>63</v>
      </c>
    </row>
    <row r="765" spans="1:19" x14ac:dyDescent="0.25">
      <c r="A765" s="2" t="s">
        <v>1678</v>
      </c>
      <c r="B765" s="2" t="s">
        <v>59</v>
      </c>
      <c r="C765" s="2" t="s">
        <v>500</v>
      </c>
      <c r="D765" s="2" t="s">
        <v>1679</v>
      </c>
      <c r="E765" s="2">
        <v>24</v>
      </c>
      <c r="F765" s="2">
        <v>27.488810000000001</v>
      </c>
      <c r="G765" s="2">
        <v>-82.520089999999996</v>
      </c>
      <c r="H765" s="2" t="s">
        <v>34</v>
      </c>
      <c r="I765" s="2" t="s">
        <v>46</v>
      </c>
      <c r="J765" s="2" t="s">
        <v>34</v>
      </c>
      <c r="K765" s="2" t="s">
        <v>34</v>
      </c>
      <c r="L765" s="2" t="s">
        <v>34</v>
      </c>
      <c r="M765" s="2" t="s">
        <v>34</v>
      </c>
      <c r="N765" s="2" t="s">
        <v>34</v>
      </c>
      <c r="O765" s="2" t="s">
        <v>34</v>
      </c>
      <c r="P765" s="3">
        <v>45138</v>
      </c>
      <c r="Q765" s="3">
        <v>45170</v>
      </c>
      <c r="R765" s="2" t="s">
        <v>1680</v>
      </c>
      <c r="S765" s="2" t="s">
        <v>63</v>
      </c>
    </row>
    <row r="766" spans="1:19" x14ac:dyDescent="0.25">
      <c r="A766" s="2" t="s">
        <v>1681</v>
      </c>
      <c r="B766" s="2" t="s">
        <v>59</v>
      </c>
      <c r="C766" s="2" t="s">
        <v>500</v>
      </c>
      <c r="D766" s="2" t="s">
        <v>1682</v>
      </c>
      <c r="E766" s="2">
        <v>25</v>
      </c>
      <c r="F766" s="2">
        <v>27.48471</v>
      </c>
      <c r="G766" s="2">
        <v>-82.517970000000005</v>
      </c>
      <c r="H766" s="2" t="s">
        <v>34</v>
      </c>
      <c r="I766" s="2" t="s">
        <v>46</v>
      </c>
      <c r="J766" s="2" t="s">
        <v>34</v>
      </c>
      <c r="K766" s="2" t="s">
        <v>34</v>
      </c>
      <c r="L766" s="2" t="s">
        <v>34</v>
      </c>
      <c r="M766" s="2" t="s">
        <v>34</v>
      </c>
      <c r="N766" s="2" t="s">
        <v>34</v>
      </c>
      <c r="O766" s="2" t="s">
        <v>34</v>
      </c>
      <c r="P766" s="3">
        <v>45138</v>
      </c>
      <c r="Q766" s="3">
        <v>45170</v>
      </c>
      <c r="R766" s="2" t="s">
        <v>1683</v>
      </c>
      <c r="S766" s="2" t="s">
        <v>63</v>
      </c>
    </row>
    <row r="767" spans="1:19" x14ac:dyDescent="0.25">
      <c r="A767" s="2" t="s">
        <v>1684</v>
      </c>
      <c r="B767" s="2" t="s">
        <v>59</v>
      </c>
      <c r="C767" s="2" t="s">
        <v>500</v>
      </c>
      <c r="D767" s="2" t="s">
        <v>1685</v>
      </c>
      <c r="E767" s="2">
        <v>26</v>
      </c>
      <c r="F767" s="2">
        <v>27.65334</v>
      </c>
      <c r="G767" s="2">
        <v>-82.681380000000004</v>
      </c>
      <c r="H767" s="2" t="s">
        <v>34</v>
      </c>
      <c r="I767" s="2" t="s">
        <v>46</v>
      </c>
      <c r="J767" s="2" t="s">
        <v>34</v>
      </c>
      <c r="K767" s="2" t="s">
        <v>34</v>
      </c>
      <c r="L767" s="2" t="s">
        <v>34</v>
      </c>
      <c r="M767" s="2" t="s">
        <v>34</v>
      </c>
      <c r="N767" s="2" t="s">
        <v>34</v>
      </c>
      <c r="O767" s="2" t="s">
        <v>34</v>
      </c>
      <c r="P767" s="3">
        <v>45138</v>
      </c>
      <c r="Q767" s="3">
        <v>45170</v>
      </c>
      <c r="R767" s="2" t="s">
        <v>1686</v>
      </c>
      <c r="S767" s="2" t="s">
        <v>63</v>
      </c>
    </row>
    <row r="768" spans="1:19" x14ac:dyDescent="0.25">
      <c r="A768" s="2" t="s">
        <v>1687</v>
      </c>
      <c r="B768" s="2" t="s">
        <v>59</v>
      </c>
      <c r="C768" s="2" t="s">
        <v>504</v>
      </c>
      <c r="D768" s="2" t="s">
        <v>1688</v>
      </c>
      <c r="E768" s="2">
        <v>27</v>
      </c>
      <c r="F768" s="2">
        <v>27.646239999999999</v>
      </c>
      <c r="G768" s="2">
        <v>-82.712810000000005</v>
      </c>
      <c r="H768" s="2" t="s">
        <v>34</v>
      </c>
      <c r="I768" s="2" t="s">
        <v>46</v>
      </c>
      <c r="J768" s="2" t="s">
        <v>34</v>
      </c>
      <c r="K768" s="2" t="s">
        <v>34</v>
      </c>
      <c r="L768" s="2" t="s">
        <v>34</v>
      </c>
      <c r="M768" s="2" t="s">
        <v>34</v>
      </c>
      <c r="N768" s="2" t="s">
        <v>34</v>
      </c>
      <c r="O768" s="2" t="s">
        <v>34</v>
      </c>
      <c r="P768" s="3">
        <v>45138</v>
      </c>
      <c r="Q768" s="3">
        <v>45170</v>
      </c>
      <c r="R768" s="2" t="s">
        <v>1689</v>
      </c>
      <c r="S768" s="2" t="s">
        <v>63</v>
      </c>
    </row>
    <row r="769" spans="1:19" x14ac:dyDescent="0.25">
      <c r="A769" s="2" t="s">
        <v>1690</v>
      </c>
      <c r="B769" s="2" t="s">
        <v>59</v>
      </c>
      <c r="C769" s="2" t="s">
        <v>60</v>
      </c>
      <c r="D769" s="2" t="s">
        <v>1691</v>
      </c>
      <c r="E769" s="2">
        <v>28</v>
      </c>
      <c r="F769" s="2">
        <v>27.816369999999999</v>
      </c>
      <c r="G769" s="2">
        <v>-82.765289999999993</v>
      </c>
      <c r="H769" s="2" t="s">
        <v>34</v>
      </c>
      <c r="I769" s="2" t="s">
        <v>46</v>
      </c>
      <c r="J769" s="2" t="s">
        <v>34</v>
      </c>
      <c r="K769" s="2" t="s">
        <v>34</v>
      </c>
      <c r="L769" s="2" t="s">
        <v>34</v>
      </c>
      <c r="M769" s="2" t="s">
        <v>34</v>
      </c>
      <c r="N769" s="2" t="s">
        <v>34</v>
      </c>
      <c r="O769" s="2" t="s">
        <v>34</v>
      </c>
      <c r="P769" s="3">
        <v>45230</v>
      </c>
      <c r="Q769" s="3">
        <v>45261</v>
      </c>
      <c r="R769" s="2" t="s">
        <v>1692</v>
      </c>
      <c r="S769" s="2" t="s">
        <v>63</v>
      </c>
    </row>
    <row r="770" spans="1:19" x14ac:dyDescent="0.25">
      <c r="A770" s="2" t="s">
        <v>1693</v>
      </c>
      <c r="B770" s="2" t="s">
        <v>59</v>
      </c>
      <c r="C770" s="2" t="s">
        <v>60</v>
      </c>
      <c r="D770" s="2" t="s">
        <v>1694</v>
      </c>
      <c r="E770" s="2">
        <v>29</v>
      </c>
      <c r="F770" s="2">
        <v>27.817530000000001</v>
      </c>
      <c r="G770" s="2">
        <v>-82.76576</v>
      </c>
      <c r="H770" s="2" t="s">
        <v>34</v>
      </c>
      <c r="I770" s="2" t="s">
        <v>46</v>
      </c>
      <c r="J770" s="2" t="s">
        <v>34</v>
      </c>
      <c r="K770" s="2" t="s">
        <v>34</v>
      </c>
      <c r="L770" s="2" t="s">
        <v>34</v>
      </c>
      <c r="M770" s="2" t="s">
        <v>34</v>
      </c>
      <c r="N770" s="2" t="s">
        <v>34</v>
      </c>
      <c r="O770" s="2" t="s">
        <v>34</v>
      </c>
      <c r="P770" s="3">
        <v>45230</v>
      </c>
      <c r="Q770" s="3">
        <v>45261</v>
      </c>
      <c r="R770" s="2" t="s">
        <v>1695</v>
      </c>
      <c r="S770" s="2" t="s">
        <v>63</v>
      </c>
    </row>
    <row r="771" spans="1:19" x14ac:dyDescent="0.25">
      <c r="A771" s="2" t="s">
        <v>1696</v>
      </c>
      <c r="B771" s="2" t="s">
        <v>59</v>
      </c>
      <c r="C771" s="2" t="s">
        <v>60</v>
      </c>
      <c r="D771" s="2" t="s">
        <v>1697</v>
      </c>
      <c r="E771" s="2">
        <v>30</v>
      </c>
      <c r="F771" s="2">
        <v>27.81352</v>
      </c>
      <c r="G771" s="2">
        <v>-82.764439999999993</v>
      </c>
      <c r="H771" s="2" t="s">
        <v>34</v>
      </c>
      <c r="I771" s="2" t="s">
        <v>46</v>
      </c>
      <c r="J771" s="2" t="s">
        <v>34</v>
      </c>
      <c r="K771" s="2" t="s">
        <v>34</v>
      </c>
      <c r="L771" s="2" t="s">
        <v>34</v>
      </c>
      <c r="M771" s="2" t="s">
        <v>34</v>
      </c>
      <c r="N771" s="2" t="s">
        <v>34</v>
      </c>
      <c r="O771" s="2" t="s">
        <v>34</v>
      </c>
      <c r="P771" s="3">
        <v>45230</v>
      </c>
      <c r="Q771" s="3">
        <v>45261</v>
      </c>
      <c r="R771" s="2" t="s">
        <v>1698</v>
      </c>
      <c r="S771" s="2" t="s">
        <v>63</v>
      </c>
    </row>
    <row r="772" spans="1:19" x14ac:dyDescent="0.25">
      <c r="A772" s="2" t="s">
        <v>1699</v>
      </c>
      <c r="B772" s="2" t="s">
        <v>59</v>
      </c>
      <c r="C772" s="2" t="s">
        <v>60</v>
      </c>
      <c r="D772" s="2" t="s">
        <v>1700</v>
      </c>
      <c r="E772" s="2">
        <v>31</v>
      </c>
      <c r="F772" s="2">
        <v>27.795829999999999</v>
      </c>
      <c r="G772" s="2">
        <v>-82.759079999999997</v>
      </c>
      <c r="H772" s="2" t="s">
        <v>34</v>
      </c>
      <c r="I772" s="2" t="s">
        <v>46</v>
      </c>
      <c r="J772" s="2" t="s">
        <v>34</v>
      </c>
      <c r="K772" s="2" t="s">
        <v>46</v>
      </c>
      <c r="L772" s="2" t="s">
        <v>34</v>
      </c>
      <c r="M772" s="2" t="s">
        <v>34</v>
      </c>
      <c r="N772" s="2" t="s">
        <v>34</v>
      </c>
      <c r="O772" s="2" t="s">
        <v>34</v>
      </c>
      <c r="P772" s="3">
        <v>45230</v>
      </c>
      <c r="Q772" s="3">
        <v>45261</v>
      </c>
      <c r="R772" s="2" t="s">
        <v>1701</v>
      </c>
      <c r="S772" s="2" t="s">
        <v>63</v>
      </c>
    </row>
    <row r="773" spans="1:19" x14ac:dyDescent="0.25">
      <c r="A773" s="2" t="s">
        <v>1702</v>
      </c>
      <c r="B773" s="2" t="s">
        <v>59</v>
      </c>
      <c r="C773" s="2" t="s">
        <v>60</v>
      </c>
      <c r="D773" s="2" t="s">
        <v>1703</v>
      </c>
      <c r="E773" s="2">
        <v>32</v>
      </c>
      <c r="F773" s="2">
        <v>27.8003</v>
      </c>
      <c r="G773" s="2">
        <v>-82.762969999999996</v>
      </c>
      <c r="H773" s="2" t="s">
        <v>34</v>
      </c>
      <c r="I773" s="2" t="s">
        <v>46</v>
      </c>
      <c r="J773" s="2" t="s">
        <v>34</v>
      </c>
      <c r="K773" s="2" t="s">
        <v>46</v>
      </c>
      <c r="L773" s="2" t="s">
        <v>34</v>
      </c>
      <c r="M773" s="2" t="s">
        <v>34</v>
      </c>
      <c r="N773" s="2" t="s">
        <v>34</v>
      </c>
      <c r="O773" s="2" t="s">
        <v>34</v>
      </c>
      <c r="P773" s="3">
        <v>45230</v>
      </c>
      <c r="Q773" s="3">
        <v>45261</v>
      </c>
      <c r="R773" s="2" t="s">
        <v>1704</v>
      </c>
      <c r="S773" s="2" t="s">
        <v>63</v>
      </c>
    </row>
    <row r="774" spans="1:19" x14ac:dyDescent="0.25">
      <c r="A774" s="2" t="s">
        <v>58</v>
      </c>
      <c r="B774" s="2" t="s">
        <v>59</v>
      </c>
      <c r="C774" s="2" t="s">
        <v>60</v>
      </c>
      <c r="D774" s="2" t="s">
        <v>61</v>
      </c>
      <c r="E774" s="2">
        <v>33</v>
      </c>
      <c r="F774" s="2">
        <v>27.80217</v>
      </c>
      <c r="G774" s="2">
        <v>-82.763660000000002</v>
      </c>
      <c r="H774" s="2" t="s">
        <v>34</v>
      </c>
      <c r="I774" s="2" t="s">
        <v>46</v>
      </c>
      <c r="J774" s="2" t="s">
        <v>34</v>
      </c>
      <c r="K774" s="2" t="s">
        <v>34</v>
      </c>
      <c r="L774" s="2" t="s">
        <v>34</v>
      </c>
      <c r="M774" s="2" t="s">
        <v>34</v>
      </c>
      <c r="N774" s="2" t="s">
        <v>34</v>
      </c>
      <c r="O774" s="2" t="s">
        <v>34</v>
      </c>
      <c r="P774" s="3">
        <v>45230</v>
      </c>
      <c r="Q774" s="3">
        <v>45261</v>
      </c>
      <c r="R774" s="2" t="s">
        <v>62</v>
      </c>
      <c r="S774" s="2" t="s">
        <v>63</v>
      </c>
    </row>
    <row r="775" spans="1:19" x14ac:dyDescent="0.25">
      <c r="A775" s="2" t="s">
        <v>64</v>
      </c>
      <c r="B775" s="2" t="s">
        <v>59</v>
      </c>
      <c r="C775" s="2" t="s">
        <v>60</v>
      </c>
      <c r="D775" s="2" t="s">
        <v>65</v>
      </c>
      <c r="E775" s="2">
        <v>34</v>
      </c>
      <c r="F775" s="2">
        <v>27.803909999999998</v>
      </c>
      <c r="G775" s="2">
        <v>-82.769390000000001</v>
      </c>
      <c r="H775" s="2" t="s">
        <v>34</v>
      </c>
      <c r="I775" s="2" t="s">
        <v>46</v>
      </c>
      <c r="J775" s="2" t="s">
        <v>34</v>
      </c>
      <c r="K775" s="2" t="s">
        <v>46</v>
      </c>
      <c r="L775" s="2" t="s">
        <v>34</v>
      </c>
      <c r="M775" s="2" t="s">
        <v>34</v>
      </c>
      <c r="N775" s="2" t="s">
        <v>34</v>
      </c>
      <c r="O775" s="2" t="s">
        <v>34</v>
      </c>
      <c r="P775" s="3">
        <v>45230</v>
      </c>
      <c r="Q775" s="3">
        <v>45261</v>
      </c>
      <c r="R775" s="2" t="s">
        <v>66</v>
      </c>
      <c r="S775" s="2" t="s">
        <v>63</v>
      </c>
    </row>
    <row r="776" spans="1:19" x14ac:dyDescent="0.25">
      <c r="A776" s="2" t="s">
        <v>503</v>
      </c>
      <c r="B776" s="2" t="s">
        <v>59</v>
      </c>
      <c r="C776" s="2" t="s">
        <v>504</v>
      </c>
      <c r="D776" s="2" t="s">
        <v>505</v>
      </c>
      <c r="E776" s="2">
        <v>35</v>
      </c>
      <c r="F776" s="2">
        <v>27.637840000000001</v>
      </c>
      <c r="G776" s="2">
        <v>-82.723039999999997</v>
      </c>
      <c r="H776" s="2" t="s">
        <v>34</v>
      </c>
      <c r="I776" s="2" t="s">
        <v>46</v>
      </c>
      <c r="J776" s="2" t="s">
        <v>34</v>
      </c>
      <c r="K776" s="2" t="s">
        <v>46</v>
      </c>
      <c r="L776" s="2" t="s">
        <v>34</v>
      </c>
      <c r="M776" s="2" t="s">
        <v>34</v>
      </c>
      <c r="N776" s="2" t="s">
        <v>34</v>
      </c>
      <c r="O776" s="2" t="s">
        <v>34</v>
      </c>
      <c r="P776" s="3">
        <v>45291</v>
      </c>
      <c r="Q776" s="3">
        <v>45383</v>
      </c>
      <c r="R776" s="2" t="s">
        <v>506</v>
      </c>
      <c r="S776" s="2" t="s">
        <v>63</v>
      </c>
    </row>
    <row r="777" spans="1:19" x14ac:dyDescent="0.25">
      <c r="A777" s="2" t="s">
        <v>507</v>
      </c>
      <c r="B777" s="2" t="s">
        <v>59</v>
      </c>
      <c r="C777" s="2" t="s">
        <v>504</v>
      </c>
      <c r="D777" s="2" t="s">
        <v>508</v>
      </c>
      <c r="E777" s="2">
        <v>36</v>
      </c>
      <c r="F777" s="2">
        <v>27.629930000000002</v>
      </c>
      <c r="G777" s="2">
        <v>-82.72372</v>
      </c>
      <c r="H777" s="2" t="s">
        <v>34</v>
      </c>
      <c r="I777" s="2" t="s">
        <v>46</v>
      </c>
      <c r="J777" s="2" t="s">
        <v>34</v>
      </c>
      <c r="K777" s="2" t="s">
        <v>46</v>
      </c>
      <c r="L777" s="2" t="s">
        <v>34</v>
      </c>
      <c r="M777" s="2" t="s">
        <v>34</v>
      </c>
      <c r="N777" s="2" t="s">
        <v>34</v>
      </c>
      <c r="O777" s="2" t="s">
        <v>34</v>
      </c>
      <c r="P777" s="3">
        <v>45291</v>
      </c>
      <c r="Q777" s="3">
        <v>45383</v>
      </c>
      <c r="R777" s="2" t="s">
        <v>509</v>
      </c>
      <c r="S777" s="2" t="s">
        <v>63</v>
      </c>
    </row>
    <row r="778" spans="1:19" x14ac:dyDescent="0.25">
      <c r="A778" s="2" t="s">
        <v>510</v>
      </c>
      <c r="B778" s="2" t="s">
        <v>59</v>
      </c>
      <c r="C778" s="2" t="s">
        <v>504</v>
      </c>
      <c r="D778" s="2" t="s">
        <v>511</v>
      </c>
      <c r="E778" s="2">
        <v>37</v>
      </c>
      <c r="F778" s="2">
        <v>27.62257</v>
      </c>
      <c r="G778" s="2">
        <v>-82.730540000000005</v>
      </c>
      <c r="H778" s="2" t="s">
        <v>34</v>
      </c>
      <c r="I778" s="2" t="s">
        <v>46</v>
      </c>
      <c r="J778" s="2" t="s">
        <v>34</v>
      </c>
      <c r="K778" s="2" t="s">
        <v>46</v>
      </c>
      <c r="L778" s="2" t="s">
        <v>34</v>
      </c>
      <c r="M778" s="2" t="s">
        <v>34</v>
      </c>
      <c r="N778" s="2" t="s">
        <v>34</v>
      </c>
      <c r="O778" s="2" t="s">
        <v>34</v>
      </c>
      <c r="P778" s="3">
        <v>45291</v>
      </c>
      <c r="Q778" s="3">
        <v>45383</v>
      </c>
      <c r="R778" s="2" t="s">
        <v>512</v>
      </c>
      <c r="S778" s="2" t="s">
        <v>63</v>
      </c>
    </row>
    <row r="779" spans="1:19" x14ac:dyDescent="0.25">
      <c r="A779" s="2" t="s">
        <v>513</v>
      </c>
      <c r="B779" s="2" t="s">
        <v>59</v>
      </c>
      <c r="C779" s="2" t="s">
        <v>504</v>
      </c>
      <c r="D779" s="2" t="s">
        <v>514</v>
      </c>
      <c r="E779" s="2">
        <v>38</v>
      </c>
      <c r="F779" s="2">
        <v>27.624860000000002</v>
      </c>
      <c r="G779" s="2">
        <v>-82.731380000000001</v>
      </c>
      <c r="H779" s="2" t="s">
        <v>34</v>
      </c>
      <c r="I779" s="2" t="s">
        <v>46</v>
      </c>
      <c r="J779" s="2" t="s">
        <v>34</v>
      </c>
      <c r="K779" s="2" t="s">
        <v>46</v>
      </c>
      <c r="L779" s="2" t="s">
        <v>34</v>
      </c>
      <c r="M779" s="2" t="s">
        <v>34</v>
      </c>
      <c r="N779" s="2" t="s">
        <v>34</v>
      </c>
      <c r="O779" s="2" t="s">
        <v>34</v>
      </c>
      <c r="P779" s="3">
        <v>45291</v>
      </c>
      <c r="Q779" s="3">
        <v>45383</v>
      </c>
      <c r="R779" s="2" t="s">
        <v>515</v>
      </c>
      <c r="S779" s="2" t="s">
        <v>63</v>
      </c>
    </row>
    <row r="780" spans="1:19" x14ac:dyDescent="0.25">
      <c r="A780" s="2" t="s">
        <v>516</v>
      </c>
      <c r="B780" s="2" t="s">
        <v>59</v>
      </c>
      <c r="C780" s="2" t="s">
        <v>504</v>
      </c>
      <c r="D780" s="2" t="s">
        <v>517</v>
      </c>
      <c r="E780" s="2">
        <v>39</v>
      </c>
      <c r="F780" s="2">
        <v>27.619330000000001</v>
      </c>
      <c r="G780" s="2">
        <v>-82.733419999999995</v>
      </c>
      <c r="H780" s="2" t="s">
        <v>34</v>
      </c>
      <c r="I780" s="2" t="s">
        <v>46</v>
      </c>
      <c r="J780" s="2" t="s">
        <v>34</v>
      </c>
      <c r="K780" s="2" t="s">
        <v>46</v>
      </c>
      <c r="L780" s="2" t="s">
        <v>34</v>
      </c>
      <c r="M780" s="2" t="s">
        <v>34</v>
      </c>
      <c r="N780" s="2" t="s">
        <v>34</v>
      </c>
      <c r="O780" s="2" t="s">
        <v>34</v>
      </c>
      <c r="P780" s="3">
        <v>45291</v>
      </c>
      <c r="Q780" s="3">
        <v>45383</v>
      </c>
      <c r="R780" s="2" t="s">
        <v>518</v>
      </c>
      <c r="S780" s="2" t="s">
        <v>63</v>
      </c>
    </row>
    <row r="781" spans="1:19" x14ac:dyDescent="0.25">
      <c r="A781" s="2" t="s">
        <v>519</v>
      </c>
      <c r="B781" s="2" t="s">
        <v>59</v>
      </c>
      <c r="C781" s="2" t="s">
        <v>504</v>
      </c>
      <c r="D781" s="2" t="s">
        <v>520</v>
      </c>
      <c r="E781" s="2">
        <v>40</v>
      </c>
      <c r="F781" s="2">
        <v>27.643920000000001</v>
      </c>
      <c r="G781" s="2">
        <v>-82.714420000000004</v>
      </c>
      <c r="H781" s="2" t="s">
        <v>34</v>
      </c>
      <c r="I781" s="2" t="s">
        <v>46</v>
      </c>
      <c r="J781" s="2" t="s">
        <v>34</v>
      </c>
      <c r="K781" s="2" t="s">
        <v>46</v>
      </c>
      <c r="L781" s="2" t="s">
        <v>34</v>
      </c>
      <c r="M781" s="2" t="s">
        <v>34</v>
      </c>
      <c r="N781" s="2" t="s">
        <v>34</v>
      </c>
      <c r="O781" s="2" t="s">
        <v>34</v>
      </c>
      <c r="P781" s="3">
        <v>45291</v>
      </c>
      <c r="Q781" s="3">
        <v>45383</v>
      </c>
      <c r="R781" s="2" t="s">
        <v>521</v>
      </c>
      <c r="S781" s="2" t="s">
        <v>63</v>
      </c>
    </row>
    <row r="782" spans="1:19" x14ac:dyDescent="0.25">
      <c r="A782" s="2" t="s">
        <v>465</v>
      </c>
      <c r="B782" s="2" t="s">
        <v>59</v>
      </c>
      <c r="C782" s="2" t="s">
        <v>466</v>
      </c>
      <c r="D782" s="2" t="s">
        <v>467</v>
      </c>
      <c r="E782" s="2">
        <v>41</v>
      </c>
      <c r="F782" s="2">
        <v>27.68683</v>
      </c>
      <c r="G782" s="2">
        <v>-82.522679999999994</v>
      </c>
      <c r="H782" s="2" t="s">
        <v>34</v>
      </c>
      <c r="I782" s="2" t="s">
        <v>46</v>
      </c>
      <c r="J782" s="2" t="s">
        <v>34</v>
      </c>
      <c r="K782" s="2" t="s">
        <v>34</v>
      </c>
      <c r="L782" s="2" t="s">
        <v>34</v>
      </c>
      <c r="M782" s="2" t="s">
        <v>34</v>
      </c>
      <c r="N782" s="2" t="s">
        <v>34</v>
      </c>
      <c r="O782" s="2" t="s">
        <v>34</v>
      </c>
      <c r="P782" s="3">
        <v>45443</v>
      </c>
      <c r="Q782" s="3">
        <v>45474</v>
      </c>
      <c r="R782" s="2" t="s">
        <v>468</v>
      </c>
      <c r="S782" s="2" t="s">
        <v>63</v>
      </c>
    </row>
    <row r="783" spans="1:19" x14ac:dyDescent="0.25">
      <c r="A783" s="2" t="s">
        <v>1732</v>
      </c>
      <c r="B783" s="2" t="s">
        <v>59</v>
      </c>
      <c r="C783" s="2" t="s">
        <v>466</v>
      </c>
      <c r="D783" s="2" t="s">
        <v>1733</v>
      </c>
      <c r="E783" s="2">
        <v>42</v>
      </c>
      <c r="F783" s="2">
        <v>27.6875</v>
      </c>
      <c r="G783" s="2">
        <v>-82.522499999999994</v>
      </c>
      <c r="H783" s="2" t="s">
        <v>34</v>
      </c>
      <c r="I783" s="2" t="s">
        <v>46</v>
      </c>
      <c r="J783" s="2" t="s">
        <v>34</v>
      </c>
      <c r="K783" s="2" t="s">
        <v>34</v>
      </c>
      <c r="L783" s="2" t="s">
        <v>34</v>
      </c>
      <c r="M783" s="2" t="s">
        <v>34</v>
      </c>
      <c r="N783" s="2" t="s">
        <v>34</v>
      </c>
      <c r="O783" s="2" t="s">
        <v>34</v>
      </c>
      <c r="P783" s="3">
        <v>45443</v>
      </c>
      <c r="Q783" s="3">
        <v>45474</v>
      </c>
      <c r="R783" s="2" t="s">
        <v>1734</v>
      </c>
      <c r="S783" s="2" t="s">
        <v>63</v>
      </c>
    </row>
    <row r="784" spans="1:19" x14ac:dyDescent="0.25">
      <c r="A784" s="2" t="s">
        <v>522</v>
      </c>
      <c r="B784" s="2" t="s">
        <v>59</v>
      </c>
      <c r="C784" s="2" t="s">
        <v>466</v>
      </c>
      <c r="D784" s="2" t="s">
        <v>523</v>
      </c>
      <c r="E784" s="2">
        <v>43</v>
      </c>
      <c r="F784" s="2">
        <v>27.712479999999999</v>
      </c>
      <c r="G784" s="2">
        <v>-82.502139999999997</v>
      </c>
      <c r="H784" s="2" t="s">
        <v>34</v>
      </c>
      <c r="I784" s="2" t="s">
        <v>46</v>
      </c>
      <c r="J784" s="2" t="s">
        <v>34</v>
      </c>
      <c r="K784" s="2" t="s">
        <v>34</v>
      </c>
      <c r="L784" s="2" t="s">
        <v>34</v>
      </c>
      <c r="M784" s="2" t="s">
        <v>34</v>
      </c>
      <c r="N784" s="2" t="s">
        <v>34</v>
      </c>
      <c r="O784" s="2" t="s">
        <v>34</v>
      </c>
      <c r="P784" s="3">
        <v>45443</v>
      </c>
      <c r="Q784" s="3">
        <v>45474</v>
      </c>
      <c r="R784" s="2" t="s">
        <v>524</v>
      </c>
      <c r="S784" s="2" t="s">
        <v>63</v>
      </c>
    </row>
    <row r="785" spans="1:19" x14ac:dyDescent="0.25">
      <c r="A785" s="2" t="s">
        <v>1735</v>
      </c>
      <c r="B785" s="2" t="s">
        <v>59</v>
      </c>
      <c r="C785" s="2" t="s">
        <v>466</v>
      </c>
      <c r="D785" s="2" t="s">
        <v>1736</v>
      </c>
      <c r="E785" s="2">
        <v>44</v>
      </c>
      <c r="F785" s="2">
        <v>27.71238</v>
      </c>
      <c r="G785" s="2">
        <v>-82.50085</v>
      </c>
      <c r="H785" s="2" t="s">
        <v>34</v>
      </c>
      <c r="I785" s="2" t="s">
        <v>46</v>
      </c>
      <c r="J785" s="2" t="s">
        <v>34</v>
      </c>
      <c r="K785" s="2" t="s">
        <v>34</v>
      </c>
      <c r="L785" s="2" t="s">
        <v>34</v>
      </c>
      <c r="M785" s="2" t="s">
        <v>34</v>
      </c>
      <c r="N785" s="2" t="s">
        <v>34</v>
      </c>
      <c r="O785" s="2" t="s">
        <v>34</v>
      </c>
      <c r="P785" s="3">
        <v>45443</v>
      </c>
      <c r="Q785" s="3">
        <v>45474</v>
      </c>
      <c r="R785" s="2" t="s">
        <v>1737</v>
      </c>
      <c r="S785" s="2" t="s">
        <v>63</v>
      </c>
    </row>
    <row r="786" spans="1:19" x14ac:dyDescent="0.25">
      <c r="A786" s="2" t="s">
        <v>525</v>
      </c>
      <c r="B786" s="2" t="s">
        <v>59</v>
      </c>
      <c r="C786" s="2" t="s">
        <v>466</v>
      </c>
      <c r="D786" s="2" t="s">
        <v>526</v>
      </c>
      <c r="E786" s="2">
        <v>45</v>
      </c>
      <c r="F786" s="2">
        <v>27.710999999999999</v>
      </c>
      <c r="G786" s="2">
        <v>-82.49915</v>
      </c>
      <c r="H786" s="2" t="s">
        <v>34</v>
      </c>
      <c r="I786" s="2" t="s">
        <v>46</v>
      </c>
      <c r="J786" s="2" t="s">
        <v>34</v>
      </c>
      <c r="K786" s="2" t="s">
        <v>34</v>
      </c>
      <c r="L786" s="2" t="s">
        <v>34</v>
      </c>
      <c r="M786" s="2" t="s">
        <v>34</v>
      </c>
      <c r="N786" s="2" t="s">
        <v>34</v>
      </c>
      <c r="O786" s="2" t="s">
        <v>34</v>
      </c>
      <c r="P786" s="3">
        <v>45443</v>
      </c>
      <c r="Q786" s="3">
        <v>45474</v>
      </c>
      <c r="R786" s="2" t="s">
        <v>527</v>
      </c>
      <c r="S786" s="2" t="s">
        <v>63</v>
      </c>
    </row>
    <row r="787" spans="1:19" x14ac:dyDescent="0.25">
      <c r="A787" s="2" t="s">
        <v>528</v>
      </c>
      <c r="B787" s="2" t="s">
        <v>59</v>
      </c>
      <c r="C787" s="2" t="s">
        <v>466</v>
      </c>
      <c r="D787" s="2" t="s">
        <v>529</v>
      </c>
      <c r="E787" s="2">
        <v>46</v>
      </c>
      <c r="F787" s="2">
        <v>27.710660000000001</v>
      </c>
      <c r="G787" s="2">
        <v>-82.500960000000006</v>
      </c>
      <c r="H787" s="2" t="s">
        <v>34</v>
      </c>
      <c r="I787" s="2" t="s">
        <v>46</v>
      </c>
      <c r="J787" s="2" t="s">
        <v>34</v>
      </c>
      <c r="K787" s="2" t="s">
        <v>34</v>
      </c>
      <c r="L787" s="2" t="s">
        <v>34</v>
      </c>
      <c r="M787" s="2" t="s">
        <v>34</v>
      </c>
      <c r="N787" s="2" t="s">
        <v>34</v>
      </c>
      <c r="O787" s="2" t="s">
        <v>34</v>
      </c>
      <c r="P787" s="3">
        <v>45443</v>
      </c>
      <c r="Q787" s="3">
        <v>45474</v>
      </c>
      <c r="R787" s="2" t="s">
        <v>530</v>
      </c>
      <c r="S787" s="2" t="s">
        <v>63</v>
      </c>
    </row>
    <row r="788" spans="1:19" x14ac:dyDescent="0.25">
      <c r="A788" s="2" t="s">
        <v>531</v>
      </c>
      <c r="B788" s="2" t="s">
        <v>59</v>
      </c>
      <c r="C788" s="2" t="s">
        <v>466</v>
      </c>
      <c r="D788" s="2" t="s">
        <v>532</v>
      </c>
      <c r="E788" s="2">
        <v>47</v>
      </c>
      <c r="F788" s="2">
        <v>27.71041</v>
      </c>
      <c r="G788" s="2">
        <v>-82.501080000000002</v>
      </c>
      <c r="H788" s="2" t="s">
        <v>34</v>
      </c>
      <c r="I788" s="2" t="s">
        <v>46</v>
      </c>
      <c r="J788" s="2" t="s">
        <v>34</v>
      </c>
      <c r="K788" s="2" t="s">
        <v>34</v>
      </c>
      <c r="L788" s="2" t="s">
        <v>34</v>
      </c>
      <c r="M788" s="2" t="s">
        <v>34</v>
      </c>
      <c r="N788" s="2" t="s">
        <v>34</v>
      </c>
      <c r="O788" s="2" t="s">
        <v>34</v>
      </c>
      <c r="P788" s="3">
        <v>45443</v>
      </c>
      <c r="Q788" s="3">
        <v>45474</v>
      </c>
      <c r="R788" s="2" t="s">
        <v>533</v>
      </c>
      <c r="S788" s="2" t="s">
        <v>63</v>
      </c>
    </row>
    <row r="789" spans="1:19" x14ac:dyDescent="0.25">
      <c r="A789" s="2" t="s">
        <v>534</v>
      </c>
      <c r="B789" s="2" t="s">
        <v>59</v>
      </c>
      <c r="C789" s="2" t="s">
        <v>466</v>
      </c>
      <c r="D789" s="2" t="s">
        <v>535</v>
      </c>
      <c r="E789" s="2">
        <v>48</v>
      </c>
      <c r="F789" s="2">
        <v>27.70919</v>
      </c>
      <c r="G789" s="2">
        <v>-82.500720000000001</v>
      </c>
      <c r="H789" s="2" t="s">
        <v>34</v>
      </c>
      <c r="I789" s="2" t="s">
        <v>46</v>
      </c>
      <c r="J789" s="2" t="s">
        <v>34</v>
      </c>
      <c r="K789" s="2" t="s">
        <v>34</v>
      </c>
      <c r="L789" s="2" t="s">
        <v>34</v>
      </c>
      <c r="M789" s="2" t="s">
        <v>34</v>
      </c>
      <c r="N789" s="2" t="s">
        <v>34</v>
      </c>
      <c r="O789" s="2" t="s">
        <v>34</v>
      </c>
      <c r="P789" s="3">
        <v>45443</v>
      </c>
      <c r="Q789" s="3">
        <v>45474</v>
      </c>
      <c r="R789" s="2" t="s">
        <v>536</v>
      </c>
      <c r="S789" s="2" t="s">
        <v>63</v>
      </c>
    </row>
    <row r="790" spans="1:19" x14ac:dyDescent="0.25">
      <c r="A790" s="2" t="s">
        <v>537</v>
      </c>
      <c r="B790" s="2" t="s">
        <v>59</v>
      </c>
      <c r="C790" s="2" t="s">
        <v>466</v>
      </c>
      <c r="D790" s="2" t="s">
        <v>538</v>
      </c>
      <c r="E790" s="2">
        <v>49</v>
      </c>
      <c r="F790" s="2">
        <v>27.70881</v>
      </c>
      <c r="G790" s="2">
        <v>-82.501959999999997</v>
      </c>
      <c r="H790" s="2" t="s">
        <v>34</v>
      </c>
      <c r="I790" s="2" t="s">
        <v>46</v>
      </c>
      <c r="J790" s="2" t="s">
        <v>34</v>
      </c>
      <c r="K790" s="2" t="s">
        <v>34</v>
      </c>
      <c r="L790" s="2" t="s">
        <v>34</v>
      </c>
      <c r="M790" s="2" t="s">
        <v>34</v>
      </c>
      <c r="N790" s="2" t="s">
        <v>34</v>
      </c>
      <c r="O790" s="2" t="s">
        <v>34</v>
      </c>
      <c r="P790" s="3">
        <v>45443</v>
      </c>
      <c r="Q790" s="3">
        <v>45474</v>
      </c>
      <c r="R790" s="2" t="s">
        <v>539</v>
      </c>
      <c r="S790" s="2" t="s">
        <v>63</v>
      </c>
    </row>
    <row r="791" spans="1:19" x14ac:dyDescent="0.25">
      <c r="A791" s="2" t="s">
        <v>540</v>
      </c>
      <c r="B791" s="2" t="s">
        <v>59</v>
      </c>
      <c r="C791" s="2" t="s">
        <v>466</v>
      </c>
      <c r="D791" s="2" t="s">
        <v>541</v>
      </c>
      <c r="E791" s="2">
        <v>50</v>
      </c>
      <c r="F791" s="2">
        <v>27.7075</v>
      </c>
      <c r="G791" s="2">
        <v>-82.500919999999994</v>
      </c>
      <c r="H791" s="2" t="s">
        <v>34</v>
      </c>
      <c r="I791" s="2" t="s">
        <v>46</v>
      </c>
      <c r="J791" s="2" t="s">
        <v>34</v>
      </c>
      <c r="K791" s="2" t="s">
        <v>34</v>
      </c>
      <c r="L791" s="2" t="s">
        <v>34</v>
      </c>
      <c r="M791" s="2" t="s">
        <v>34</v>
      </c>
      <c r="N791" s="2" t="s">
        <v>34</v>
      </c>
      <c r="O791" s="2" t="s">
        <v>34</v>
      </c>
      <c r="P791" s="3">
        <v>45443</v>
      </c>
      <c r="Q791" s="3">
        <v>45474</v>
      </c>
      <c r="R791" s="2" t="s">
        <v>542</v>
      </c>
      <c r="S791" s="2" t="s">
        <v>63</v>
      </c>
    </row>
    <row r="792" spans="1:19" x14ac:dyDescent="0.25">
      <c r="A792" s="2" t="s">
        <v>543</v>
      </c>
      <c r="B792" s="2" t="s">
        <v>59</v>
      </c>
      <c r="C792" s="2" t="s">
        <v>466</v>
      </c>
      <c r="D792" s="2" t="s">
        <v>544</v>
      </c>
      <c r="E792" s="2">
        <v>51</v>
      </c>
      <c r="F792" s="2">
        <v>27.706689999999998</v>
      </c>
      <c r="G792" s="2">
        <v>-82.500389999999996</v>
      </c>
      <c r="H792" s="2" t="s">
        <v>34</v>
      </c>
      <c r="I792" s="2" t="s">
        <v>46</v>
      </c>
      <c r="J792" s="2" t="s">
        <v>34</v>
      </c>
      <c r="K792" s="2" t="s">
        <v>34</v>
      </c>
      <c r="L792" s="2" t="s">
        <v>34</v>
      </c>
      <c r="M792" s="2" t="s">
        <v>34</v>
      </c>
      <c r="N792" s="2" t="s">
        <v>34</v>
      </c>
      <c r="O792" s="2" t="s">
        <v>34</v>
      </c>
      <c r="P792" s="3">
        <v>45443</v>
      </c>
      <c r="Q792" s="3">
        <v>45474</v>
      </c>
      <c r="R792" s="2" t="s">
        <v>545</v>
      </c>
      <c r="S792" s="2" t="s">
        <v>63</v>
      </c>
    </row>
    <row r="793" spans="1:19" x14ac:dyDescent="0.25">
      <c r="A793" s="2" t="s">
        <v>546</v>
      </c>
      <c r="B793" s="2" t="s">
        <v>59</v>
      </c>
      <c r="C793" s="2" t="s">
        <v>466</v>
      </c>
      <c r="D793" s="2" t="s">
        <v>547</v>
      </c>
      <c r="E793" s="2">
        <v>52</v>
      </c>
      <c r="F793" s="2">
        <v>27.700620000000001</v>
      </c>
      <c r="G793" s="2">
        <v>-82.502570000000006</v>
      </c>
      <c r="H793" s="2" t="s">
        <v>34</v>
      </c>
      <c r="I793" s="2" t="s">
        <v>46</v>
      </c>
      <c r="J793" s="2" t="s">
        <v>34</v>
      </c>
      <c r="K793" s="2" t="s">
        <v>34</v>
      </c>
      <c r="L793" s="2" t="s">
        <v>34</v>
      </c>
      <c r="M793" s="2" t="s">
        <v>34</v>
      </c>
      <c r="N793" s="2" t="s">
        <v>34</v>
      </c>
      <c r="O793" s="2" t="s">
        <v>34</v>
      </c>
      <c r="P793" s="3">
        <v>45443</v>
      </c>
      <c r="Q793" s="3">
        <v>45474</v>
      </c>
      <c r="R793" s="2" t="s">
        <v>548</v>
      </c>
      <c r="S793" s="2" t="s">
        <v>63</v>
      </c>
    </row>
    <row r="794" spans="1:19" x14ac:dyDescent="0.25">
      <c r="A794" s="2" t="s">
        <v>549</v>
      </c>
      <c r="B794" s="2" t="s">
        <v>59</v>
      </c>
      <c r="C794" s="2" t="s">
        <v>466</v>
      </c>
      <c r="D794" s="2" t="s">
        <v>550</v>
      </c>
      <c r="E794" s="2">
        <v>53</v>
      </c>
      <c r="F794" s="2">
        <v>27.706160000000001</v>
      </c>
      <c r="G794" s="2">
        <v>-82.503200000000007</v>
      </c>
      <c r="H794" s="2" t="s">
        <v>34</v>
      </c>
      <c r="I794" s="2" t="s">
        <v>46</v>
      </c>
      <c r="J794" s="2" t="s">
        <v>34</v>
      </c>
      <c r="K794" s="2" t="s">
        <v>34</v>
      </c>
      <c r="L794" s="2" t="s">
        <v>34</v>
      </c>
      <c r="M794" s="2" t="s">
        <v>34</v>
      </c>
      <c r="N794" s="2" t="s">
        <v>34</v>
      </c>
      <c r="O794" s="2" t="s">
        <v>34</v>
      </c>
      <c r="P794" s="3">
        <v>45443</v>
      </c>
      <c r="Q794" s="3">
        <v>45474</v>
      </c>
      <c r="R794" s="2" t="s">
        <v>551</v>
      </c>
      <c r="S794" s="2" t="s">
        <v>63</v>
      </c>
    </row>
    <row r="795" spans="1:19" x14ac:dyDescent="0.25">
      <c r="A795" s="2" t="s">
        <v>552</v>
      </c>
      <c r="B795" s="2" t="s">
        <v>59</v>
      </c>
      <c r="C795" s="2" t="s">
        <v>466</v>
      </c>
      <c r="D795" s="2" t="s">
        <v>553</v>
      </c>
      <c r="E795" s="2">
        <v>54</v>
      </c>
      <c r="F795" s="2">
        <v>27.708189999999998</v>
      </c>
      <c r="G795" s="2">
        <v>-82.50712</v>
      </c>
      <c r="H795" s="2" t="s">
        <v>34</v>
      </c>
      <c r="I795" s="2" t="s">
        <v>46</v>
      </c>
      <c r="J795" s="2" t="s">
        <v>34</v>
      </c>
      <c r="K795" s="2" t="s">
        <v>34</v>
      </c>
      <c r="L795" s="2" t="s">
        <v>34</v>
      </c>
      <c r="M795" s="2" t="s">
        <v>34</v>
      </c>
      <c r="N795" s="2" t="s">
        <v>34</v>
      </c>
      <c r="O795" s="2" t="s">
        <v>34</v>
      </c>
      <c r="P795" s="3">
        <v>45443</v>
      </c>
      <c r="Q795" s="3">
        <v>45474</v>
      </c>
      <c r="R795" s="2" t="s">
        <v>554</v>
      </c>
      <c r="S795" s="2" t="s">
        <v>63</v>
      </c>
    </row>
    <row r="796" spans="1:19" x14ac:dyDescent="0.25">
      <c r="A796" s="2" t="s">
        <v>555</v>
      </c>
      <c r="B796" s="2" t="s">
        <v>59</v>
      </c>
      <c r="C796" s="2" t="s">
        <v>466</v>
      </c>
      <c r="D796" s="2" t="s">
        <v>556</v>
      </c>
      <c r="E796" s="2">
        <v>55</v>
      </c>
      <c r="F796" s="2">
        <v>27.709156</v>
      </c>
      <c r="G796" s="2">
        <v>-82.505830000000003</v>
      </c>
      <c r="H796" s="2" t="s">
        <v>34</v>
      </c>
      <c r="I796" s="2" t="s">
        <v>46</v>
      </c>
      <c r="J796" s="2" t="s">
        <v>34</v>
      </c>
      <c r="K796" s="2" t="s">
        <v>34</v>
      </c>
      <c r="L796" s="2" t="s">
        <v>34</v>
      </c>
      <c r="M796" s="2" t="s">
        <v>34</v>
      </c>
      <c r="N796" s="2" t="s">
        <v>34</v>
      </c>
      <c r="O796" s="2" t="s">
        <v>34</v>
      </c>
      <c r="P796" s="3">
        <v>45443</v>
      </c>
      <c r="Q796" s="3">
        <v>45474</v>
      </c>
      <c r="R796" s="2" t="s">
        <v>557</v>
      </c>
      <c r="S796" s="2" t="s">
        <v>63</v>
      </c>
    </row>
    <row r="797" spans="1:19" x14ac:dyDescent="0.25">
      <c r="A797" s="2" t="s">
        <v>558</v>
      </c>
      <c r="B797" s="2" t="s">
        <v>59</v>
      </c>
      <c r="C797" s="2" t="s">
        <v>466</v>
      </c>
      <c r="D797" s="2" t="s">
        <v>559</v>
      </c>
      <c r="E797" s="2">
        <v>56</v>
      </c>
      <c r="F797" s="2">
        <v>27.71096</v>
      </c>
      <c r="G797" s="2">
        <v>-82.49736</v>
      </c>
      <c r="H797" s="2" t="s">
        <v>34</v>
      </c>
      <c r="I797" s="2" t="s">
        <v>46</v>
      </c>
      <c r="J797" s="2" t="s">
        <v>34</v>
      </c>
      <c r="K797" s="2" t="s">
        <v>34</v>
      </c>
      <c r="L797" s="2" t="s">
        <v>34</v>
      </c>
      <c r="M797" s="2" t="s">
        <v>34</v>
      </c>
      <c r="N797" s="2" t="s">
        <v>34</v>
      </c>
      <c r="O797" s="2" t="s">
        <v>34</v>
      </c>
      <c r="P797" s="3">
        <v>45443</v>
      </c>
      <c r="Q797" s="3">
        <v>45474</v>
      </c>
      <c r="R797" s="2" t="s">
        <v>560</v>
      </c>
      <c r="S797" s="2" t="s">
        <v>63</v>
      </c>
    </row>
    <row r="798" spans="1:19" x14ac:dyDescent="0.25">
      <c r="A798" s="2" t="s">
        <v>561</v>
      </c>
      <c r="B798" s="2" t="s">
        <v>59</v>
      </c>
      <c r="C798" s="2" t="s">
        <v>466</v>
      </c>
      <c r="D798" s="2" t="s">
        <v>562</v>
      </c>
      <c r="E798" s="2">
        <v>57</v>
      </c>
      <c r="F798" s="2">
        <v>27.710730000000002</v>
      </c>
      <c r="G798" s="2">
        <v>-82.497349999999997</v>
      </c>
      <c r="H798" s="2" t="s">
        <v>34</v>
      </c>
      <c r="I798" s="2" t="s">
        <v>46</v>
      </c>
      <c r="J798" s="2" t="s">
        <v>34</v>
      </c>
      <c r="K798" s="2" t="s">
        <v>34</v>
      </c>
      <c r="L798" s="2" t="s">
        <v>34</v>
      </c>
      <c r="M798" s="2" t="s">
        <v>34</v>
      </c>
      <c r="N798" s="2" t="s">
        <v>34</v>
      </c>
      <c r="O798" s="2" t="s">
        <v>34</v>
      </c>
      <c r="P798" s="3">
        <v>45443</v>
      </c>
      <c r="Q798" s="3">
        <v>45474</v>
      </c>
      <c r="R798" s="2" t="s">
        <v>563</v>
      </c>
      <c r="S798" s="2" t="s">
        <v>63</v>
      </c>
    </row>
    <row r="799" spans="1:19" x14ac:dyDescent="0.25">
      <c r="A799" s="2" t="s">
        <v>564</v>
      </c>
      <c r="B799" s="2" t="s">
        <v>59</v>
      </c>
      <c r="C799" s="2" t="s">
        <v>466</v>
      </c>
      <c r="D799" s="2" t="s">
        <v>565</v>
      </c>
      <c r="E799" s="2">
        <v>58</v>
      </c>
      <c r="F799" s="2">
        <v>27.712599999999998</v>
      </c>
      <c r="G799" s="2">
        <v>-82.493690000000001</v>
      </c>
      <c r="H799" s="2" t="s">
        <v>34</v>
      </c>
      <c r="I799" s="2" t="s">
        <v>46</v>
      </c>
      <c r="J799" s="2" t="s">
        <v>34</v>
      </c>
      <c r="K799" s="2" t="s">
        <v>34</v>
      </c>
      <c r="L799" s="2" t="s">
        <v>34</v>
      </c>
      <c r="M799" s="2" t="s">
        <v>34</v>
      </c>
      <c r="N799" s="2" t="s">
        <v>34</v>
      </c>
      <c r="O799" s="2" t="s">
        <v>34</v>
      </c>
      <c r="P799" s="3">
        <v>45443</v>
      </c>
      <c r="Q799" s="3">
        <v>45474</v>
      </c>
      <c r="R799" s="2" t="s">
        <v>566</v>
      </c>
      <c r="S799" s="2" t="s">
        <v>63</v>
      </c>
    </row>
    <row r="800" spans="1:19" x14ac:dyDescent="0.25">
      <c r="A800" s="2" t="s">
        <v>499</v>
      </c>
      <c r="B800" s="2" t="s">
        <v>59</v>
      </c>
      <c r="C800" s="2" t="s">
        <v>500</v>
      </c>
      <c r="D800" s="2" t="s">
        <v>501</v>
      </c>
      <c r="E800" s="2">
        <v>59</v>
      </c>
      <c r="F800" s="2">
        <v>27.5275</v>
      </c>
      <c r="G800" s="2">
        <v>-82.470832999999999</v>
      </c>
      <c r="H800" s="2" t="s">
        <v>34</v>
      </c>
      <c r="I800" s="2" t="s">
        <v>46</v>
      </c>
      <c r="J800" s="2" t="s">
        <v>34</v>
      </c>
      <c r="K800" s="2" t="s">
        <v>34</v>
      </c>
      <c r="L800" s="2" t="s">
        <v>34</v>
      </c>
      <c r="M800" s="2" t="s">
        <v>34</v>
      </c>
      <c r="N800" s="2" t="s">
        <v>34</v>
      </c>
      <c r="O800" s="2" t="s">
        <v>34</v>
      </c>
      <c r="P800" s="3">
        <v>45473</v>
      </c>
      <c r="Q800" s="3">
        <v>45566</v>
      </c>
      <c r="R800" s="2" t="s">
        <v>502</v>
      </c>
      <c r="S800" s="2" t="s">
        <v>63</v>
      </c>
    </row>
    <row r="801" spans="1:32" x14ac:dyDescent="0.25">
      <c r="A801" s="2" t="s">
        <v>1738</v>
      </c>
      <c r="B801" s="2" t="s">
        <v>59</v>
      </c>
      <c r="C801" s="2" t="s">
        <v>500</v>
      </c>
      <c r="D801" s="2" t="s">
        <v>1739</v>
      </c>
      <c r="E801" s="2">
        <v>60</v>
      </c>
      <c r="F801" s="2">
        <v>27.52487</v>
      </c>
      <c r="G801" s="2">
        <v>-82.480829999999997</v>
      </c>
      <c r="H801" s="2" t="s">
        <v>34</v>
      </c>
      <c r="I801" s="2" t="s">
        <v>46</v>
      </c>
      <c r="J801" s="2" t="s">
        <v>34</v>
      </c>
      <c r="K801" s="2" t="s">
        <v>34</v>
      </c>
      <c r="L801" s="2" t="s">
        <v>34</v>
      </c>
      <c r="M801" s="2" t="s">
        <v>34</v>
      </c>
      <c r="N801" s="2" t="s">
        <v>34</v>
      </c>
      <c r="O801" s="2" t="s">
        <v>34</v>
      </c>
      <c r="P801" s="3">
        <v>45473</v>
      </c>
      <c r="Q801" s="3">
        <v>45566</v>
      </c>
      <c r="R801" s="2" t="s">
        <v>1740</v>
      </c>
      <c r="S801" s="2" t="s">
        <v>63</v>
      </c>
    </row>
    <row r="802" spans="1:32" x14ac:dyDescent="0.25">
      <c r="A802" s="2" t="s">
        <v>1741</v>
      </c>
      <c r="B802" s="2" t="s">
        <v>59</v>
      </c>
      <c r="C802" s="2" t="s">
        <v>500</v>
      </c>
      <c r="D802" s="2" t="s">
        <v>1742</v>
      </c>
      <c r="E802" s="2">
        <v>61</v>
      </c>
      <c r="F802" s="2">
        <v>27.52094</v>
      </c>
      <c r="G802" s="2">
        <v>-82.474159999999998</v>
      </c>
      <c r="H802" s="2" t="s">
        <v>34</v>
      </c>
      <c r="I802" s="2" t="s">
        <v>46</v>
      </c>
      <c r="J802" s="2" t="s">
        <v>34</v>
      </c>
      <c r="K802" s="2" t="s">
        <v>34</v>
      </c>
      <c r="L802" s="2" t="s">
        <v>34</v>
      </c>
      <c r="M802" s="2" t="s">
        <v>34</v>
      </c>
      <c r="N802" s="2" t="s">
        <v>34</v>
      </c>
      <c r="O802" s="2" t="s">
        <v>34</v>
      </c>
      <c r="P802" s="3">
        <v>45473</v>
      </c>
      <c r="Q802" s="3">
        <v>45566</v>
      </c>
      <c r="R802" s="2" t="s">
        <v>1743</v>
      </c>
      <c r="S802" s="2" t="s">
        <v>63</v>
      </c>
    </row>
    <row r="803" spans="1:32" x14ac:dyDescent="0.25">
      <c r="A803" s="2" t="s">
        <v>1744</v>
      </c>
      <c r="B803" s="2" t="s">
        <v>59</v>
      </c>
      <c r="C803" s="2" t="s">
        <v>500</v>
      </c>
      <c r="D803" s="2" t="s">
        <v>1745</v>
      </c>
      <c r="E803" s="2">
        <v>62</v>
      </c>
      <c r="F803" s="2">
        <v>27.520990000000001</v>
      </c>
      <c r="G803" s="2">
        <v>-82.478949999999998</v>
      </c>
      <c r="H803" s="2" t="s">
        <v>34</v>
      </c>
      <c r="I803" s="2" t="s">
        <v>46</v>
      </c>
      <c r="J803" s="2" t="s">
        <v>34</v>
      </c>
      <c r="K803" s="2" t="s">
        <v>34</v>
      </c>
      <c r="L803" s="2" t="s">
        <v>34</v>
      </c>
      <c r="M803" s="2" t="s">
        <v>34</v>
      </c>
      <c r="N803" s="2" t="s">
        <v>34</v>
      </c>
      <c r="O803" s="2" t="s">
        <v>34</v>
      </c>
      <c r="P803" s="3">
        <v>45473</v>
      </c>
      <c r="Q803" s="3">
        <v>45566</v>
      </c>
      <c r="R803" s="2" t="s">
        <v>1746</v>
      </c>
      <c r="S803" s="2" t="s">
        <v>63</v>
      </c>
    </row>
    <row r="804" spans="1:32" x14ac:dyDescent="0.25">
      <c r="A804" s="2" t="s">
        <v>1747</v>
      </c>
      <c r="B804" s="2" t="s">
        <v>59</v>
      </c>
      <c r="C804" s="2" t="s">
        <v>500</v>
      </c>
      <c r="D804" s="2" t="s">
        <v>1748</v>
      </c>
      <c r="E804" s="2">
        <v>63</v>
      </c>
      <c r="F804" s="2">
        <v>27.524380000000001</v>
      </c>
      <c r="G804" s="2">
        <v>-82.482640000000004</v>
      </c>
      <c r="H804" s="2" t="s">
        <v>34</v>
      </c>
      <c r="I804" s="2" t="s">
        <v>46</v>
      </c>
      <c r="J804" s="2" t="s">
        <v>34</v>
      </c>
      <c r="K804" s="2" t="s">
        <v>34</v>
      </c>
      <c r="L804" s="2" t="s">
        <v>34</v>
      </c>
      <c r="M804" s="2" t="s">
        <v>34</v>
      </c>
      <c r="N804" s="2" t="s">
        <v>34</v>
      </c>
      <c r="O804" s="2" t="s">
        <v>34</v>
      </c>
      <c r="P804" s="3">
        <v>45473</v>
      </c>
      <c r="Q804" s="3">
        <v>45566</v>
      </c>
      <c r="R804" s="2" t="s">
        <v>1749</v>
      </c>
      <c r="S804" s="2" t="s">
        <v>63</v>
      </c>
    </row>
    <row r="805" spans="1:32" x14ac:dyDescent="0.25">
      <c r="A805" s="2" t="s">
        <v>1750</v>
      </c>
      <c r="B805" s="2" t="s">
        <v>59</v>
      </c>
      <c r="C805" s="2" t="s">
        <v>500</v>
      </c>
      <c r="D805" s="2" t="s">
        <v>1751</v>
      </c>
      <c r="E805" s="2">
        <v>64</v>
      </c>
      <c r="F805" s="2">
        <v>27.5242</v>
      </c>
      <c r="G805" s="2">
        <v>-82.48415</v>
      </c>
      <c r="H805" s="2" t="s">
        <v>34</v>
      </c>
      <c r="I805" s="2" t="s">
        <v>46</v>
      </c>
      <c r="J805" s="2" t="s">
        <v>34</v>
      </c>
      <c r="K805" s="2" t="s">
        <v>34</v>
      </c>
      <c r="L805" s="2" t="s">
        <v>34</v>
      </c>
      <c r="M805" s="2" t="s">
        <v>34</v>
      </c>
      <c r="N805" s="2" t="s">
        <v>34</v>
      </c>
      <c r="O805" s="2" t="s">
        <v>34</v>
      </c>
      <c r="P805" s="3">
        <v>45473</v>
      </c>
      <c r="Q805" s="3">
        <v>45566</v>
      </c>
      <c r="R805" s="2" t="s">
        <v>1752</v>
      </c>
      <c r="S805" s="2" t="s">
        <v>63</v>
      </c>
    </row>
    <row r="806" spans="1:32" x14ac:dyDescent="0.25">
      <c r="A806" s="2" t="s">
        <v>1753</v>
      </c>
      <c r="B806" s="2" t="s">
        <v>59</v>
      </c>
      <c r="C806" s="2" t="s">
        <v>500</v>
      </c>
      <c r="D806" s="2" t="s">
        <v>1754</v>
      </c>
      <c r="E806" s="2">
        <v>65</v>
      </c>
      <c r="F806" s="2">
        <v>27.53004</v>
      </c>
      <c r="G806" s="2">
        <v>-82.498329999999996</v>
      </c>
      <c r="H806" s="2" t="s">
        <v>34</v>
      </c>
      <c r="I806" s="2" t="s">
        <v>46</v>
      </c>
      <c r="J806" s="2" t="s">
        <v>34</v>
      </c>
      <c r="K806" s="2" t="s">
        <v>34</v>
      </c>
      <c r="L806" s="2" t="s">
        <v>34</v>
      </c>
      <c r="M806" s="2" t="s">
        <v>34</v>
      </c>
      <c r="N806" s="2" t="s">
        <v>34</v>
      </c>
      <c r="O806" s="2" t="s">
        <v>34</v>
      </c>
      <c r="P806" s="3">
        <v>45473</v>
      </c>
      <c r="Q806" s="3">
        <v>45566</v>
      </c>
      <c r="R806" s="2" t="s">
        <v>1755</v>
      </c>
      <c r="S806" s="2" t="s">
        <v>63</v>
      </c>
    </row>
    <row r="807" spans="1:32" x14ac:dyDescent="0.25">
      <c r="A807" s="2" t="s">
        <v>1756</v>
      </c>
      <c r="B807" s="2" t="s">
        <v>59</v>
      </c>
      <c r="C807" s="2" t="s">
        <v>500</v>
      </c>
      <c r="D807" s="2" t="s">
        <v>1757</v>
      </c>
      <c r="E807" s="2">
        <v>66</v>
      </c>
      <c r="F807" s="2">
        <v>27.529019999999999</v>
      </c>
      <c r="G807" s="2">
        <v>-82.502129999999994</v>
      </c>
      <c r="H807" s="2" t="s">
        <v>34</v>
      </c>
      <c r="I807" s="2" t="s">
        <v>46</v>
      </c>
      <c r="J807" s="2" t="s">
        <v>34</v>
      </c>
      <c r="K807" s="2" t="s">
        <v>34</v>
      </c>
      <c r="L807" s="2" t="s">
        <v>34</v>
      </c>
      <c r="M807" s="2" t="s">
        <v>34</v>
      </c>
      <c r="N807" s="2" t="s">
        <v>34</v>
      </c>
      <c r="O807" s="2" t="s">
        <v>34</v>
      </c>
      <c r="P807" s="3">
        <v>45473</v>
      </c>
      <c r="Q807" s="3">
        <v>45566</v>
      </c>
      <c r="R807" s="2" t="s">
        <v>1758</v>
      </c>
      <c r="S807" s="2" t="s">
        <v>63</v>
      </c>
    </row>
    <row r="808" spans="1:32" x14ac:dyDescent="0.25">
      <c r="A808" s="2" t="s">
        <v>1759</v>
      </c>
      <c r="B808" s="2" t="s">
        <v>59</v>
      </c>
      <c r="C808" s="2" t="s">
        <v>500</v>
      </c>
      <c r="D808" s="2" t="s">
        <v>1760</v>
      </c>
      <c r="E808" s="2">
        <v>67</v>
      </c>
      <c r="F808" s="2">
        <v>27.528320000000001</v>
      </c>
      <c r="G808" s="2">
        <v>-82.504239999999996</v>
      </c>
      <c r="H808" s="2" t="s">
        <v>34</v>
      </c>
      <c r="I808" s="2" t="s">
        <v>46</v>
      </c>
      <c r="J808" s="2" t="s">
        <v>34</v>
      </c>
      <c r="K808" s="2" t="s">
        <v>34</v>
      </c>
      <c r="L808" s="2" t="s">
        <v>34</v>
      </c>
      <c r="M808" s="2" t="s">
        <v>34</v>
      </c>
      <c r="N808" s="2" t="s">
        <v>34</v>
      </c>
      <c r="O808" s="2" t="s">
        <v>34</v>
      </c>
      <c r="P808" s="3">
        <v>45473</v>
      </c>
      <c r="Q808" s="3">
        <v>45566</v>
      </c>
      <c r="R808" s="2" t="s">
        <v>1761</v>
      </c>
      <c r="S808" s="2" t="s">
        <v>63</v>
      </c>
    </row>
    <row r="809" spans="1:32" x14ac:dyDescent="0.25">
      <c r="A809" s="2" t="s">
        <v>1762</v>
      </c>
      <c r="B809" s="2" t="s">
        <v>59</v>
      </c>
      <c r="C809" s="2" t="s">
        <v>500</v>
      </c>
      <c r="D809" s="2" t="s">
        <v>1763</v>
      </c>
      <c r="E809" s="2">
        <v>68</v>
      </c>
      <c r="F809" s="2">
        <v>27.522300000000001</v>
      </c>
      <c r="G809" s="2">
        <v>-82.504189999999994</v>
      </c>
      <c r="H809" s="2" t="s">
        <v>34</v>
      </c>
      <c r="I809" s="2" t="s">
        <v>46</v>
      </c>
      <c r="J809" s="2" t="s">
        <v>34</v>
      </c>
      <c r="K809" s="2" t="s">
        <v>34</v>
      </c>
      <c r="L809" s="2" t="s">
        <v>34</v>
      </c>
      <c r="M809" s="2" t="s">
        <v>34</v>
      </c>
      <c r="N809" s="2" t="s">
        <v>34</v>
      </c>
      <c r="O809" s="2" t="s">
        <v>34</v>
      </c>
      <c r="P809" s="3">
        <v>45473</v>
      </c>
      <c r="Q809" s="3">
        <v>45566</v>
      </c>
      <c r="R809" s="2" t="s">
        <v>1764</v>
      </c>
      <c r="S809" s="2" t="s">
        <v>63</v>
      </c>
    </row>
    <row r="810" spans="1:32" x14ac:dyDescent="0.25">
      <c r="A810" s="2" t="s">
        <v>1765</v>
      </c>
      <c r="B810" s="2" t="s">
        <v>59</v>
      </c>
      <c r="C810" s="2" t="s">
        <v>500</v>
      </c>
      <c r="D810" s="2" t="s">
        <v>1766</v>
      </c>
      <c r="E810" s="2">
        <v>69</v>
      </c>
      <c r="F810" s="2">
        <v>27.520820000000001</v>
      </c>
      <c r="G810" s="2">
        <v>-82.503299999999996</v>
      </c>
      <c r="H810" s="2" t="s">
        <v>34</v>
      </c>
      <c r="I810" s="2" t="s">
        <v>46</v>
      </c>
      <c r="J810" s="2" t="s">
        <v>34</v>
      </c>
      <c r="K810" s="2" t="s">
        <v>34</v>
      </c>
      <c r="L810" s="2" t="s">
        <v>34</v>
      </c>
      <c r="M810" s="2" t="s">
        <v>34</v>
      </c>
      <c r="N810" s="2" t="s">
        <v>34</v>
      </c>
      <c r="O810" s="2" t="s">
        <v>34</v>
      </c>
      <c r="P810" s="3">
        <v>45473</v>
      </c>
      <c r="Q810" s="3">
        <v>45566</v>
      </c>
      <c r="R810" s="2" t="s">
        <v>1767</v>
      </c>
      <c r="S810" s="2" t="s">
        <v>63</v>
      </c>
    </row>
    <row r="811" spans="1:32" x14ac:dyDescent="0.25">
      <c r="A811" s="2" t="s">
        <v>1768</v>
      </c>
      <c r="B811" s="2" t="s">
        <v>59</v>
      </c>
      <c r="C811" s="2" t="s">
        <v>500</v>
      </c>
      <c r="D811" s="2" t="s">
        <v>1769</v>
      </c>
      <c r="E811" s="2">
        <v>70</v>
      </c>
      <c r="F811" s="2">
        <v>27.52253</v>
      </c>
      <c r="G811" s="2">
        <v>-82.497510000000005</v>
      </c>
      <c r="H811" s="2" t="s">
        <v>34</v>
      </c>
      <c r="I811" s="2" t="s">
        <v>46</v>
      </c>
      <c r="J811" s="2" t="s">
        <v>34</v>
      </c>
      <c r="K811" s="2" t="s">
        <v>34</v>
      </c>
      <c r="L811" s="2" t="s">
        <v>34</v>
      </c>
      <c r="M811" s="2" t="s">
        <v>34</v>
      </c>
      <c r="N811" s="2" t="s">
        <v>34</v>
      </c>
      <c r="O811" s="2" t="s">
        <v>34</v>
      </c>
      <c r="P811" s="3">
        <v>45473</v>
      </c>
      <c r="Q811" s="3">
        <v>45566</v>
      </c>
      <c r="R811" s="2" t="s">
        <v>1770</v>
      </c>
      <c r="S811" s="2" t="s">
        <v>63</v>
      </c>
    </row>
    <row r="812" spans="1:32" x14ac:dyDescent="0.25">
      <c r="A812" s="2" t="s">
        <v>1771</v>
      </c>
      <c r="B812" s="2" t="s">
        <v>59</v>
      </c>
      <c r="C812" s="2" t="s">
        <v>500</v>
      </c>
      <c r="D812" s="2" t="s">
        <v>1772</v>
      </c>
      <c r="E812" s="2">
        <v>71</v>
      </c>
      <c r="F812" s="2">
        <v>27.520769999999999</v>
      </c>
      <c r="G812" s="2">
        <v>-82.507549999999995</v>
      </c>
      <c r="H812" s="2" t="s">
        <v>34</v>
      </c>
      <c r="I812" s="2" t="s">
        <v>46</v>
      </c>
      <c r="J812" s="2" t="s">
        <v>34</v>
      </c>
      <c r="K812" s="2" t="s">
        <v>34</v>
      </c>
      <c r="L812" s="2" t="s">
        <v>34</v>
      </c>
      <c r="M812" s="2" t="s">
        <v>34</v>
      </c>
      <c r="N812" s="2" t="s">
        <v>34</v>
      </c>
      <c r="O812" s="2" t="s">
        <v>34</v>
      </c>
      <c r="P812" s="3">
        <v>45473</v>
      </c>
      <c r="Q812" s="3">
        <v>45566</v>
      </c>
      <c r="R812" s="2" t="s">
        <v>1773</v>
      </c>
      <c r="S812" s="2" t="s">
        <v>63</v>
      </c>
    </row>
    <row r="813" spans="1:32" x14ac:dyDescent="0.25">
      <c r="A813" s="2" t="s">
        <v>1774</v>
      </c>
      <c r="B813" s="2" t="s">
        <v>59</v>
      </c>
      <c r="C813" s="2" t="s">
        <v>500</v>
      </c>
      <c r="D813" s="2" t="s">
        <v>1775</v>
      </c>
      <c r="E813" s="2">
        <v>72</v>
      </c>
      <c r="F813" s="2">
        <v>27.518740000000001</v>
      </c>
      <c r="G813" s="2">
        <v>-82.505319999999998</v>
      </c>
      <c r="H813" s="2" t="s">
        <v>34</v>
      </c>
      <c r="I813" s="2" t="s">
        <v>46</v>
      </c>
      <c r="J813" s="2" t="s">
        <v>34</v>
      </c>
      <c r="K813" s="2" t="s">
        <v>34</v>
      </c>
      <c r="L813" s="2" t="s">
        <v>34</v>
      </c>
      <c r="M813" s="2" t="s">
        <v>34</v>
      </c>
      <c r="N813" s="2" t="s">
        <v>34</v>
      </c>
      <c r="O813" s="2" t="s">
        <v>34</v>
      </c>
      <c r="P813" s="3">
        <v>45473</v>
      </c>
      <c r="Q813" s="3">
        <v>45566</v>
      </c>
      <c r="R813" s="2" t="s">
        <v>1776</v>
      </c>
      <c r="S813" s="2" t="s">
        <v>63</v>
      </c>
    </row>
    <row r="814" spans="1:32" x14ac:dyDescent="0.25">
      <c r="A814" s="2" t="s">
        <v>1777</v>
      </c>
      <c r="B814" s="2" t="s">
        <v>59</v>
      </c>
      <c r="C814" s="2" t="s">
        <v>500</v>
      </c>
      <c r="D814" s="2" t="s">
        <v>1778</v>
      </c>
      <c r="E814" s="2">
        <v>73</v>
      </c>
      <c r="F814" s="2">
        <v>27.513490000000001</v>
      </c>
      <c r="G814" s="2">
        <v>-82.506680000000003</v>
      </c>
      <c r="H814" s="2" t="s">
        <v>34</v>
      </c>
      <c r="I814" s="2" t="s">
        <v>46</v>
      </c>
      <c r="J814" s="2" t="s">
        <v>34</v>
      </c>
      <c r="K814" s="2" t="s">
        <v>34</v>
      </c>
      <c r="L814" s="2" t="s">
        <v>34</v>
      </c>
      <c r="M814" s="2" t="s">
        <v>34</v>
      </c>
      <c r="N814" s="2" t="s">
        <v>34</v>
      </c>
      <c r="O814" s="2" t="s">
        <v>34</v>
      </c>
      <c r="P814" s="3">
        <v>45473</v>
      </c>
      <c r="Q814" s="3">
        <v>45566</v>
      </c>
      <c r="R814" s="2" t="s">
        <v>1779</v>
      </c>
      <c r="S814" s="2" t="s">
        <v>63</v>
      </c>
    </row>
    <row r="815" spans="1:32" x14ac:dyDescent="0.25">
      <c r="A815" s="2" t="s">
        <v>1780</v>
      </c>
      <c r="B815" s="2" t="s">
        <v>59</v>
      </c>
      <c r="C815" s="2" t="s">
        <v>500</v>
      </c>
      <c r="D815" s="2" t="s">
        <v>1781</v>
      </c>
      <c r="E815" s="2">
        <v>74</v>
      </c>
      <c r="F815" s="2">
        <v>27.52589</v>
      </c>
      <c r="G815" s="2">
        <v>-82.511489999999995</v>
      </c>
      <c r="H815" s="2" t="s">
        <v>34</v>
      </c>
      <c r="I815" s="2" t="s">
        <v>46</v>
      </c>
      <c r="J815" s="2" t="s">
        <v>34</v>
      </c>
      <c r="K815" s="2" t="s">
        <v>34</v>
      </c>
      <c r="L815" s="2" t="s">
        <v>34</v>
      </c>
      <c r="M815" s="2" t="s">
        <v>34</v>
      </c>
      <c r="N815" s="2" t="s">
        <v>34</v>
      </c>
      <c r="O815" s="2" t="s">
        <v>34</v>
      </c>
      <c r="P815" s="3">
        <v>45473</v>
      </c>
      <c r="Q815" s="3">
        <v>45566</v>
      </c>
      <c r="R815" s="2" t="s">
        <v>1782</v>
      </c>
      <c r="S815" s="2" t="s">
        <v>63</v>
      </c>
    </row>
    <row r="816" spans="1:32" x14ac:dyDescent="0.25">
      <c r="A816" s="2">
        <v>401</v>
      </c>
      <c r="B816" s="2" t="s">
        <v>59</v>
      </c>
      <c r="C816" s="2" t="s">
        <v>500</v>
      </c>
      <c r="D816" s="2" t="s">
        <v>2292</v>
      </c>
      <c r="E816" s="2">
        <v>9</v>
      </c>
      <c r="F816" s="2" t="s">
        <v>9</v>
      </c>
      <c r="G816" s="2" t="s">
        <v>9</v>
      </c>
      <c r="H816" s="2" t="s">
        <v>9</v>
      </c>
      <c r="I816" s="2">
        <v>27.495699999999999</v>
      </c>
      <c r="J816" s="2">
        <v>82.523679999999999</v>
      </c>
      <c r="K816" s="2" t="s">
        <v>34</v>
      </c>
      <c r="L816" s="2" t="s">
        <v>34</v>
      </c>
      <c r="M816" s="2" t="s">
        <v>34</v>
      </c>
      <c r="N816" s="2" t="s">
        <v>46</v>
      </c>
      <c r="O816" s="2" t="s">
        <v>34</v>
      </c>
      <c r="P816" s="2" t="s">
        <v>46</v>
      </c>
      <c r="Q816" s="2" t="s">
        <v>34</v>
      </c>
      <c r="R816" s="2" t="s">
        <v>34</v>
      </c>
      <c r="S816" s="3">
        <v>46113</v>
      </c>
      <c r="T816" s="3">
        <v>73050</v>
      </c>
      <c r="U816" s="2" t="s">
        <v>2293</v>
      </c>
      <c r="V816" s="14">
        <v>46141</v>
      </c>
      <c r="W816" s="2" t="s">
        <v>1785</v>
      </c>
      <c r="X816" s="14">
        <v>46141</v>
      </c>
      <c r="Y816" s="2" t="s">
        <v>1785</v>
      </c>
      <c r="Z816" s="2" t="s">
        <v>9</v>
      </c>
      <c r="AA816" s="2" t="s">
        <v>9</v>
      </c>
      <c r="AB816" s="2" t="s">
        <v>2294</v>
      </c>
      <c r="AC816" s="2" t="s">
        <v>2295</v>
      </c>
      <c r="AD816" s="2" t="s">
        <v>2296</v>
      </c>
      <c r="AE816" s="2" t="s">
        <v>63</v>
      </c>
      <c r="AF81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Template</vt:lpstr>
      <vt:lpstr>FixedLocations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2024-12-17T12:44:21Z</dcterms:created>
  <dcterms:modified xsi:type="dcterms:W3CDTF">2026-07-27T14:11:05Z</dcterms:modified>
</cp:coreProperties>
</file>