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Levine\Documents\GitHub\SQL-Database-Corrections\Uploads\Data\"/>
    </mc:Choice>
  </mc:AlternateContent>
  <xr:revisionPtr revIDLastSave="0" documentId="13_ncr:1_{7CBAD07A-C7F7-48E9-8191-1C3DAD651FBA}" xr6:coauthVersionLast="47" xr6:coauthVersionMax="47" xr10:uidLastSave="{00000000-0000-0000-0000-000000000000}"/>
  <bookViews>
    <workbookView xWindow="-120" yWindow="-120" windowWidth="29040" windowHeight="15720" activeTab="2" xr2:uid="{2108D022-863A-4DDA-9361-349A7F55884E}"/>
  </bookViews>
  <sheets>
    <sheet name="Instructions" sheetId="2" r:id="rId1"/>
    <sheet name="Template" sheetId="1" r:id="rId2"/>
    <sheet name="Fixed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G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3" i="1" a="1"/>
  <c r="B4" i="1" a="1"/>
  <c r="B5" i="1" a="1"/>
  <c r="B6" i="1" a="1"/>
  <c r="B7" i="1" a="1"/>
  <c r="B8" i="1" a="1"/>
  <c r="B9" i="1" a="1"/>
  <c r="B10" i="1" a="1"/>
  <c r="B11" i="1" a="1"/>
  <c r="B12" i="1" a="1"/>
  <c r="B13" i="1" a="1"/>
  <c r="B14" i="1" a="1"/>
  <c r="B15" i="1" a="1"/>
  <c r="B16" i="1" a="1"/>
  <c r="B17" i="1" a="1"/>
  <c r="B18" i="1" a="1"/>
  <c r="B19" i="1" a="1"/>
  <c r="B20" i="1" a="1"/>
  <c r="B21" i="1" a="1"/>
  <c r="B22" i="1" a="1"/>
  <c r="B23" i="1" a="1"/>
  <c r="B24" i="1" a="1"/>
  <c r="B25" i="1" a="1"/>
  <c r="B26" i="1" a="1"/>
  <c r="B27" i="1" a="1"/>
  <c r="B28" i="1" a="1"/>
  <c r="B29" i="1" a="1"/>
  <c r="B30" i="1" a="1"/>
  <c r="B31" i="1" a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M2" i="1"/>
  <c r="D2" i="1"/>
  <c r="A2" i="1"/>
  <c r="G2" i="1"/>
  <c r="F2" i="1"/>
  <c r="E2" i="1"/>
  <c r="C2" i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<sst xmlns="http://schemas.openxmlformats.org/spreadsheetml/2006/main" count="5111" uniqueCount="632">
  <si>
    <t>DataStatus</t>
  </si>
  <si>
    <t>DateEntered</t>
  </si>
  <si>
    <t>EnteredBy</t>
  </si>
  <si>
    <t>DateProofed</t>
  </si>
  <si>
    <t>ProofedBy</t>
  </si>
  <si>
    <t>DateCompleted</t>
  </si>
  <si>
    <t>CompletedBy</t>
  </si>
  <si>
    <t>Comments</t>
  </si>
  <si>
    <t>AdminNotes</t>
  </si>
  <si>
    <t>NULL</t>
  </si>
  <si>
    <t>Instructions for use:</t>
  </si>
  <si>
    <t>1. Determine the Estuary and Stations for which the data needs to be added. Confirm the stations are present in the FixedLocations Table.</t>
  </si>
  <si>
    <t>FixedLocationID</t>
  </si>
  <si>
    <t>Estuary</t>
  </si>
  <si>
    <t>SectionName</t>
  </si>
  <si>
    <t>StationName</t>
  </si>
  <si>
    <t>StationNumber</t>
  </si>
  <si>
    <t>LatitudeDec</t>
  </si>
  <si>
    <t>LongitudeDec</t>
  </si>
  <si>
    <t>Recruitment</t>
  </si>
  <si>
    <t>Survey</t>
  </si>
  <si>
    <t>Sediment</t>
  </si>
  <si>
    <t>Collections</t>
  </si>
  <si>
    <t>ShellBudget</t>
  </si>
  <si>
    <t>Dataloggers</t>
  </si>
  <si>
    <t>Cage</t>
  </si>
  <si>
    <t>Wave</t>
  </si>
  <si>
    <t>StartDate</t>
  </si>
  <si>
    <t>EndDate</t>
  </si>
  <si>
    <t>StationNameNumber</t>
  </si>
  <si>
    <t>EstuaryLongName</t>
  </si>
  <si>
    <t>AB</t>
  </si>
  <si>
    <t>E</t>
  </si>
  <si>
    <t>N</t>
  </si>
  <si>
    <t>Apalachicola Bay</t>
  </si>
  <si>
    <t>CR</t>
  </si>
  <si>
    <t>W</t>
  </si>
  <si>
    <t>Y</t>
  </si>
  <si>
    <t>Caloosahatchee River</t>
  </si>
  <si>
    <t>TB</t>
  </si>
  <si>
    <t>B</t>
  </si>
  <si>
    <t>Tampa Bay</t>
  </si>
  <si>
    <t>T026</t>
  </si>
  <si>
    <t>TB B 27482_82461 34</t>
  </si>
  <si>
    <t>TB-B-27482_82461-34</t>
  </si>
  <si>
    <t>SS</t>
  </si>
  <si>
    <t>SS-1</t>
  </si>
  <si>
    <t>SS-N-1</t>
  </si>
  <si>
    <t>Suwannee Sound</t>
  </si>
  <si>
    <t>SS-2</t>
  </si>
  <si>
    <t>SS-N-2</t>
  </si>
  <si>
    <t>SS-3</t>
  </si>
  <si>
    <t>SS-N-3</t>
  </si>
  <si>
    <t>SS-4</t>
  </si>
  <si>
    <t>SS-N-4</t>
  </si>
  <si>
    <t>C</t>
  </si>
  <si>
    <t>SS-5</t>
  </si>
  <si>
    <t>SS-C-5</t>
  </si>
  <si>
    <t>SS-6</t>
  </si>
  <si>
    <t>SS-C-6</t>
  </si>
  <si>
    <t>SS-7</t>
  </si>
  <si>
    <t>SS-C-7</t>
  </si>
  <si>
    <t>SS-8</t>
  </si>
  <si>
    <t>SS-C-8</t>
  </si>
  <si>
    <t>S</t>
  </si>
  <si>
    <t>SS-9</t>
  </si>
  <si>
    <t>SS-S-9</t>
  </si>
  <si>
    <t>SS-10</t>
  </si>
  <si>
    <t>SS-S-10</t>
  </si>
  <si>
    <t>SS-11</t>
  </si>
  <si>
    <t>SS-S-11</t>
  </si>
  <si>
    <t>SS-12</t>
  </si>
  <si>
    <t>SS-S-12</t>
  </si>
  <si>
    <t>DI6</t>
  </si>
  <si>
    <t>DI 6-6</t>
  </si>
  <si>
    <t>TC1</t>
  </si>
  <si>
    <t>TC 1-1</t>
  </si>
  <si>
    <t>TC2</t>
  </si>
  <si>
    <t>TC 2-2</t>
  </si>
  <si>
    <t>TC3</t>
  </si>
  <si>
    <t>TC 3-3</t>
  </si>
  <si>
    <t>TC4</t>
  </si>
  <si>
    <t>TC 4-4</t>
  </si>
  <si>
    <t>TC5</t>
  </si>
  <si>
    <t>TC 5-5</t>
  </si>
  <si>
    <t>TC6</t>
  </si>
  <si>
    <t>TC 6-6</t>
  </si>
  <si>
    <t>M</t>
  </si>
  <si>
    <t>R</t>
  </si>
  <si>
    <t>T027</t>
  </si>
  <si>
    <t>L</t>
  </si>
  <si>
    <t>TB L 27382_82433 35</t>
  </si>
  <si>
    <t>TB-L-27382_82433-35</t>
  </si>
  <si>
    <t>T028</t>
  </si>
  <si>
    <t>TB L 27377_82434 36</t>
  </si>
  <si>
    <t>TB-L-27377_82434-36</t>
  </si>
  <si>
    <t>T029</t>
  </si>
  <si>
    <t>TB L 27373_82438 37</t>
  </si>
  <si>
    <t>TB-L-27373_82438-37</t>
  </si>
  <si>
    <t>T030</t>
  </si>
  <si>
    <t>TB L 27374_82438 38</t>
  </si>
  <si>
    <t>TB-L-27374_82438-38</t>
  </si>
  <si>
    <t>T031</t>
  </si>
  <si>
    <t>TB L 27371_82440 39</t>
  </si>
  <si>
    <t>TB-L-27371_82440-39</t>
  </si>
  <si>
    <t>T032</t>
  </si>
  <si>
    <t>TB L 27386_82428 40</t>
  </si>
  <si>
    <t>TB-L-27386_82428-40</t>
  </si>
  <si>
    <t>Halfmoon</t>
  </si>
  <si>
    <t>Halfmoon-6</t>
  </si>
  <si>
    <t>Lighthouse</t>
  </si>
  <si>
    <t>Lighthouse-7</t>
  </si>
  <si>
    <t>Normans</t>
  </si>
  <si>
    <t>Normans-8</t>
  </si>
  <si>
    <t>Hotel</t>
  </si>
  <si>
    <t>Hotel-9</t>
  </si>
  <si>
    <t>East Lumps</t>
  </si>
  <si>
    <t>East Lumps-10</t>
  </si>
  <si>
    <t>Cat Point</t>
  </si>
  <si>
    <t>Cat Point-11</t>
  </si>
  <si>
    <t>Easthole</t>
  </si>
  <si>
    <t>Easthole-12</t>
  </si>
  <si>
    <t>Platform</t>
  </si>
  <si>
    <t>Platform-13</t>
  </si>
  <si>
    <t>Porters</t>
  </si>
  <si>
    <t>Porters-14</t>
  </si>
  <si>
    <t>Bulkhead</t>
  </si>
  <si>
    <t>Bulkhead-15</t>
  </si>
  <si>
    <t>Paradise Flats</t>
  </si>
  <si>
    <t>Paradise Flats-1</t>
  </si>
  <si>
    <t>Cabbage Top</t>
  </si>
  <si>
    <t>Cabbage Top-2</t>
  </si>
  <si>
    <t>Dry Bar North</t>
  </si>
  <si>
    <t>Dry Bar North-3</t>
  </si>
  <si>
    <t>Green Point</t>
  </si>
  <si>
    <t>Green Point-4</t>
  </si>
  <si>
    <t>Eleven Mile</t>
  </si>
  <si>
    <t>Eleven Mile-5</t>
  </si>
  <si>
    <t>BB</t>
  </si>
  <si>
    <t>BB CERP Deering</t>
  </si>
  <si>
    <t>BB CERP Deering-1</t>
  </si>
  <si>
    <t>Biscayne Bay</t>
  </si>
  <si>
    <t>BB CERP Black Point</t>
  </si>
  <si>
    <t>BB CERP Black Point-2</t>
  </si>
  <si>
    <t>BB CERP  South</t>
  </si>
  <si>
    <t>BB CERP  South-3</t>
  </si>
  <si>
    <t>PPT</t>
  </si>
  <si>
    <t>PPT-1</t>
  </si>
  <si>
    <t>IC</t>
  </si>
  <si>
    <t>IC-2</t>
  </si>
  <si>
    <t>BI</t>
  </si>
  <si>
    <t>BI-3</t>
  </si>
  <si>
    <t>KK</t>
  </si>
  <si>
    <t>KK-4</t>
  </si>
  <si>
    <t>LW</t>
  </si>
  <si>
    <t>LW-L-1</t>
  </si>
  <si>
    <t>LW-L-1-1</t>
  </si>
  <si>
    <t>Lake Worth</t>
  </si>
  <si>
    <t>LW-L-2</t>
  </si>
  <si>
    <t>LW-L-2-2</t>
  </si>
  <si>
    <t>LW-L-3</t>
  </si>
  <si>
    <t>LW-L-3-3</t>
  </si>
  <si>
    <t>LW-R-1</t>
  </si>
  <si>
    <t>LW-R-1-1</t>
  </si>
  <si>
    <t>LW-R-2</t>
  </si>
  <si>
    <t>LW-R-2-2</t>
  </si>
  <si>
    <t>LW-R-3</t>
  </si>
  <si>
    <t>LW-R-3-3</t>
  </si>
  <si>
    <t>LX</t>
  </si>
  <si>
    <t>LX-N-1</t>
  </si>
  <si>
    <t>LX-N-1-1</t>
  </si>
  <si>
    <t>Loxahatchee</t>
  </si>
  <si>
    <t>LX-N-2</t>
  </si>
  <si>
    <t>LX-N-2-2</t>
  </si>
  <si>
    <t>LX-N-3</t>
  </si>
  <si>
    <t>LX-N-3-3</t>
  </si>
  <si>
    <t>ARRA-LX-R-1</t>
  </si>
  <si>
    <t>ARRA-LX-R-1-1</t>
  </si>
  <si>
    <t>LX-S-1</t>
  </si>
  <si>
    <t>LX-S-1-1</t>
  </si>
  <si>
    <t>LX-S-2</t>
  </si>
  <si>
    <t>LX-S-2-2</t>
  </si>
  <si>
    <t>LX-S-3</t>
  </si>
  <si>
    <t>LX-S-3-3</t>
  </si>
  <si>
    <t>ML</t>
  </si>
  <si>
    <t>T</t>
  </si>
  <si>
    <t>ML turtle mound</t>
  </si>
  <si>
    <t>ML turtle mound-1</t>
  </si>
  <si>
    <t>Mosquito Lagoon</t>
  </si>
  <si>
    <t>ML turtle mound-2</t>
  </si>
  <si>
    <t>ML turtle mound-3</t>
  </si>
  <si>
    <t>SL</t>
  </si>
  <si>
    <t>SL-C-1</t>
  </si>
  <si>
    <t>SL-C-1-1</t>
  </si>
  <si>
    <t>St. Lucie</t>
  </si>
  <si>
    <t>SL-C-2</t>
  </si>
  <si>
    <t>SL-C-2-2</t>
  </si>
  <si>
    <t>SL-C-3</t>
  </si>
  <si>
    <t>SL-C-3-3</t>
  </si>
  <si>
    <t>ARRA-SL-L-1</t>
  </si>
  <si>
    <t>ARRA-SL-L-1-1</t>
  </si>
  <si>
    <t>ARRA-SL-L-2</t>
  </si>
  <si>
    <t>ARRA-SL-L-2-2</t>
  </si>
  <si>
    <t>SL-M-1</t>
  </si>
  <si>
    <t>SL-M-1-1</t>
  </si>
  <si>
    <t>SL-N-1</t>
  </si>
  <si>
    <t>SL-N-1-1</t>
  </si>
  <si>
    <t>SL-N-2</t>
  </si>
  <si>
    <t>SL-N-2-2</t>
  </si>
  <si>
    <t>SL-N-3</t>
  </si>
  <si>
    <t>SL-N-3-3</t>
  </si>
  <si>
    <t>ARRA-SL-R-1</t>
  </si>
  <si>
    <t>ARRA-SL-R-1-1</t>
  </si>
  <si>
    <t>ARRA-SL-R-2</t>
  </si>
  <si>
    <t>ARRA-SL-R-2-2</t>
  </si>
  <si>
    <t>ARRA-SL-R-3</t>
  </si>
  <si>
    <t>ARRA-SL-R-3-3</t>
  </si>
  <si>
    <t>ARRA-SL-R-4</t>
  </si>
  <si>
    <t>ARRA-SL-R-4-4</t>
  </si>
  <si>
    <t>SL-S-1</t>
  </si>
  <si>
    <t>SL-S-1-1</t>
  </si>
  <si>
    <t>SL-S-2</t>
  </si>
  <si>
    <t>SL-S-2-2</t>
  </si>
  <si>
    <t>SL-S-3</t>
  </si>
  <si>
    <t>SL-S-3-3</t>
  </si>
  <si>
    <t>SR</t>
  </si>
  <si>
    <t>Middle</t>
  </si>
  <si>
    <t>Middle-1</t>
  </si>
  <si>
    <t>Sebastian River</t>
  </si>
  <si>
    <t>Middle-2</t>
  </si>
  <si>
    <t>Middle-3</t>
  </si>
  <si>
    <t>TB Boca Ciega Clam Bayou</t>
  </si>
  <si>
    <t>TB Boca Ciega Clam Bayou-4</t>
  </si>
  <si>
    <t>TB Pinellas Point</t>
  </si>
  <si>
    <t>TB Pinellas Point-1</t>
  </si>
  <si>
    <t>TB Pinellas Point-2</t>
  </si>
  <si>
    <t>TB Skyway</t>
  </si>
  <si>
    <t>TB Skyway-2</t>
  </si>
  <si>
    <t>TB Pinellas Point-3</t>
  </si>
  <si>
    <t>TB Ft. Desoto</t>
  </si>
  <si>
    <t>TB Ft. Desoto-3</t>
  </si>
  <si>
    <t>FCMP LE-D-Seawall</t>
  </si>
  <si>
    <t>FCMP LE-D-Mangrove</t>
  </si>
  <si>
    <t>FCMP LE-D-Reef</t>
  </si>
  <si>
    <t>FCMP LE-D-Rest</t>
  </si>
  <si>
    <t>FCMP LE-S-Seawall</t>
  </si>
  <si>
    <t>FCMP LE-S-Mangrove</t>
  </si>
  <si>
    <t>FCMP LE-S-Reef</t>
  </si>
  <si>
    <t>FCMP LE-S-Rest</t>
  </si>
  <si>
    <t>TB Weedon</t>
  </si>
  <si>
    <t>TB Weedon-5</t>
  </si>
  <si>
    <t>FCMP ME-D-Seawall</t>
  </si>
  <si>
    <t>FCMP ME-D-Mangrove</t>
  </si>
  <si>
    <t>FCMP ME-D-Reef</t>
  </si>
  <si>
    <t>FCMP ME-D-Rest</t>
  </si>
  <si>
    <t>FCMP ME-S-Seawall</t>
  </si>
  <si>
    <t>FCMP ME-S-Mangrove</t>
  </si>
  <si>
    <t>FCMP ME-S-Reef</t>
  </si>
  <si>
    <t>FCMP ME-S-Rest</t>
  </si>
  <si>
    <t>U</t>
  </si>
  <si>
    <t>FCMP UE-D-Seawall</t>
  </si>
  <si>
    <t>FCMP UE-D-Mangrove</t>
  </si>
  <si>
    <t>FCMP UE-D-Reef</t>
  </si>
  <si>
    <t>FCMP UE-D-Rest</t>
  </si>
  <si>
    <t>FCMP UE-S-Seawall</t>
  </si>
  <si>
    <t>FCMP UE-S-Mangrove</t>
  </si>
  <si>
    <t>FCMP UE-S-Reef</t>
  </si>
  <si>
    <t>FCMP UE-S-Rest</t>
  </si>
  <si>
    <t>LW-R-4</t>
  </si>
  <si>
    <t>LW-R-4-4</t>
  </si>
  <si>
    <t>PE</t>
  </si>
  <si>
    <t>Mirage Bar</t>
  </si>
  <si>
    <t>Mirage Bar-1</t>
  </si>
  <si>
    <t>Pensacola Bay</t>
  </si>
  <si>
    <t>Trout Bayou #1</t>
  </si>
  <si>
    <t>Trout Bayou #1-2</t>
  </si>
  <si>
    <t>Dogleg Bar</t>
  </si>
  <si>
    <t>Dogleg Bar-3</t>
  </si>
  <si>
    <t>Garcon Bar</t>
  </si>
  <si>
    <t>Garcon Bar-4</t>
  </si>
  <si>
    <t>Boathouse Lumps</t>
  </si>
  <si>
    <t>Boathouse Lumps-5</t>
  </si>
  <si>
    <t>White Point</t>
  </si>
  <si>
    <t>White Point-6</t>
  </si>
  <si>
    <t>Escribano Point Bar</t>
  </si>
  <si>
    <t>Escribano Point Bar-7</t>
  </si>
  <si>
    <t>Halfmoon Bar</t>
  </si>
  <si>
    <t>Halfmoon Bar-8</t>
  </si>
  <si>
    <t>East River North</t>
  </si>
  <si>
    <t>East River North-9</t>
  </si>
  <si>
    <t>East River Beds</t>
  </si>
  <si>
    <t>East River Beds-10</t>
  </si>
  <si>
    <t>SA</t>
  </si>
  <si>
    <t>St. Andrew Bay</t>
  </si>
  <si>
    <t>Ward Creek Reef</t>
  </si>
  <si>
    <t>Ward Creek Reef-1</t>
  </si>
  <si>
    <t>Crooked Creek</t>
  </si>
  <si>
    <t>Crooked Creek-2</t>
  </si>
  <si>
    <t>South Channel Ridge</t>
  </si>
  <si>
    <t>South Channel Ridge-3</t>
  </si>
  <si>
    <t>West Bay Point</t>
  </si>
  <si>
    <t>West Bay Point-4</t>
  </si>
  <si>
    <t>Mud Bayou</t>
  </si>
  <si>
    <t>Mud Bayou-5</t>
  </si>
  <si>
    <t>Newman Bayou</t>
  </si>
  <si>
    <t>Newman Bayou-6</t>
  </si>
  <si>
    <t>Grassy Point</t>
  </si>
  <si>
    <t>Grassy Point-7</t>
  </si>
  <si>
    <t>Goose Point</t>
  </si>
  <si>
    <t>Goose Point-8</t>
  </si>
  <si>
    <t>Little Oyster Bar</t>
  </si>
  <si>
    <t>Little Oyster Bar-9</t>
  </si>
  <si>
    <t>Strange Bayou</t>
  </si>
  <si>
    <t>Strange Bayou-10</t>
  </si>
  <si>
    <t>Baker Point</t>
  </si>
  <si>
    <t>Baker Point-11</t>
  </si>
  <si>
    <t>SL-N-4</t>
  </si>
  <si>
    <t>SL-N-4-4</t>
  </si>
  <si>
    <t>TB North Skyway</t>
  </si>
  <si>
    <t>TB North Skyway 6</t>
  </si>
  <si>
    <t>TB Manatee River</t>
  </si>
  <si>
    <t>TB Manatee River 7</t>
  </si>
  <si>
    <t>TB Braden River</t>
  </si>
  <si>
    <t>TB Braden River 8</t>
  </si>
  <si>
    <t>BR1</t>
  </si>
  <si>
    <t>BR 1-1</t>
  </si>
  <si>
    <t>BR2</t>
  </si>
  <si>
    <t>BR 2-2</t>
  </si>
  <si>
    <t>BR3</t>
  </si>
  <si>
    <t>BR 3-3</t>
  </si>
  <si>
    <t>BR4</t>
  </si>
  <si>
    <t>BR 4-4</t>
  </si>
  <si>
    <t>BR5</t>
  </si>
  <si>
    <t>BR 5-5</t>
  </si>
  <si>
    <t>BR6</t>
  </si>
  <si>
    <t>BR 6-6</t>
  </si>
  <si>
    <t>EP1</t>
  </si>
  <si>
    <t>EP 1-1</t>
  </si>
  <si>
    <t>EP2</t>
  </si>
  <si>
    <t>EP 2-2</t>
  </si>
  <si>
    <t>EP3</t>
  </si>
  <si>
    <t>EP 3-3</t>
  </si>
  <si>
    <t>EP4</t>
  </si>
  <si>
    <t>EP 4-4</t>
  </si>
  <si>
    <t>EP5</t>
  </si>
  <si>
    <t>EP 5-5</t>
  </si>
  <si>
    <t>EP6</t>
  </si>
  <si>
    <t>EP 6-6</t>
  </si>
  <si>
    <t>DI1</t>
  </si>
  <si>
    <t>DI 1-1</t>
  </si>
  <si>
    <t>DI2</t>
  </si>
  <si>
    <t>DI 2-2</t>
  </si>
  <si>
    <t>DI3</t>
  </si>
  <si>
    <t>DI 3-3</t>
  </si>
  <si>
    <t>DI4</t>
  </si>
  <si>
    <t>DI 4-4</t>
  </si>
  <si>
    <t>DI5</t>
  </si>
  <si>
    <t>DI 5-5</t>
  </si>
  <si>
    <t>T023</t>
  </si>
  <si>
    <t>TB B 27477_82455 31</t>
  </si>
  <si>
    <t>TB-B-27477_82455-31</t>
  </si>
  <si>
    <t>T024</t>
  </si>
  <si>
    <t>TB B 27480_82457 32</t>
  </si>
  <si>
    <t>TB-B-27480_82457-32</t>
  </si>
  <si>
    <t>Date</t>
  </si>
  <si>
    <t>4. Enter your name and the date in the EnteredBy and DateEntered columns.</t>
  </si>
  <si>
    <t>DataType</t>
  </si>
  <si>
    <t>2. Enter the four-letter data type (i.e. RCRT), the 2-letter estuary code, and the station number for the data in ColA-C.</t>
  </si>
  <si>
    <t>5. On the "Template" sheet, use the formulas in row 2 to fill down until all stations are represented. Make sure to fill formulas in all columns (A:X)</t>
  </si>
  <si>
    <t>3. Fill in the date and data columns as able. If no data is recorded, leave the cell blank. RecordNumber = per event record (i.e. "1" in most cases)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</si>
  <si>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</si>
  <si>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</si>
  <si>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</si>
  <si>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</si>
  <si>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</si>
  <si>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</si>
  <si>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</si>
  <si>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</si>
  <si>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</si>
  <si>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</si>
  <si>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</si>
  <si>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0618</t>
  </si>
  <si>
    <t>0619</t>
  </si>
  <si>
    <t>0620</t>
  </si>
  <si>
    <t>0621</t>
  </si>
  <si>
    <t>0622</t>
  </si>
  <si>
    <t>0623</t>
  </si>
  <si>
    <t>0624</t>
  </si>
  <si>
    <t>0007</t>
  </si>
  <si>
    <t>0011</t>
  </si>
  <si>
    <t>0016</t>
  </si>
  <si>
    <t>0019</t>
  </si>
  <si>
    <t>0024</t>
  </si>
  <si>
    <t>0090</t>
  </si>
  <si>
    <t>0091</t>
  </si>
  <si>
    <t>0096</t>
  </si>
  <si>
    <t>0098</t>
  </si>
  <si>
    <t>0100</t>
  </si>
  <si>
    <t>0102</t>
  </si>
  <si>
    <t>0155</t>
  </si>
  <si>
    <t>0156</t>
  </si>
  <si>
    <t>0158</t>
  </si>
  <si>
    <t>0160</t>
  </si>
  <si>
    <t>0162</t>
  </si>
  <si>
    <t>0167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</si>
  <si>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</si>
  <si>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</si>
  <si>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</si>
  <si>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</si>
  <si>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</si>
  <si>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</si>
  <si>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</si>
  <si>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</si>
  <si>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</si>
  <si>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</si>
  <si>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</si>
  <si>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</si>
  <si>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</si>
  <si>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</si>
  <si>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</si>
  <si>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</si>
  <si>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</si>
  <si>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</si>
  <si>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</si>
  <si>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</si>
  <si>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</si>
  <si>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</si>
  <si>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</si>
  <si>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</si>
  <si>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</si>
  <si>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</si>
  <si>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</si>
  <si>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</si>
  <si>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</si>
  <si>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</si>
  <si>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</si>
  <si>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</si>
  <si>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</si>
  <si>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</si>
  <si>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</si>
  <si>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</si>
  <si>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</si>
  <si>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</si>
  <si>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</si>
  <si>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</si>
  <si>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</si>
  <si>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</si>
  <si>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</si>
  <si>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</si>
  <si>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</si>
  <si>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</si>
  <si>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</si>
  <si>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</si>
  <si>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</si>
  <si>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</si>
  <si>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</si>
  <si>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</si>
  <si>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</si>
  <si>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</si>
  <si>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</si>
  <si>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</si>
  <si>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</si>
  <si>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</si>
  <si>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</si>
  <si>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</si>
  <si>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</si>
  <si>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</si>
  <si>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</si>
  <si>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</si>
  <si>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</si>
  <si>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</si>
  <si>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</si>
  <si>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</si>
  <si>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</si>
  <si>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</si>
  <si>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</si>
  <si>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</si>
  <si>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</si>
  <si>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</si>
  <si>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</si>
  <si>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</si>
  <si>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</si>
  <si>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</si>
  <si>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</si>
  <si>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</si>
  <si>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</si>
  <si>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</si>
  <si>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</si>
  <si>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</si>
  <si>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</si>
  <si>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</si>
  <si>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</si>
  <si>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</si>
  <si>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</si>
  <si>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</si>
  <si>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</si>
  <si>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</si>
  <si>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</si>
  <si>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</si>
  <si>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</si>
  <si>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</si>
  <si>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</si>
  <si>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</si>
  <si>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</si>
  <si>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</si>
  <si>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</si>
  <si>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</si>
  <si>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</si>
  <si>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</si>
  <si>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</si>
  <si>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0527</t>
  </si>
  <si>
    <t>0528</t>
  </si>
  <si>
    <t>0529</t>
  </si>
  <si>
    <t>0538</t>
  </si>
  <si>
    <t>0539</t>
  </si>
  <si>
    <t>0540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</si>
  <si>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</si>
  <si>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</si>
  <si>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</si>
  <si>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</si>
  <si>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</si>
  <si>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</si>
  <si>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</si>
  <si>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</si>
  <si>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</si>
  <si>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</si>
  <si>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</si>
  <si>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</si>
  <si>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</si>
  <si>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</si>
  <si>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</si>
  <si>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</si>
  <si>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</si>
  <si>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</si>
  <si>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Added via SMSS</t>
  </si>
  <si>
    <t>OysterID</t>
  </si>
  <si>
    <t>COLL</t>
  </si>
  <si>
    <t>Completed</t>
  </si>
  <si>
    <t>EL</t>
  </si>
  <si>
    <t>27482_82461</t>
  </si>
  <si>
    <t>Proofed</t>
  </si>
  <si>
    <t>old Station Name SS-N-1 added Collections ShellBudget Datalogger trip types</t>
  </si>
  <si>
    <t>old Station Name SS-N-2 added Collections ShellBudget Datalogger trip types</t>
  </si>
  <si>
    <t>old Station Name SS-N-3 added Collections ShellBudget Datalogger trip types</t>
  </si>
  <si>
    <t>old Station Name SS-N-4 added Collections ShellBudget Datalogger trip types</t>
  </si>
  <si>
    <t>old Station Name SS-C-5 added Collections ShellBudget Datalogger trip types</t>
  </si>
  <si>
    <t>old Station Name SS-C-6 added Collections ShellBudget Datalogger trip types</t>
  </si>
  <si>
    <t>old Station Name SS-C-7 added Collections ShellBudget Datalogger trip types</t>
  </si>
  <si>
    <t>old Station Name SS-C-8 added Collections ShellBudget Datalogger trip types</t>
  </si>
  <si>
    <t>old Station Name SS-S-9 added Collections ShellBudget Datalogger trip types</t>
  </si>
  <si>
    <t>old Station Name SS-S-10 added Collections ShellBudget Datalogger trip types</t>
  </si>
  <si>
    <t>old Station Name SS-S-11 added Collections ShellBudget Datalogger trip types</t>
  </si>
  <si>
    <t>old Station Name SS-S-12 added Collections ShellBudget Datalogger trip types</t>
  </si>
  <si>
    <t>Deer Island</t>
  </si>
  <si>
    <t>Harvest CR</t>
  </si>
  <si>
    <t>removed space in Station Name</t>
  </si>
  <si>
    <t>Trout Creek</t>
  </si>
  <si>
    <t>Harvest PD</t>
  </si>
  <si>
    <t>27382_82433</t>
  </si>
  <si>
    <t>27377_82434</t>
  </si>
  <si>
    <t>27373_82438</t>
  </si>
  <si>
    <t>27374_82438</t>
  </si>
  <si>
    <t>27371_82440</t>
  </si>
  <si>
    <t>27386_82428</t>
  </si>
  <si>
    <t>SFWMD S 21</t>
  </si>
  <si>
    <t>SFWMD S 20G</t>
  </si>
  <si>
    <t>SFWMD S 20F</t>
  </si>
  <si>
    <t>Changed Sediment from N to Y 3/32/23, BH</t>
  </si>
  <si>
    <t>We never had  section names, just, Lagoon</t>
  </si>
  <si>
    <t>Horseshoe cove, between LXN1 &amp; LXN2</t>
  </si>
  <si>
    <t>ARRA Data</t>
  </si>
  <si>
    <t>South side of central estuary near dock</t>
  </si>
  <si>
    <t>ARRA Data; Section formerly LE</t>
  </si>
  <si>
    <t>Willoughby Creek</t>
  </si>
  <si>
    <t>Martin County restored oyster site</t>
  </si>
  <si>
    <t>North side of central estuary, east of SL-C1</t>
  </si>
  <si>
    <t>Central estuary, near Blue Marlins</t>
  </si>
  <si>
    <t>Lower estuary, near Hells Gate</t>
  </si>
  <si>
    <t>North fork, near golf course</t>
  </si>
  <si>
    <t>Strata = LE-D Habitat = Seawall; FCMP Data</t>
  </si>
  <si>
    <t>Strata = LE-D Habitat = Mangrove; FCMP Data</t>
  </si>
  <si>
    <t>Strata = LE-D Habitat = Reef; FCMP Data</t>
  </si>
  <si>
    <t>Strata = LE-D Habitat = Rest; FCMP Data</t>
  </si>
  <si>
    <t>Strata = LE-S Habitat = Seawall; FCMP Data</t>
  </si>
  <si>
    <t>Strata = LE-S Habitat = Mangrove; FCMP Data</t>
  </si>
  <si>
    <t>Strata = LE-S Habitat = Reef; FCMP Data</t>
  </si>
  <si>
    <t>Strata = LE-S Habitat = Rest; FCMP Data</t>
  </si>
  <si>
    <t>Strata = ME-D Habitat = Seawall; FCMP Data</t>
  </si>
  <si>
    <t>Strata = ME-D Habitat = Mangrove; FCMP Data</t>
  </si>
  <si>
    <t>Strata = ME-D Habitat = Reef; FCMP Data</t>
  </si>
  <si>
    <t>Strata = ME-D Habitat = Rest; FCMP Data</t>
  </si>
  <si>
    <t>Strata = ME-S Habitat = Seawall; FCMP Data</t>
  </si>
  <si>
    <t>Strata = ME-S Habitat = Mangrove; FCMP Data</t>
  </si>
  <si>
    <t>Strata = ME-S Habitat = Reef; FCMP Data</t>
  </si>
  <si>
    <t>Strata = ME-S Habitat = Rest; FCMP Data</t>
  </si>
  <si>
    <t>Strata = UE-D Habitat = Seawall; FCMP Data</t>
  </si>
  <si>
    <t>Strata = UE-D Habitat = Mangrove; FCMP Data</t>
  </si>
  <si>
    <t>Strata = UE-D Habitat = Reef; FCMP Data</t>
  </si>
  <si>
    <t>Strata = UE-D Habitat = Rest; FCMP Data</t>
  </si>
  <si>
    <t>Strata = UE-S Habitat = Seawall; FCMP Data</t>
  </si>
  <si>
    <t>Strata = UE-S Habitat = Mangrove; FCMP Data</t>
  </si>
  <si>
    <t>Strata = UE-S Habitat = Reef; FCMP Data</t>
  </si>
  <si>
    <t>Strata = UE-S Habitat = Rest; FCMP Data</t>
  </si>
  <si>
    <t>Added 5/19/2023 BH</t>
  </si>
  <si>
    <t>Big Reef</t>
  </si>
  <si>
    <t>Harvest CA</t>
  </si>
  <si>
    <t>East Pass</t>
  </si>
  <si>
    <t>27477_82455</t>
  </si>
  <si>
    <t>27480_82457</t>
  </si>
  <si>
    <t>SampleNumber</t>
  </si>
  <si>
    <t>ParcelName</t>
  </si>
  <si>
    <t>ParcelArea</t>
  </si>
  <si>
    <t>CultchDensity</t>
  </si>
  <si>
    <t>DateLastCultched</t>
  </si>
  <si>
    <t>SampleEventID</t>
  </si>
  <si>
    <t>Lily Harmon</t>
  </si>
  <si>
    <t>Sex</t>
  </si>
  <si>
    <t>ReproStage</t>
  </si>
  <si>
    <t>Parasite</t>
  </si>
  <si>
    <t>BadSlide</t>
  </si>
  <si>
    <t>F</t>
  </si>
  <si>
    <t>Yes</t>
  </si>
  <si>
    <t>No</t>
  </si>
  <si>
    <t>Z</t>
  </si>
  <si>
    <t>1=mat</t>
  </si>
  <si>
    <t xml:space="preserve">Missing slide </t>
  </si>
  <si>
    <t>0=imm</t>
  </si>
  <si>
    <t>TB Braden South</t>
  </si>
  <si>
    <t>Erica Williams</t>
  </si>
  <si>
    <t>Sex ratio project station</t>
  </si>
  <si>
    <t>Added via SMSS for sex ratio project samples</t>
  </si>
  <si>
    <t>TB Braden South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</si>
</sst>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2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0" xfId="0"/>
  </cellXfs>
  <cellStyles count="1">
    <cellStyle name="Normal" xfId="0" builtinId="0"/>
  </cellStyles>
  <dxfs count="6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80372-C358-4A72-8CFD-1BFF395B8C69}" name="Table2" displayName="Table2" ref="A8:Q38" totalsRowShown="0" headerRowDxfId="60" dataDxfId="59">
  <autoFilter ref="A8:Q38" xr:uid="{43680372-C358-4A72-8CFD-1BFF395B8C69}"/>
  <tableColumns count="17">
    <tableColumn id="20" xr3:uid="{FC1F9811-332A-4FBC-A60F-2ABD60672380}" name="DataType" dataDxfId="58"/>
    <tableColumn id="1" xr3:uid="{144FE1A1-5D1F-48A8-B4E0-C6821BF0BD54}" name="Date" dataDxfId="57"/>
    <tableColumn id="2" xr3:uid="{AFF01087-08D5-4CF6-9523-62D2D0BEBC6B}" name="Estuary" dataDxfId="56"/>
    <tableColumn id="12" xr3:uid="{6EFE869E-928F-4DE4-A001-CBD4B74318C1}" name="SectionName" dataDxfId="55"/>
    <tableColumn id="3" xr3:uid="{2970053B-A957-48FC-A90D-21B578A4956B}" name="StationNumber" dataDxfId="54"/>
    <tableColumn id="17" xr3:uid="{4C2D3540-8880-4E29-A792-D3848EAC3943}" name="SampleNumber" dataDxfId="53"/>
    <tableColumn id="5" xr3:uid="{8B92EA8F-2DFF-4C65-939A-39D87C62433B}" name="Sex" dataDxfId="52"/>
    <tableColumn id="8" xr3:uid="{620D9B3D-3590-426D-98A8-F3E6F4F31A69}" name="ReproStage" dataDxfId="51"/>
    <tableColumn id="9" xr3:uid="{6D5124A7-085C-4EFD-80B7-ACDC6F5DCA2D}" name="Parasite" dataDxfId="50"/>
    <tableColumn id="13" xr3:uid="{8DE4E2E4-6B89-404B-B341-392732A23929}" name="BadSlide" dataDxfId="49"/>
    <tableColumn id="6" xr3:uid="{F5327F91-F86A-4C2C-A3F7-57537D4418AD}" name="DataStatus" dataDxfId="48"/>
    <tableColumn id="15" xr3:uid="{23A9EA71-7204-424A-A1C6-DD44A7137225}" name="DateEntered" dataDxfId="47"/>
    <tableColumn id="16" xr3:uid="{59E70D4E-0FC7-43FD-854E-72E1A1B7CB06}" name="EnteredBy" dataDxfId="46"/>
    <tableColumn id="11" xr3:uid="{0F443646-4C27-407D-80D3-12490A534165}" name="DateProofed" dataDxfId="45"/>
    <tableColumn id="10" xr3:uid="{0F42751F-199A-4945-9AB0-66E85AF380E6}" name="ProofedBy" dataDxfId="44"/>
    <tableColumn id="7" xr3:uid="{3F500D1F-D5A9-4367-AF08-9AE0878D48C4}" name="Comments" dataDxfId="43"/>
    <tableColumn id="4" xr3:uid="{3CD401EF-CBAB-45C3-BCCC-5315251C9C37}" name="AdminNotes" dataDxfId="4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2694A-36A9-4030-BECA-4BEE30B549C7}" name="Table3" displayName="Table3" ref="B1:M31" totalsRowShown="0">
  <autoFilter ref="B1:M31" xr:uid="{D2B2694A-36A9-4030-BECA-4BEE30B549C7}"/>
  <tableColumns count="12">
    <tableColumn id="1" xr3:uid="{76D7ABEC-2288-4626-9B6A-9D01F60F39E0}" name="SampleEventID" dataDxfId="41">
      <calculatedColumnFormula array="1">_xlfn.CONCAT(Instructions!C9,Instructions!A9,"_",TEXT(Instructions!B9,"YYYYMMDD"),"_1_",INDEX(Table1[], MATCH(1,(Table1[Estuary]=Instructions!C9)*(Table1[SectionName]=Instructions!D9)*(Table1[StationNumber]=Instructions!E9)*(Instructions!B9&gt;Table1[StartDate])*(Instructions!B9&lt;Table1[EndDate]),0),1),"_1")</calculatedColumnFormula>
    </tableColumn>
    <tableColumn id="2" xr3:uid="{9F338ED6-22F6-4E24-AA7D-AC0F8BB69B23}" name="Sex" dataDxfId="40">
      <calculatedColumnFormula>Instructions!G9</calculatedColumnFormula>
    </tableColumn>
    <tableColumn id="3" xr3:uid="{BD967F3C-0D0C-4E5D-80F9-BD1C7E33A66B}" name="ReproStage">
      <calculatedColumnFormula>Instructions!H9</calculatedColumnFormula>
    </tableColumn>
    <tableColumn id="12" xr3:uid="{36D1E33A-4DE5-4053-922B-6E880D218F24}" name="Parasite">
      <calculatedColumnFormula>Instructions!I9</calculatedColumnFormula>
    </tableColumn>
    <tableColumn id="13" xr3:uid="{D244E709-7C65-411A-9E84-01FD8131200F}" name="BadSlide">
      <calculatedColumnFormula>Instructions!J9</calculatedColumnFormula>
    </tableColumn>
    <tableColumn id="17" xr3:uid="{095E345F-31E0-45E1-A75E-D26E3ADFCB1B}" name="DataStatus">
      <calculatedColumnFormula>Instructions!K9</calculatedColumnFormula>
    </tableColumn>
    <tableColumn id="18" xr3:uid="{58F892B1-7D00-4DB4-9264-0B45FFAD448B}" name="DateEntered" dataDxfId="39">
      <calculatedColumnFormula>IF(ISBLANK(Instructions!L9),"",Instructions!L9)</calculatedColumnFormula>
    </tableColumn>
    <tableColumn id="19" xr3:uid="{49D400BA-2D8E-449C-B429-4D906D77097B}" name="EnteredBy" dataDxfId="38">
      <calculatedColumnFormula>IF(ISBLANK(Instructions!M9),"",Instructions!M9)</calculatedColumnFormula>
    </tableColumn>
    <tableColumn id="6" xr3:uid="{561016AF-F947-45A1-BFCA-7C2354D77162}" name="DateProofed" dataDxfId="37">
      <calculatedColumnFormula>IF(ISBLANK(Instructions!N9),"",Instructions!N9)</calculatedColumnFormula>
    </tableColumn>
    <tableColumn id="5" xr3:uid="{E79944DB-7156-4A5E-8D23-A8870F2E1C94}" name="ProofedBy" dataDxfId="36">
      <calculatedColumnFormula>IF(ISBLANK(Instructions!O9),"",Instructions!O9)</calculatedColumnFormula>
    </tableColumn>
    <tableColumn id="20" xr3:uid="{31CAB6D2-8900-4335-A113-FA44B7FC3BC8}" name="Comments" dataDxfId="35">
      <calculatedColumnFormula>IF(ISBLANK(Instructions!P9),"",Instructions!P9)</calculatedColumnFormula>
    </tableColumn>
    <tableColumn id="4" xr3:uid="{B5ED7F1C-175A-40BD-A0D9-4AE0C22437C1}" name="AdminNotes" dataDxfId="34">
      <calculatedColumnFormula>Instructions!Q9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C3DDF-B5B4-4E3C-8AD3-ADABB450E83E}" name="Table1" displayName="Table1" ref="A1:AF176" totalsRowShown="0" headerRowDxfId="33" dataDxfId="32">
  <autoFilter ref="A1:AF176" xr:uid="{493C3DDF-B5B4-4E3C-8AD3-ADABB450E83E}"/>
  <sortState xmlns:xlrd2="http://schemas.microsoft.com/office/spreadsheetml/2017/richdata2" ref="A2:P175">
    <sortCondition ref="A1:A175"/>
  </sortState>
  <tableColumns count="32">
    <tableColumn id="16" xr3:uid="{61A67C99-3DC3-4EF1-8E9D-4DB22F375E4D}" name="FixedLocationID" dataDxfId="31"/>
    <tableColumn id="17" xr3:uid="{23398500-7C71-4E68-AC5B-4128DED00607}" name="Estuary" dataDxfId="30"/>
    <tableColumn id="18" xr3:uid="{22623896-B4D3-46E5-B16B-6F807267A906}" name="SectionName" dataDxfId="29"/>
    <tableColumn id="1" xr3:uid="{CF8B1BF3-B6B7-4B01-989E-79E6F4B55D09}" name="StationName" dataDxfId="28"/>
    <tableColumn id="4" xr3:uid="{266FCB90-B3B0-4EB7-8485-44F0794A400C}" name="StationNumber" dataDxfId="27"/>
    <tableColumn id="5" xr3:uid="{AFB23EC9-14D9-4D70-89C7-BB7CEA80FD07}" name="ParcelName" dataDxfId="26"/>
    <tableColumn id="6" xr3:uid="{B57A7EB2-6C51-42A1-ACB7-A7205AAB3F91}" name="ParcelArea" dataDxfId="25"/>
    <tableColumn id="7" xr3:uid="{2C7AFD35-8437-4914-A8E0-A8484E310451}" name="CultchDensity" dataDxfId="24"/>
    <tableColumn id="8" xr3:uid="{EAFB1F6A-47D9-4B23-827B-C8E89711F378}" name="LatitudeDec" dataDxfId="23"/>
    <tableColumn id="9" xr3:uid="{8AC47069-6266-4BAC-896C-47A25D67B697}" name="LongitudeDec" dataDxfId="22"/>
    <tableColumn id="10" xr3:uid="{0C1EBA66-B6C1-4FA5-A28E-C123C64BC674}" name="Recruitment" dataDxfId="21"/>
    <tableColumn id="11" xr3:uid="{B41AA53E-13E1-49B5-8F9A-50A56B306108}" name="Survey" dataDxfId="20"/>
    <tableColumn id="12" xr3:uid="{F455ED64-561D-4D37-AACD-F38D2471A77F}" name="Sediment" dataDxfId="19"/>
    <tableColumn id="13" xr3:uid="{93D4A8C0-0BE8-4884-ADCC-D3A2E6DCF583}" name="Collections" dataDxfId="18"/>
    <tableColumn id="14" xr3:uid="{3CDA8514-D4DC-4C2A-87C3-5B5727538DA8}" name="ShellBudget" dataDxfId="17"/>
    <tableColumn id="15" xr3:uid="{D131D469-369A-432F-95FC-15FDC9DED726}" name="Dataloggers" dataDxfId="16"/>
    <tableColumn id="20" xr3:uid="{F2AE2DD3-34CB-4D7A-B089-C58ABF9918BB}" name="Cage" dataDxfId="15"/>
    <tableColumn id="21" xr3:uid="{0F2A07B3-E963-449A-9E92-F76C81AAF001}" name="Wave" dataDxfId="14"/>
    <tableColumn id="22" xr3:uid="{ED629A94-88E6-4E28-A5DA-75F05065A7B9}" name="StartDate" dataDxfId="13"/>
    <tableColumn id="23" xr3:uid="{48E28D9B-F5A1-48F3-A966-8BEC47D6BFC6}" name="EndDate" dataDxfId="12"/>
    <tableColumn id="24" xr3:uid="{F0D30C63-87A0-4A31-95B8-CE0FB18EDBB8}" name="DataStatus" dataDxfId="11"/>
    <tableColumn id="25" xr3:uid="{FDC9CE4F-7A5F-4139-B872-83CBF3DAB490}" name="DateEntered" dataDxfId="10"/>
    <tableColumn id="26" xr3:uid="{34BC4C5F-8203-4441-B35A-4579EE7DBFD1}" name="EnteredBy" dataDxfId="9"/>
    <tableColumn id="27" xr3:uid="{414C6AD9-7B8B-477A-A65B-F0BED14C708D}" name="DateProofed" dataDxfId="8"/>
    <tableColumn id="28" xr3:uid="{B398EA49-5CF4-4D1C-A46D-526A3764E135}" name="ProofedBy" dataDxfId="7"/>
    <tableColumn id="29" xr3:uid="{214A2D99-CBA5-4226-B426-CCFB3B603394}" name="DateCompleted" dataDxfId="6"/>
    <tableColumn id="30" xr3:uid="{4AC0CCE6-4D50-46C9-AA6E-A737974E7FA0}" name="CompletedBy" dataDxfId="5"/>
    <tableColumn id="31" xr3:uid="{F23DB5E6-D6D8-47E6-AD8C-781C08A98666}" name="Comments" dataDxfId="4"/>
    <tableColumn id="32" xr3:uid="{78696E7B-45A6-41B1-B353-D0BC9F342E5D}" name="AdminNotes" dataDxfId="3"/>
    <tableColumn id="33" xr3:uid="{1C34CCB0-6EDE-4B04-9CE8-4BB0B1365ADE}" name="StationNameNumber" dataDxfId="2"/>
    <tableColumn id="34" xr3:uid="{C00DF76D-21B1-40FF-B568-AABD9E194D89}" name="EstuaryLongName" dataDxfId="1"/>
    <tableColumn id="35" xr3:uid="{C6186EE9-EC39-43A3-8280-B81EB6E9FB93}" name="DateLastCultch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894D-DF5E-46E1-A945-092FA5E16BBD}">
  <dimension ref="A1:Q38"/>
  <sheetViews>
    <sheetView workbookViewId="0">
      <selection activeCell="A8" sqref="A8"/>
    </sheetView>
  </sheetViews>
  <sheetFormatPr defaultRowHeight="15" x14ac:dyDescent="0.25"/>
  <cols>
    <col min="1" max="2" width="13.7109375" customWidth="1"/>
    <col min="3" max="3" width="13.28515625" customWidth="1"/>
    <col min="4" max="4" width="16.7109375" bestFit="1" customWidth="1"/>
    <col min="5" max="5" width="18.7109375" customWidth="1"/>
    <col min="6" max="6" width="20.140625" customWidth="1"/>
    <col min="7" max="7" width="17.28515625" style="2" customWidth="1"/>
    <col min="8" max="10" width="14.7109375" style="2" customWidth="1"/>
    <col min="11" max="11" width="14.7109375" customWidth="1"/>
    <col min="12" max="12" width="14" bestFit="1" customWidth="1"/>
    <col min="13" max="15" width="16" customWidth="1"/>
    <col min="16" max="16" width="15.5703125" bestFit="1" customWidth="1"/>
    <col min="17" max="17" width="16.7109375" bestFit="1" customWidth="1"/>
  </cols>
  <sheetData>
    <row r="1" spans="1:17" x14ac:dyDescent="0.25">
      <c r="A1" s="11" t="s">
        <v>10</v>
      </c>
      <c r="B1" s="12"/>
      <c r="C1" s="12"/>
      <c r="D1" s="12"/>
      <c r="E1" s="12"/>
      <c r="F1" s="12"/>
      <c r="G1" s="12"/>
      <c r="H1" s="4"/>
      <c r="I1" s="4"/>
      <c r="J1" s="4"/>
      <c r="K1" s="6"/>
    </row>
    <row r="2" spans="1:17" x14ac:dyDescent="0.25">
      <c r="A2" s="13" t="s">
        <v>11</v>
      </c>
      <c r="B2" s="14"/>
      <c r="C2" s="14"/>
      <c r="D2" s="14"/>
      <c r="E2" s="14"/>
      <c r="F2" s="14"/>
      <c r="G2" s="14"/>
    </row>
    <row r="3" spans="1:17" x14ac:dyDescent="0.25">
      <c r="A3" s="13" t="s">
        <v>367</v>
      </c>
      <c r="B3" s="14"/>
      <c r="C3" s="14"/>
      <c r="D3" s="14"/>
      <c r="E3" s="14"/>
      <c r="F3" s="14"/>
      <c r="G3" s="14"/>
    </row>
    <row r="4" spans="1:17" x14ac:dyDescent="0.25">
      <c r="A4" s="13" t="s">
        <v>369</v>
      </c>
      <c r="B4" s="14"/>
      <c r="C4" s="14"/>
      <c r="D4" s="14"/>
      <c r="E4" s="14"/>
      <c r="F4" s="14"/>
      <c r="G4" s="14"/>
    </row>
    <row r="5" spans="1:17" x14ac:dyDescent="0.25">
      <c r="A5" s="13" t="s">
        <v>365</v>
      </c>
      <c r="B5" s="14"/>
      <c r="C5" s="14"/>
      <c r="D5" s="14"/>
      <c r="E5" s="14"/>
      <c r="F5" s="14"/>
      <c r="G5" s="14"/>
    </row>
    <row r="6" spans="1:17" ht="15.75" thickBot="1" x14ac:dyDescent="0.3">
      <c r="A6" s="9" t="s">
        <v>368</v>
      </c>
      <c r="B6" s="10"/>
      <c r="C6" s="10"/>
      <c r="D6" s="10"/>
      <c r="E6" s="10"/>
      <c r="F6" s="10"/>
      <c r="G6" s="10"/>
    </row>
    <row r="8" spans="1:17" x14ac:dyDescent="0.25">
      <c r="A8" s="4" t="s">
        <v>366</v>
      </c>
      <c r="B8" s="4" t="s">
        <v>364</v>
      </c>
      <c r="C8" s="4" t="s">
        <v>13</v>
      </c>
      <c r="D8" s="4" t="s">
        <v>14</v>
      </c>
      <c r="E8" s="4" t="s">
        <v>16</v>
      </c>
      <c r="F8" s="4" t="s">
        <v>609</v>
      </c>
      <c r="G8" s="4" t="s">
        <v>616</v>
      </c>
      <c r="H8" s="4" t="s">
        <v>617</v>
      </c>
      <c r="I8" s="4" t="s">
        <v>618</v>
      </c>
      <c r="J8" s="4" t="s">
        <v>619</v>
      </c>
      <c r="K8" s="4" t="s">
        <v>0</v>
      </c>
      <c r="L8" s="4" t="s">
        <v>1</v>
      </c>
      <c r="M8" s="4" t="s">
        <v>2</v>
      </c>
      <c r="N8" s="4" t="s">
        <v>3</v>
      </c>
      <c r="O8" s="4" t="s">
        <v>4</v>
      </c>
      <c r="P8" s="4" t="s">
        <v>7</v>
      </c>
      <c r="Q8" s="4" t="s">
        <v>8</v>
      </c>
    </row>
    <row r="9" spans="1:17" x14ac:dyDescent="0.25">
      <c r="A9" s="3" t="s">
        <v>536</v>
      </c>
      <c r="B9" s="3">
        <v>45903</v>
      </c>
      <c r="C9" s="2" t="s">
        <v>168</v>
      </c>
      <c r="D9" s="2" t="s">
        <v>33</v>
      </c>
      <c r="E9" s="2">
        <v>1</v>
      </c>
      <c r="F9" s="2">
        <v>16</v>
      </c>
      <c r="G9" s="8" t="s">
        <v>620</v>
      </c>
      <c r="H9" s="2">
        <v>2</v>
      </c>
      <c r="I9" s="2" t="s">
        <v>622</v>
      </c>
      <c r="J9" s="2" t="s">
        <v>33</v>
      </c>
      <c r="K9" s="2" t="s">
        <v>540</v>
      </c>
      <c r="L9" s="3">
        <v>45957</v>
      </c>
      <c r="M9" s="2" t="s">
        <v>615</v>
      </c>
      <c r="N9" s="3">
        <v>45957</v>
      </c>
      <c r="O9" s="2" t="s">
        <v>615</v>
      </c>
      <c r="P9" s="2"/>
      <c r="Q9" s="2" t="s">
        <v>534</v>
      </c>
    </row>
    <row r="10" spans="1:17" x14ac:dyDescent="0.25">
      <c r="A10" s="3" t="s">
        <v>536</v>
      </c>
      <c r="B10" s="3">
        <v>45903</v>
      </c>
      <c r="C10" s="2" t="s">
        <v>168</v>
      </c>
      <c r="D10" s="2" t="s">
        <v>33</v>
      </c>
      <c r="E10" s="2">
        <v>1</v>
      </c>
      <c r="F10" s="2">
        <v>17</v>
      </c>
      <c r="G10" s="2" t="s">
        <v>620</v>
      </c>
      <c r="H10" s="2">
        <v>2</v>
      </c>
      <c r="I10" s="2" t="s">
        <v>622</v>
      </c>
      <c r="J10" s="2" t="s">
        <v>33</v>
      </c>
      <c r="K10" s="2" t="s">
        <v>540</v>
      </c>
      <c r="L10" s="3">
        <v>45957</v>
      </c>
      <c r="M10" s="2" t="s">
        <v>615</v>
      </c>
      <c r="N10" s="3">
        <v>45957</v>
      </c>
      <c r="O10" s="2" t="s">
        <v>615</v>
      </c>
      <c r="P10" s="2"/>
      <c r="Q10" s="2" t="s">
        <v>534</v>
      </c>
    </row>
    <row r="11" spans="1:17" x14ac:dyDescent="0.25">
      <c r="A11" s="3" t="s">
        <v>536</v>
      </c>
      <c r="B11" s="3">
        <v>45903</v>
      </c>
      <c r="C11" s="2" t="s">
        <v>168</v>
      </c>
      <c r="D11" s="2" t="s">
        <v>33</v>
      </c>
      <c r="E11" s="2">
        <v>1</v>
      </c>
      <c r="F11" s="2">
        <v>18</v>
      </c>
      <c r="G11" s="2" t="s">
        <v>623</v>
      </c>
      <c r="H11" s="2">
        <v>4</v>
      </c>
      <c r="I11" s="2" t="s">
        <v>622</v>
      </c>
      <c r="J11" s="2" t="s">
        <v>33</v>
      </c>
      <c r="K11" s="2" t="s">
        <v>540</v>
      </c>
      <c r="L11" s="3">
        <v>45957</v>
      </c>
      <c r="M11" s="2" t="s">
        <v>615</v>
      </c>
      <c r="N11" s="3">
        <v>45957</v>
      </c>
      <c r="O11" s="2" t="s">
        <v>615</v>
      </c>
      <c r="P11" s="2" t="s">
        <v>624</v>
      </c>
      <c r="Q11" s="2" t="s">
        <v>534</v>
      </c>
    </row>
    <row r="12" spans="1:17" x14ac:dyDescent="0.25">
      <c r="A12" s="3" t="s">
        <v>536</v>
      </c>
      <c r="B12" s="3">
        <v>45903</v>
      </c>
      <c r="C12" s="2" t="s">
        <v>168</v>
      </c>
      <c r="D12" s="2" t="s">
        <v>33</v>
      </c>
      <c r="E12" s="2">
        <v>1</v>
      </c>
      <c r="F12" s="2">
        <v>19</v>
      </c>
      <c r="G12" s="2" t="s">
        <v>87</v>
      </c>
      <c r="H12" s="2">
        <v>2</v>
      </c>
      <c r="I12" s="2" t="s">
        <v>622</v>
      </c>
      <c r="J12" s="2" t="s">
        <v>33</v>
      </c>
      <c r="K12" s="2" t="s">
        <v>540</v>
      </c>
      <c r="L12" s="3">
        <v>45957</v>
      </c>
      <c r="M12" s="2" t="s">
        <v>615</v>
      </c>
      <c r="N12" s="3">
        <v>45957</v>
      </c>
      <c r="O12" s="2" t="s">
        <v>615</v>
      </c>
      <c r="P12" s="2"/>
      <c r="Q12" s="2" t="s">
        <v>534</v>
      </c>
    </row>
    <row r="13" spans="1:17" x14ac:dyDescent="0.25">
      <c r="A13" s="3" t="s">
        <v>536</v>
      </c>
      <c r="B13" s="3">
        <v>45903</v>
      </c>
      <c r="C13" s="2" t="s">
        <v>168</v>
      </c>
      <c r="D13" s="2" t="s">
        <v>33</v>
      </c>
      <c r="E13" s="2">
        <v>1</v>
      </c>
      <c r="F13" s="2">
        <v>20</v>
      </c>
      <c r="G13" s="2" t="s">
        <v>620</v>
      </c>
      <c r="H13" s="2">
        <v>2</v>
      </c>
      <c r="I13" s="2" t="s">
        <v>622</v>
      </c>
      <c r="J13" s="2" t="s">
        <v>33</v>
      </c>
      <c r="K13" s="2" t="s">
        <v>540</v>
      </c>
      <c r="L13" s="3">
        <v>45957</v>
      </c>
      <c r="M13" s="2" t="s">
        <v>615</v>
      </c>
      <c r="N13" s="3">
        <v>45957</v>
      </c>
      <c r="O13" s="2" t="s">
        <v>615</v>
      </c>
      <c r="P13" s="2"/>
      <c r="Q13" s="2" t="s">
        <v>534</v>
      </c>
    </row>
    <row r="14" spans="1:17" x14ac:dyDescent="0.25">
      <c r="A14" s="3" t="s">
        <v>536</v>
      </c>
      <c r="B14" s="3">
        <v>45903</v>
      </c>
      <c r="C14" s="2" t="s">
        <v>168</v>
      </c>
      <c r="D14" s="2" t="s">
        <v>33</v>
      </c>
      <c r="E14" s="2">
        <v>1</v>
      </c>
      <c r="F14" s="2">
        <v>21</v>
      </c>
      <c r="G14" s="2" t="s">
        <v>620</v>
      </c>
      <c r="H14" s="2">
        <v>2</v>
      </c>
      <c r="I14" s="2" t="s">
        <v>622</v>
      </c>
      <c r="J14" s="2" t="s">
        <v>33</v>
      </c>
      <c r="K14" s="2" t="s">
        <v>540</v>
      </c>
      <c r="L14" s="3">
        <v>45957</v>
      </c>
      <c r="M14" s="2" t="s">
        <v>615</v>
      </c>
      <c r="N14" s="3">
        <v>45957</v>
      </c>
      <c r="O14" s="2" t="s">
        <v>615</v>
      </c>
      <c r="P14" s="2"/>
      <c r="Q14" s="2" t="s">
        <v>534</v>
      </c>
    </row>
    <row r="15" spans="1:17" x14ac:dyDescent="0.25">
      <c r="A15" s="3" t="s">
        <v>536</v>
      </c>
      <c r="B15" s="3">
        <v>45903</v>
      </c>
      <c r="C15" s="2" t="s">
        <v>168</v>
      </c>
      <c r="D15" s="2" t="s">
        <v>33</v>
      </c>
      <c r="E15" s="2">
        <v>1</v>
      </c>
      <c r="F15" s="2">
        <v>22</v>
      </c>
      <c r="G15" s="2" t="s">
        <v>87</v>
      </c>
      <c r="H15" s="2">
        <v>2</v>
      </c>
      <c r="I15" s="2" t="s">
        <v>622</v>
      </c>
      <c r="J15" s="2" t="s">
        <v>33</v>
      </c>
      <c r="K15" s="2" t="s">
        <v>540</v>
      </c>
      <c r="L15" s="3">
        <v>45957</v>
      </c>
      <c r="M15" s="2" t="s">
        <v>615</v>
      </c>
      <c r="N15" s="3">
        <v>45957</v>
      </c>
      <c r="O15" s="2" t="s">
        <v>615</v>
      </c>
      <c r="P15" s="2"/>
      <c r="Q15" s="2" t="s">
        <v>534</v>
      </c>
    </row>
    <row r="16" spans="1:17" x14ac:dyDescent="0.25">
      <c r="A16" s="3" t="s">
        <v>536</v>
      </c>
      <c r="B16" s="3">
        <v>45903</v>
      </c>
      <c r="C16" s="2" t="s">
        <v>168</v>
      </c>
      <c r="D16" s="2" t="s">
        <v>33</v>
      </c>
      <c r="E16" s="2">
        <v>1</v>
      </c>
      <c r="F16" s="2">
        <v>23</v>
      </c>
      <c r="G16" s="2" t="s">
        <v>623</v>
      </c>
      <c r="H16" s="2" t="s">
        <v>623</v>
      </c>
      <c r="I16" s="2" t="s">
        <v>622</v>
      </c>
      <c r="J16" s="2" t="s">
        <v>37</v>
      </c>
      <c r="K16" s="2" t="s">
        <v>540</v>
      </c>
      <c r="L16" s="3">
        <v>45957</v>
      </c>
      <c r="M16" s="2" t="s">
        <v>615</v>
      </c>
      <c r="N16" s="3">
        <v>45957</v>
      </c>
      <c r="O16" s="2" t="s">
        <v>615</v>
      </c>
      <c r="P16" s="2"/>
      <c r="Q16" s="2" t="s">
        <v>534</v>
      </c>
    </row>
    <row r="17" spans="1:17" x14ac:dyDescent="0.25">
      <c r="A17" s="3" t="s">
        <v>536</v>
      </c>
      <c r="B17" s="3">
        <v>45903</v>
      </c>
      <c r="C17" s="2" t="s">
        <v>168</v>
      </c>
      <c r="D17" s="2" t="s">
        <v>33</v>
      </c>
      <c r="E17" s="2">
        <v>1</v>
      </c>
      <c r="F17" s="2">
        <v>24</v>
      </c>
      <c r="G17" s="2" t="s">
        <v>87</v>
      </c>
      <c r="H17" s="2">
        <v>2</v>
      </c>
      <c r="I17" s="2" t="s">
        <v>622</v>
      </c>
      <c r="J17" s="2" t="s">
        <v>33</v>
      </c>
      <c r="K17" s="2" t="s">
        <v>540</v>
      </c>
      <c r="L17" s="3">
        <v>45957</v>
      </c>
      <c r="M17" s="2" t="s">
        <v>615</v>
      </c>
      <c r="N17" s="3">
        <v>45957</v>
      </c>
      <c r="O17" s="2" t="s">
        <v>615</v>
      </c>
      <c r="P17" s="2"/>
      <c r="Q17" s="2" t="s">
        <v>534</v>
      </c>
    </row>
    <row r="18" spans="1:17" x14ac:dyDescent="0.25">
      <c r="A18" s="3" t="s">
        <v>536</v>
      </c>
      <c r="B18" s="3">
        <v>45903</v>
      </c>
      <c r="C18" s="2" t="s">
        <v>168</v>
      </c>
      <c r="D18" s="2" t="s">
        <v>33</v>
      </c>
      <c r="E18" s="2">
        <v>1</v>
      </c>
      <c r="F18" s="2">
        <v>25</v>
      </c>
      <c r="G18" s="2" t="s">
        <v>623</v>
      </c>
      <c r="H18" s="8" t="s">
        <v>623</v>
      </c>
      <c r="I18" s="2" t="s">
        <v>622</v>
      </c>
      <c r="J18" s="2" t="s">
        <v>33</v>
      </c>
      <c r="K18" s="2" t="s">
        <v>540</v>
      </c>
      <c r="L18" s="3">
        <v>45957</v>
      </c>
      <c r="M18" s="2" t="s">
        <v>615</v>
      </c>
      <c r="N18" s="3">
        <v>45957</v>
      </c>
      <c r="O18" s="2" t="s">
        <v>615</v>
      </c>
      <c r="P18" s="2" t="s">
        <v>625</v>
      </c>
      <c r="Q18" s="2" t="s">
        <v>534</v>
      </c>
    </row>
    <row r="19" spans="1:17" x14ac:dyDescent="0.25">
      <c r="A19" s="3" t="s">
        <v>536</v>
      </c>
      <c r="B19" s="3">
        <v>45903</v>
      </c>
      <c r="C19" s="2" t="s">
        <v>168</v>
      </c>
      <c r="D19" s="2" t="s">
        <v>33</v>
      </c>
      <c r="E19" s="2">
        <v>2</v>
      </c>
      <c r="F19" s="2">
        <v>26</v>
      </c>
      <c r="G19" s="2" t="s">
        <v>87</v>
      </c>
      <c r="H19" s="2">
        <v>2</v>
      </c>
      <c r="I19" s="2" t="s">
        <v>622</v>
      </c>
      <c r="J19" s="2" t="s">
        <v>33</v>
      </c>
      <c r="K19" s="2" t="s">
        <v>540</v>
      </c>
      <c r="L19" s="3">
        <v>45957</v>
      </c>
      <c r="M19" s="2" t="s">
        <v>615</v>
      </c>
      <c r="N19" s="3">
        <v>45957</v>
      </c>
      <c r="O19" s="2" t="s">
        <v>615</v>
      </c>
      <c r="P19" s="2"/>
      <c r="Q19" s="2" t="s">
        <v>534</v>
      </c>
    </row>
    <row r="20" spans="1:17" x14ac:dyDescent="0.25">
      <c r="A20" s="3" t="s">
        <v>536</v>
      </c>
      <c r="B20" s="3">
        <v>45903</v>
      </c>
      <c r="C20" s="2" t="s">
        <v>168</v>
      </c>
      <c r="D20" s="2" t="s">
        <v>33</v>
      </c>
      <c r="E20" s="2">
        <v>2</v>
      </c>
      <c r="F20" s="2">
        <v>27</v>
      </c>
      <c r="G20" s="2" t="s">
        <v>87</v>
      </c>
      <c r="H20" s="2">
        <v>2</v>
      </c>
      <c r="I20" s="2" t="s">
        <v>622</v>
      </c>
      <c r="J20" s="2" t="s">
        <v>33</v>
      </c>
      <c r="K20" s="2" t="s">
        <v>540</v>
      </c>
      <c r="L20" s="3">
        <v>45957</v>
      </c>
      <c r="M20" s="2" t="s">
        <v>615</v>
      </c>
      <c r="N20" s="3">
        <v>45957</v>
      </c>
      <c r="O20" s="2" t="s">
        <v>615</v>
      </c>
      <c r="P20" s="2"/>
      <c r="Q20" s="2" t="s">
        <v>534</v>
      </c>
    </row>
    <row r="21" spans="1:17" x14ac:dyDescent="0.25">
      <c r="A21" s="3" t="s">
        <v>536</v>
      </c>
      <c r="B21" s="3">
        <v>45903</v>
      </c>
      <c r="C21" s="2" t="s">
        <v>168</v>
      </c>
      <c r="D21" s="2" t="s">
        <v>33</v>
      </c>
      <c r="E21" s="2">
        <v>2</v>
      </c>
      <c r="F21" s="2">
        <v>28</v>
      </c>
      <c r="G21" s="2" t="s">
        <v>620</v>
      </c>
      <c r="H21" s="2">
        <v>2</v>
      </c>
      <c r="I21" s="2" t="s">
        <v>622</v>
      </c>
      <c r="J21" s="2" t="s">
        <v>33</v>
      </c>
      <c r="K21" s="2" t="s">
        <v>540</v>
      </c>
      <c r="L21" s="3">
        <v>45957</v>
      </c>
      <c r="M21" s="2" t="s">
        <v>615</v>
      </c>
      <c r="N21" s="3">
        <v>45957</v>
      </c>
      <c r="O21" s="2" t="s">
        <v>615</v>
      </c>
      <c r="P21" s="2"/>
      <c r="Q21" s="2" t="s">
        <v>534</v>
      </c>
    </row>
    <row r="22" spans="1:17" x14ac:dyDescent="0.25">
      <c r="A22" s="3" t="s">
        <v>536</v>
      </c>
      <c r="B22" s="3">
        <v>45903</v>
      </c>
      <c r="C22" s="2" t="s">
        <v>168</v>
      </c>
      <c r="D22" s="2" t="s">
        <v>33</v>
      </c>
      <c r="E22" s="2">
        <v>2</v>
      </c>
      <c r="F22" s="2">
        <v>29</v>
      </c>
      <c r="G22" s="2" t="s">
        <v>87</v>
      </c>
      <c r="H22" s="2">
        <v>3</v>
      </c>
      <c r="I22" s="2" t="s">
        <v>622</v>
      </c>
      <c r="J22" s="2" t="s">
        <v>33</v>
      </c>
      <c r="K22" s="2" t="s">
        <v>540</v>
      </c>
      <c r="L22" s="3">
        <v>45957</v>
      </c>
      <c r="M22" s="2" t="s">
        <v>615</v>
      </c>
      <c r="N22" s="3">
        <v>45957</v>
      </c>
      <c r="O22" s="2" t="s">
        <v>615</v>
      </c>
      <c r="P22" s="2"/>
      <c r="Q22" s="2" t="s">
        <v>534</v>
      </c>
    </row>
    <row r="23" spans="1:17" x14ac:dyDescent="0.25">
      <c r="A23" s="3" t="s">
        <v>536</v>
      </c>
      <c r="B23" s="3">
        <v>45903</v>
      </c>
      <c r="C23" s="2" t="s">
        <v>168</v>
      </c>
      <c r="D23" s="2" t="s">
        <v>33</v>
      </c>
      <c r="E23" s="2">
        <v>2</v>
      </c>
      <c r="F23" s="2">
        <v>30</v>
      </c>
      <c r="G23" s="2" t="s">
        <v>87</v>
      </c>
      <c r="H23" s="2">
        <v>2</v>
      </c>
      <c r="I23" s="2" t="s">
        <v>622</v>
      </c>
      <c r="J23" s="2" t="s">
        <v>33</v>
      </c>
      <c r="K23" s="2" t="s">
        <v>540</v>
      </c>
      <c r="L23" s="3">
        <v>45957</v>
      </c>
      <c r="M23" s="2" t="s">
        <v>615</v>
      </c>
      <c r="N23" s="3">
        <v>45957</v>
      </c>
      <c r="O23" s="2" t="s">
        <v>615</v>
      </c>
      <c r="P23" s="2"/>
      <c r="Q23" s="2" t="s">
        <v>534</v>
      </c>
    </row>
    <row r="24" spans="1:17" x14ac:dyDescent="0.25">
      <c r="A24" s="3" t="s">
        <v>536</v>
      </c>
      <c r="B24" s="3">
        <v>45903</v>
      </c>
      <c r="C24" s="2" t="s">
        <v>168</v>
      </c>
      <c r="D24" s="2" t="s">
        <v>33</v>
      </c>
      <c r="E24" s="2">
        <v>2</v>
      </c>
      <c r="F24" s="2">
        <v>31</v>
      </c>
      <c r="G24" s="2" t="s">
        <v>87</v>
      </c>
      <c r="H24" s="2">
        <v>2</v>
      </c>
      <c r="I24" s="2" t="s">
        <v>622</v>
      </c>
      <c r="J24" s="2" t="s">
        <v>33</v>
      </c>
      <c r="K24" s="2" t="s">
        <v>540</v>
      </c>
      <c r="L24" s="3">
        <v>45957</v>
      </c>
      <c r="M24" s="2" t="s">
        <v>615</v>
      </c>
      <c r="N24" s="3">
        <v>45957</v>
      </c>
      <c r="O24" s="2" t="s">
        <v>615</v>
      </c>
      <c r="P24" s="2"/>
      <c r="Q24" s="2" t="s">
        <v>534</v>
      </c>
    </row>
    <row r="25" spans="1:17" x14ac:dyDescent="0.25">
      <c r="A25" s="3" t="s">
        <v>536</v>
      </c>
      <c r="B25" s="3">
        <v>45903</v>
      </c>
      <c r="C25" s="2" t="s">
        <v>168</v>
      </c>
      <c r="D25" s="2" t="s">
        <v>33</v>
      </c>
      <c r="E25" s="2">
        <v>2</v>
      </c>
      <c r="F25" s="2">
        <v>32</v>
      </c>
      <c r="G25" s="2" t="s">
        <v>87</v>
      </c>
      <c r="H25" s="2">
        <v>1</v>
      </c>
      <c r="I25" s="2" t="s">
        <v>622</v>
      </c>
      <c r="J25" s="2" t="s">
        <v>33</v>
      </c>
      <c r="K25" s="2" t="s">
        <v>540</v>
      </c>
      <c r="L25" s="3">
        <v>45957</v>
      </c>
      <c r="M25" s="2" t="s">
        <v>615</v>
      </c>
      <c r="N25" s="3">
        <v>45957</v>
      </c>
      <c r="O25" s="2" t="s">
        <v>615</v>
      </c>
      <c r="P25" s="2"/>
      <c r="Q25" s="2" t="s">
        <v>534</v>
      </c>
    </row>
    <row r="26" spans="1:17" x14ac:dyDescent="0.25">
      <c r="A26" s="3" t="s">
        <v>536</v>
      </c>
      <c r="B26" s="3">
        <v>45903</v>
      </c>
      <c r="C26" s="2" t="s">
        <v>168</v>
      </c>
      <c r="D26" s="2" t="s">
        <v>33</v>
      </c>
      <c r="E26" s="2">
        <v>2</v>
      </c>
      <c r="F26" s="2">
        <v>33</v>
      </c>
      <c r="G26" s="2" t="s">
        <v>620</v>
      </c>
      <c r="H26" s="2">
        <v>2</v>
      </c>
      <c r="I26" s="2" t="s">
        <v>622</v>
      </c>
      <c r="J26" s="2" t="s">
        <v>33</v>
      </c>
      <c r="K26" s="2" t="s">
        <v>540</v>
      </c>
      <c r="L26" s="3">
        <v>45957</v>
      </c>
      <c r="M26" s="2" t="s">
        <v>615</v>
      </c>
      <c r="N26" s="3">
        <v>45957</v>
      </c>
      <c r="O26" s="2" t="s">
        <v>615</v>
      </c>
      <c r="P26" s="2"/>
      <c r="Q26" s="2" t="s">
        <v>534</v>
      </c>
    </row>
    <row r="27" spans="1:17" x14ac:dyDescent="0.25">
      <c r="A27" s="3" t="s">
        <v>536</v>
      </c>
      <c r="B27" s="3">
        <v>45903</v>
      </c>
      <c r="C27" s="2" t="s">
        <v>168</v>
      </c>
      <c r="D27" s="2" t="s">
        <v>33</v>
      </c>
      <c r="E27" s="2">
        <v>2</v>
      </c>
      <c r="F27" s="2">
        <v>34</v>
      </c>
      <c r="G27" s="2" t="s">
        <v>87</v>
      </c>
      <c r="H27" s="2">
        <v>2</v>
      </c>
      <c r="I27" s="2" t="s">
        <v>622</v>
      </c>
      <c r="J27" s="2" t="s">
        <v>33</v>
      </c>
      <c r="K27" s="2" t="s">
        <v>540</v>
      </c>
      <c r="L27" s="3">
        <v>45957</v>
      </c>
      <c r="M27" s="2" t="s">
        <v>615</v>
      </c>
      <c r="N27" s="3">
        <v>45957</v>
      </c>
      <c r="O27" s="2" t="s">
        <v>615</v>
      </c>
      <c r="P27" s="2"/>
      <c r="Q27" s="2" t="s">
        <v>534</v>
      </c>
    </row>
    <row r="28" spans="1:17" x14ac:dyDescent="0.25">
      <c r="A28" s="3" t="s">
        <v>536</v>
      </c>
      <c r="B28" s="3">
        <v>45903</v>
      </c>
      <c r="C28" s="2" t="s">
        <v>168</v>
      </c>
      <c r="D28" s="2" t="s">
        <v>33</v>
      </c>
      <c r="E28" s="2">
        <v>2</v>
      </c>
      <c r="F28" s="2">
        <v>35</v>
      </c>
      <c r="G28" s="2" t="s">
        <v>623</v>
      </c>
      <c r="H28" s="2">
        <v>4</v>
      </c>
      <c r="I28" s="2" t="s">
        <v>622</v>
      </c>
      <c r="J28" s="2" t="s">
        <v>33</v>
      </c>
      <c r="K28" s="2" t="s">
        <v>540</v>
      </c>
      <c r="L28" s="3">
        <v>45957</v>
      </c>
      <c r="M28" s="2" t="s">
        <v>615</v>
      </c>
      <c r="N28" s="3">
        <v>45957</v>
      </c>
      <c r="O28" s="2" t="s">
        <v>615</v>
      </c>
      <c r="P28" s="2" t="s">
        <v>624</v>
      </c>
      <c r="Q28" s="2" t="s">
        <v>534</v>
      </c>
    </row>
    <row r="29" spans="1:17" x14ac:dyDescent="0.25">
      <c r="A29" s="3" t="s">
        <v>536</v>
      </c>
      <c r="B29" s="3">
        <v>45903</v>
      </c>
      <c r="C29" s="2" t="s">
        <v>168</v>
      </c>
      <c r="D29" s="2" t="s">
        <v>33</v>
      </c>
      <c r="E29" s="2">
        <v>3</v>
      </c>
      <c r="F29" s="2">
        <v>36</v>
      </c>
      <c r="G29" s="2" t="s">
        <v>620</v>
      </c>
      <c r="H29" s="2">
        <v>2</v>
      </c>
      <c r="I29" s="2" t="s">
        <v>622</v>
      </c>
      <c r="J29" s="2" t="s">
        <v>33</v>
      </c>
      <c r="K29" s="2" t="s">
        <v>540</v>
      </c>
      <c r="L29" s="3">
        <v>45957</v>
      </c>
      <c r="M29" s="2" t="s">
        <v>615</v>
      </c>
      <c r="N29" s="3">
        <v>45957</v>
      </c>
      <c r="O29" s="2" t="s">
        <v>615</v>
      </c>
      <c r="P29" s="2"/>
      <c r="Q29" s="2" t="s">
        <v>534</v>
      </c>
    </row>
    <row r="30" spans="1:17" x14ac:dyDescent="0.25">
      <c r="A30" s="3" t="s">
        <v>536</v>
      </c>
      <c r="B30" s="3">
        <v>45903</v>
      </c>
      <c r="C30" s="2" t="s">
        <v>168</v>
      </c>
      <c r="D30" s="2" t="s">
        <v>33</v>
      </c>
      <c r="E30" s="2">
        <v>3</v>
      </c>
      <c r="F30" s="2">
        <v>37</v>
      </c>
      <c r="G30" s="2" t="s">
        <v>620</v>
      </c>
      <c r="H30" s="2">
        <v>2</v>
      </c>
      <c r="I30" s="2" t="s">
        <v>622</v>
      </c>
      <c r="J30" s="2" t="s">
        <v>33</v>
      </c>
      <c r="K30" s="2" t="s">
        <v>540</v>
      </c>
      <c r="L30" s="3">
        <v>45957</v>
      </c>
      <c r="M30" s="2" t="s">
        <v>615</v>
      </c>
      <c r="N30" s="3">
        <v>45957</v>
      </c>
      <c r="O30" s="2" t="s">
        <v>615</v>
      </c>
      <c r="P30" s="2"/>
      <c r="Q30" s="2" t="s">
        <v>534</v>
      </c>
    </row>
    <row r="31" spans="1:17" x14ac:dyDescent="0.25">
      <c r="A31" s="3" t="s">
        <v>536</v>
      </c>
      <c r="B31" s="3">
        <v>45903</v>
      </c>
      <c r="C31" s="2" t="s">
        <v>168</v>
      </c>
      <c r="D31" s="2" t="s">
        <v>33</v>
      </c>
      <c r="E31" s="2">
        <v>3</v>
      </c>
      <c r="F31" s="2">
        <v>38</v>
      </c>
      <c r="G31" s="2" t="s">
        <v>87</v>
      </c>
      <c r="H31" s="2">
        <v>2</v>
      </c>
      <c r="I31" s="2" t="s">
        <v>622</v>
      </c>
      <c r="J31" s="2" t="s">
        <v>33</v>
      </c>
      <c r="K31" s="2" t="s">
        <v>540</v>
      </c>
      <c r="L31" s="3">
        <v>45957</v>
      </c>
      <c r="M31" s="2" t="s">
        <v>615</v>
      </c>
      <c r="N31" s="3">
        <v>45957</v>
      </c>
      <c r="O31" s="2" t="s">
        <v>615</v>
      </c>
      <c r="P31" s="2"/>
      <c r="Q31" s="2" t="s">
        <v>534</v>
      </c>
    </row>
    <row r="32" spans="1:17" x14ac:dyDescent="0.25">
      <c r="A32" s="3" t="s">
        <v>536</v>
      </c>
      <c r="B32" s="3">
        <v>45903</v>
      </c>
      <c r="C32" s="2" t="s">
        <v>168</v>
      </c>
      <c r="D32" s="2" t="s">
        <v>33</v>
      </c>
      <c r="E32" s="2">
        <v>3</v>
      </c>
      <c r="F32" s="2">
        <v>39</v>
      </c>
      <c r="G32" s="2" t="s">
        <v>87</v>
      </c>
      <c r="H32" s="2">
        <v>2</v>
      </c>
      <c r="I32" s="2" t="s">
        <v>622</v>
      </c>
      <c r="J32" s="2" t="s">
        <v>33</v>
      </c>
      <c r="K32" s="2" t="s">
        <v>540</v>
      </c>
      <c r="L32" s="3">
        <v>45957</v>
      </c>
      <c r="M32" s="2" t="s">
        <v>615</v>
      </c>
      <c r="N32" s="3">
        <v>45957</v>
      </c>
      <c r="O32" s="2" t="s">
        <v>615</v>
      </c>
      <c r="P32" s="2"/>
      <c r="Q32" s="2" t="s">
        <v>534</v>
      </c>
    </row>
    <row r="33" spans="1:17" x14ac:dyDescent="0.25">
      <c r="A33" s="3" t="s">
        <v>536</v>
      </c>
      <c r="B33" s="3">
        <v>45903</v>
      </c>
      <c r="C33" s="2" t="s">
        <v>168</v>
      </c>
      <c r="D33" s="2" t="s">
        <v>33</v>
      </c>
      <c r="E33" s="2">
        <v>3</v>
      </c>
      <c r="F33" s="2">
        <v>40</v>
      </c>
      <c r="G33" s="2" t="s">
        <v>87</v>
      </c>
      <c r="H33" s="2">
        <v>2</v>
      </c>
      <c r="I33" s="2" t="s">
        <v>621</v>
      </c>
      <c r="J33" s="2" t="s">
        <v>33</v>
      </c>
      <c r="K33" s="2" t="s">
        <v>540</v>
      </c>
      <c r="L33" s="3">
        <v>45957</v>
      </c>
      <c r="M33" s="2" t="s">
        <v>615</v>
      </c>
      <c r="N33" s="3">
        <v>45957</v>
      </c>
      <c r="O33" s="2" t="s">
        <v>615</v>
      </c>
      <c r="P33" s="2"/>
      <c r="Q33" s="2" t="s">
        <v>534</v>
      </c>
    </row>
    <row r="34" spans="1:17" x14ac:dyDescent="0.25">
      <c r="A34" s="3" t="s">
        <v>536</v>
      </c>
      <c r="B34" s="3">
        <v>45903</v>
      </c>
      <c r="C34" s="2" t="s">
        <v>168</v>
      </c>
      <c r="D34" s="2" t="s">
        <v>33</v>
      </c>
      <c r="E34" s="2">
        <v>3</v>
      </c>
      <c r="F34" s="2">
        <v>41</v>
      </c>
      <c r="G34" s="2" t="s">
        <v>87</v>
      </c>
      <c r="H34" s="2">
        <v>2</v>
      </c>
      <c r="I34" s="2" t="s">
        <v>622</v>
      </c>
      <c r="J34" s="2" t="s">
        <v>33</v>
      </c>
      <c r="K34" s="2" t="s">
        <v>540</v>
      </c>
      <c r="L34" s="3">
        <v>45957</v>
      </c>
      <c r="M34" s="2" t="s">
        <v>615</v>
      </c>
      <c r="N34" s="3">
        <v>45957</v>
      </c>
      <c r="O34" s="2" t="s">
        <v>615</v>
      </c>
      <c r="P34" s="2"/>
      <c r="Q34" s="2" t="s">
        <v>534</v>
      </c>
    </row>
    <row r="35" spans="1:17" x14ac:dyDescent="0.25">
      <c r="A35" s="3" t="s">
        <v>536</v>
      </c>
      <c r="B35" s="3">
        <v>45903</v>
      </c>
      <c r="C35" s="2" t="s">
        <v>168</v>
      </c>
      <c r="D35" s="2" t="s">
        <v>33</v>
      </c>
      <c r="E35" s="2">
        <v>3</v>
      </c>
      <c r="F35" s="2">
        <v>42</v>
      </c>
      <c r="G35" s="8" t="s">
        <v>87</v>
      </c>
      <c r="H35" s="2">
        <v>2</v>
      </c>
      <c r="I35" s="2" t="s">
        <v>622</v>
      </c>
      <c r="J35" s="2" t="s">
        <v>33</v>
      </c>
      <c r="K35" s="2" t="s">
        <v>540</v>
      </c>
      <c r="L35" s="3">
        <v>45957</v>
      </c>
      <c r="M35" s="2" t="s">
        <v>615</v>
      </c>
      <c r="N35" s="3">
        <v>45957</v>
      </c>
      <c r="O35" s="2" t="s">
        <v>615</v>
      </c>
      <c r="P35" s="2"/>
      <c r="Q35" s="2" t="s">
        <v>534</v>
      </c>
    </row>
    <row r="36" spans="1:17" x14ac:dyDescent="0.25">
      <c r="A36" s="3" t="s">
        <v>536</v>
      </c>
      <c r="B36" s="3">
        <v>45903</v>
      </c>
      <c r="C36" s="2" t="s">
        <v>168</v>
      </c>
      <c r="D36" s="2" t="s">
        <v>33</v>
      </c>
      <c r="E36" s="2">
        <v>3</v>
      </c>
      <c r="F36" s="2">
        <v>43</v>
      </c>
      <c r="G36" s="8" t="s">
        <v>87</v>
      </c>
      <c r="H36" s="2">
        <v>3</v>
      </c>
      <c r="I36" s="2" t="s">
        <v>622</v>
      </c>
      <c r="J36" s="2" t="s">
        <v>33</v>
      </c>
      <c r="K36" s="2" t="s">
        <v>540</v>
      </c>
      <c r="L36" s="3">
        <v>45957</v>
      </c>
      <c r="M36" s="2" t="s">
        <v>615</v>
      </c>
      <c r="N36" s="3">
        <v>45957</v>
      </c>
      <c r="O36" s="2" t="s">
        <v>615</v>
      </c>
      <c r="P36" s="2"/>
      <c r="Q36" s="2" t="s">
        <v>534</v>
      </c>
    </row>
    <row r="37" spans="1:17" x14ac:dyDescent="0.25">
      <c r="A37" s="3" t="s">
        <v>536</v>
      </c>
      <c r="B37" s="3">
        <v>45903</v>
      </c>
      <c r="C37" s="2" t="s">
        <v>168</v>
      </c>
      <c r="D37" s="2" t="s">
        <v>33</v>
      </c>
      <c r="E37" s="2">
        <v>3</v>
      </c>
      <c r="F37" s="2">
        <v>44</v>
      </c>
      <c r="G37" s="8" t="s">
        <v>623</v>
      </c>
      <c r="H37" s="2">
        <v>4</v>
      </c>
      <c r="I37" s="2" t="s">
        <v>622</v>
      </c>
      <c r="J37" s="2" t="s">
        <v>33</v>
      </c>
      <c r="K37" s="2" t="s">
        <v>540</v>
      </c>
      <c r="L37" s="3">
        <v>45957</v>
      </c>
      <c r="M37" s="2" t="s">
        <v>615</v>
      </c>
      <c r="N37" s="3">
        <v>45957</v>
      </c>
      <c r="O37" s="2" t="s">
        <v>615</v>
      </c>
      <c r="P37" s="2" t="s">
        <v>626</v>
      </c>
      <c r="Q37" s="2" t="s">
        <v>534</v>
      </c>
    </row>
    <row r="38" spans="1:17" x14ac:dyDescent="0.25">
      <c r="A38" s="3" t="s">
        <v>536</v>
      </c>
      <c r="B38" s="3">
        <v>45903</v>
      </c>
      <c r="C38" s="2" t="s">
        <v>168</v>
      </c>
      <c r="D38" s="2" t="s">
        <v>33</v>
      </c>
      <c r="E38" s="2">
        <v>3</v>
      </c>
      <c r="F38" s="2">
        <v>45</v>
      </c>
      <c r="G38" s="8" t="s">
        <v>623</v>
      </c>
      <c r="H38" s="2">
        <v>4</v>
      </c>
      <c r="I38" s="2" t="s">
        <v>622</v>
      </c>
      <c r="J38" s="2" t="s">
        <v>33</v>
      </c>
      <c r="K38" s="2" t="s">
        <v>540</v>
      </c>
      <c r="L38" s="3">
        <v>45957</v>
      </c>
      <c r="M38" s="2" t="s">
        <v>615</v>
      </c>
      <c r="N38" s="3">
        <v>45957</v>
      </c>
      <c r="O38" s="2" t="s">
        <v>615</v>
      </c>
      <c r="P38" s="2" t="s">
        <v>626</v>
      </c>
      <c r="Q38" s="2" t="s">
        <v>534</v>
      </c>
    </row>
  </sheetData>
  <mergeCells count="6">
    <mergeCell ref="A6:G6"/>
    <mergeCell ref="A1:G1"/>
    <mergeCell ref="A2:G2"/>
    <mergeCell ref="A3:G3"/>
    <mergeCell ref="A4:G4"/>
    <mergeCell ref="A5:G5"/>
  </mergeCells>
  <phoneticPr fontId="2" type="noConversion"/>
  <dataValidations count="4">
    <dataValidation type="list" allowBlank="1" showInputMessage="1" showErrorMessage="1" sqref="I9:I38" xr:uid="{15CD00AE-C8F0-4453-9A04-554BCE1FCA01}">
      <formula1>"Yes, No"</formula1>
    </dataValidation>
    <dataValidation type="list" allowBlank="1" showInputMessage="1" showErrorMessage="1" sqref="J9:J38" xr:uid="{45922EF0-B728-44BC-8064-9C74DFC58620}">
      <formula1>"Y, N"</formula1>
    </dataValidation>
    <dataValidation type="list" allowBlank="1" showInputMessage="1" showErrorMessage="1" sqref="G9:G38" xr:uid="{BF2CF6E3-9F5F-4776-9C40-B34041F36289}">
      <formula1>"M, F, Z, M/F"</formula1>
    </dataValidation>
    <dataValidation type="list" allowBlank="1" showInputMessage="1" showErrorMessage="1" sqref="H9:H38" xr:uid="{30E19BBB-6F0E-4E7E-A20D-0DB21382E9F4}">
      <formula1>"1, 2, 3, 4, Z"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62C5-4E8D-49D3-846A-7389286C002D}">
  <dimension ref="A1:M31"/>
  <sheetViews>
    <sheetView workbookViewId="0"/>
  </sheetViews>
  <sheetFormatPr defaultRowHeight="15" x14ac:dyDescent="0.25"/>
  <cols>
    <col min="1" max="1" width="14.28515625" bestFit="1" customWidth="1"/>
    <col min="2" max="2" width="24.7109375" bestFit="1" customWidth="1"/>
    <col min="3" max="3" width="12.28515625" bestFit="1" customWidth="1"/>
    <col min="4" max="4" width="14.7109375" customWidth="1"/>
    <col min="5" max="5" width="13" customWidth="1"/>
    <col min="6" max="6" width="14.5703125" customWidth="1"/>
    <col min="7" max="7" width="17.5703125" customWidth="1"/>
    <col min="8" max="8" width="15.42578125" style="1" customWidth="1"/>
    <col min="9" max="9" width="24.140625" bestFit="1" customWidth="1"/>
    <col min="10" max="11" width="24.140625" customWidth="1"/>
    <col min="12" max="12" width="44.5703125" bestFit="1" customWidth="1"/>
    <col min="13" max="13" width="14.28515625" bestFit="1" customWidth="1"/>
  </cols>
  <sheetData>
    <row r="1" spans="1:13" x14ac:dyDescent="0.25">
      <c r="A1" t="s">
        <v>535</v>
      </c>
      <c r="B1" t="s">
        <v>614</v>
      </c>
      <c r="C1" t="s">
        <v>616</v>
      </c>
      <c r="D1" t="s">
        <v>617</v>
      </c>
      <c r="E1" t="s">
        <v>618</v>
      </c>
      <c r="F1" t="s">
        <v>619</v>
      </c>
      <c r="G1" t="s">
        <v>0</v>
      </c>
      <c r="H1" s="1" t="s">
        <v>1</v>
      </c>
      <c r="I1" t="s">
        <v>2</v>
      </c>
      <c r="J1" t="s">
        <v>3</v>
      </c>
      <c r="K1" t="s">
        <v>4</v>
      </c>
      <c r="L1" t="s">
        <v>7</v>
      </c>
      <c r="M1" t="s">
        <v>8</v>
      </c>
    </row>
    <row r="2" spans="1:13" x14ac:dyDescent="0.25">
      <c r="A2" t="str">
        <f>_xlfn.CONCAT(Instructions!C9,Instructions!D9,"D",TEXT(Instructions!B9,"YY"),TEXT(Instructions!B9,"MM"),"-",TEXT(Instructions!F9,"00"))</f>
        <v>LXND2509-16</v>
      </c>
      <c r="B2" t="str" cm="1">
        <f t="array" ref="B2">_xlfn.CONCAT(Instructions!C9,Instructions!A9,"_",TEXT(Instructions!B9,"YYYYMMDD"),"_1_",INDEX(Table1[], MATCH(1,(Table1[Estuary]=Instructions!C9)*(Table1[SectionName]=Instructions!D9)*(Table1[StationNumber]=Instructions!E9)*(Instructions!B9&gt;Table1[StartDate])*(Instructions!B9&lt;Table1[EndDate]),0),1),"_1")</f>
        <v>LXCOLL_20250903_1_0242_1</v>
      </c>
      <c r="C2" t="str">
        <f>Instructions!G9</f>
        <v>F</v>
      </c>
      <c r="D2">
        <f>Instructions!H9</f>
        <v>2</v>
      </c>
      <c r="E2" t="str">
        <f>Instructions!I9</f>
        <v>No</v>
      </c>
      <c r="F2" t="str">
        <f>Instructions!J9</f>
        <v>N</v>
      </c>
      <c r="G2" t="str">
        <f>Instructions!K9</f>
        <v>Proofed</v>
      </c>
      <c r="H2" s="1">
        <f>IF(ISBLANK(Instructions!L9),"",Instructions!L9)</f>
        <v>45957</v>
      </c>
      <c r="I2" t="str">
        <f>IF(ISBLANK(Instructions!M9),"",Instructions!M9)</f>
        <v>Lily Harmon</v>
      </c>
      <c r="J2" s="1">
        <f>IF(ISBLANK(Instructions!N9),"",Instructions!N9)</f>
        <v>45957</v>
      </c>
      <c r="K2" t="str">
        <f>IF(ISBLANK(Instructions!O9),"",Instructions!O9)</f>
        <v>Lily Harmon</v>
      </c>
      <c r="L2" t="str">
        <f>IF(ISBLANK(Instructions!P9),"",Instructions!P9)</f>
        <v/>
      </c>
      <c r="M2" t="str">
        <f>Instructions!Q9</f>
        <v>Added via SMSS</v>
      </c>
    </row>
    <row r="3" spans="1:13" x14ac:dyDescent="0.25">
      <c r="A3" t="str">
        <f>_xlfn.CONCAT(Instructions!C10,Instructions!D10,"D",TEXT(Instructions!B10,"YY"),TEXT(Instructions!B10,"MM"),"-",TEXT(Instructions!F10,"00"))</f>
        <v>LXND2509-17</v>
      </c>
      <c r="B3" t="str" cm="1">
        <f t="array" ref="B3">_xlfn.CONCAT(Instructions!C10,Instructions!A10,"_",TEXT(Instructions!B10,"YYYYMMDD"),"_1_",INDEX(Table1[], MATCH(1,(Table1[Estuary]=Instructions!C10)*(Table1[SectionName]=Instructions!D10)*(Table1[StationNumber]=Instructions!E10)*(Instructions!B10&gt;Table1[StartDate])*(Instructions!B10&lt;Table1[EndDate]),0),1),"_1")</f>
        <v>LXCOLL_20250903_1_0242_1</v>
      </c>
      <c r="C3" t="str">
        <f>Instructions!G10</f>
        <v>F</v>
      </c>
      <c r="D3">
        <f>Instructions!H10</f>
        <v>2</v>
      </c>
      <c r="E3" t="str">
        <f>Instructions!I10</f>
        <v>No</v>
      </c>
      <c r="F3" t="str">
        <f>Instructions!J10</f>
        <v>N</v>
      </c>
      <c r="G3" t="str">
        <f>Instructions!K10</f>
        <v>Proofed</v>
      </c>
      <c r="H3" s="1">
        <f>IF(ISBLANK(Instructions!L10),"",Instructions!L10)</f>
        <v>45957</v>
      </c>
      <c r="I3" t="str">
        <f>IF(ISBLANK(Instructions!M10),"",Instructions!M10)</f>
        <v>Lily Harmon</v>
      </c>
      <c r="J3" s="1">
        <f>IF(ISBLANK(Instructions!N10),"",Instructions!N10)</f>
        <v>45957</v>
      </c>
      <c r="K3" t="str">
        <f>IF(ISBLANK(Instructions!O10),"",Instructions!O10)</f>
        <v>Lily Harmon</v>
      </c>
      <c r="L3" t="str">
        <f>IF(ISBLANK(Instructions!P10),"",Instructions!P10)</f>
        <v/>
      </c>
      <c r="M3" t="str">
        <f>Instructions!Q10</f>
        <v>Added via SMSS</v>
      </c>
    </row>
    <row r="4" spans="1:13" x14ac:dyDescent="0.25">
      <c r="A4" t="str">
        <f>_xlfn.CONCAT(Instructions!C11,Instructions!D11,"D",TEXT(Instructions!B11,"YY"),TEXT(Instructions!B11,"MM"),"-",TEXT(Instructions!F11,"00"))</f>
        <v>LXND2509-18</v>
      </c>
      <c r="B4" t="str" cm="1">
        <f t="array" ref="B4">_xlfn.CONCAT(Instructions!C11,Instructions!A11,"_",TEXT(Instructions!B11,"YYYYMMDD"),"_1_",INDEX(Table1[], MATCH(1,(Table1[Estuary]=Instructions!C11)*(Table1[SectionName]=Instructions!D11)*(Table1[StationNumber]=Instructions!E11)*(Instructions!B11&gt;Table1[StartDate])*(Instructions!B11&lt;Table1[EndDate]),0),1),"_1")</f>
        <v>LXCOLL_20250903_1_0242_1</v>
      </c>
      <c r="C4" t="str">
        <f>Instructions!G11</f>
        <v>Z</v>
      </c>
      <c r="D4">
        <f>Instructions!H11</f>
        <v>4</v>
      </c>
      <c r="E4" t="str">
        <f>Instructions!I11</f>
        <v>No</v>
      </c>
      <c r="F4" t="str">
        <f>Instructions!J11</f>
        <v>N</v>
      </c>
      <c r="G4" t="str">
        <f>Instructions!K11</f>
        <v>Proofed</v>
      </c>
      <c r="H4" s="1">
        <f>IF(ISBLANK(Instructions!L11),"",Instructions!L11)</f>
        <v>45957</v>
      </c>
      <c r="I4" t="str">
        <f>IF(ISBLANK(Instructions!M11),"",Instructions!M11)</f>
        <v>Lily Harmon</v>
      </c>
      <c r="J4" s="1">
        <f>IF(ISBLANK(Instructions!N11),"",Instructions!N11)</f>
        <v>45957</v>
      </c>
      <c r="K4" t="str">
        <f>IF(ISBLANK(Instructions!O11),"",Instructions!O11)</f>
        <v>Lily Harmon</v>
      </c>
      <c r="L4" t="str">
        <f>IF(ISBLANK(Instructions!P11),"",Instructions!P11)</f>
        <v>1=mat</v>
      </c>
      <c r="M4" t="str">
        <f>Instructions!Q11</f>
        <v>Added via SMSS</v>
      </c>
    </row>
    <row r="5" spans="1:13" x14ac:dyDescent="0.25">
      <c r="A5" t="str">
        <f>_xlfn.CONCAT(Instructions!C12,Instructions!D12,"D",TEXT(Instructions!B12,"YY"),TEXT(Instructions!B12,"MM"),"-",TEXT(Instructions!F12,"00"))</f>
        <v>LXND2509-19</v>
      </c>
      <c r="B5" t="str" cm="1">
        <f t="array" ref="B5">_xlfn.CONCAT(Instructions!C12,Instructions!A12,"_",TEXT(Instructions!B12,"YYYYMMDD"),"_1_",INDEX(Table1[], MATCH(1,(Table1[Estuary]=Instructions!C12)*(Table1[SectionName]=Instructions!D12)*(Table1[StationNumber]=Instructions!E12)*(Instructions!B12&gt;Table1[StartDate])*(Instructions!B12&lt;Table1[EndDate]),0),1),"_1")</f>
        <v>LXCOLL_20250903_1_0242_1</v>
      </c>
      <c r="C5" t="str">
        <f>Instructions!G12</f>
        <v>M</v>
      </c>
      <c r="D5">
        <f>Instructions!H12</f>
        <v>2</v>
      </c>
      <c r="E5" t="str">
        <f>Instructions!I12</f>
        <v>No</v>
      </c>
      <c r="F5" t="str">
        <f>Instructions!J12</f>
        <v>N</v>
      </c>
      <c r="G5" t="str">
        <f>Instructions!K12</f>
        <v>Proofed</v>
      </c>
      <c r="H5" s="1">
        <f>IF(ISBLANK(Instructions!L12),"",Instructions!L12)</f>
        <v>45957</v>
      </c>
      <c r="I5" t="str">
        <f>IF(ISBLANK(Instructions!M12),"",Instructions!M12)</f>
        <v>Lily Harmon</v>
      </c>
      <c r="J5" s="1">
        <f>IF(ISBLANK(Instructions!N12),"",Instructions!N12)</f>
        <v>45957</v>
      </c>
      <c r="K5" t="str">
        <f>IF(ISBLANK(Instructions!O12),"",Instructions!O12)</f>
        <v>Lily Harmon</v>
      </c>
      <c r="L5" t="str">
        <f>IF(ISBLANK(Instructions!P12),"",Instructions!P12)</f>
        <v/>
      </c>
      <c r="M5" t="str">
        <f>Instructions!Q12</f>
        <v>Added via SMSS</v>
      </c>
    </row>
    <row r="6" spans="1:13" x14ac:dyDescent="0.25">
      <c r="A6" t="str">
        <f>_xlfn.CONCAT(Instructions!C13,Instructions!D13,"D",TEXT(Instructions!B13,"YY"),TEXT(Instructions!B13,"MM"),"-",TEXT(Instructions!F13,"00"))</f>
        <v>LXND2509-20</v>
      </c>
      <c r="B6" t="str" cm="1">
        <f t="array" ref="B6">_xlfn.CONCAT(Instructions!C13,Instructions!A13,"_",TEXT(Instructions!B13,"YYYYMMDD"),"_1_",INDEX(Table1[], MATCH(1,(Table1[Estuary]=Instructions!C13)*(Table1[SectionName]=Instructions!D13)*(Table1[StationNumber]=Instructions!E13)*(Instructions!B13&gt;Table1[StartDate])*(Instructions!B13&lt;Table1[EndDate]),0),1),"_1")</f>
        <v>LXCOLL_20250903_1_0242_1</v>
      </c>
      <c r="C6" t="str">
        <f>Instructions!G13</f>
        <v>F</v>
      </c>
      <c r="D6">
        <f>Instructions!H13</f>
        <v>2</v>
      </c>
      <c r="E6" t="str">
        <f>Instructions!I13</f>
        <v>No</v>
      </c>
      <c r="F6" t="str">
        <f>Instructions!J13</f>
        <v>N</v>
      </c>
      <c r="G6" t="str">
        <f>Instructions!K13</f>
        <v>Proofed</v>
      </c>
      <c r="H6" s="1">
        <f>IF(ISBLANK(Instructions!L13),"",Instructions!L13)</f>
        <v>45957</v>
      </c>
      <c r="I6" t="str">
        <f>IF(ISBLANK(Instructions!M13),"",Instructions!M13)</f>
        <v>Lily Harmon</v>
      </c>
      <c r="J6" s="1">
        <f>IF(ISBLANK(Instructions!N13),"",Instructions!N13)</f>
        <v>45957</v>
      </c>
      <c r="K6" t="str">
        <f>IF(ISBLANK(Instructions!O13),"",Instructions!O13)</f>
        <v>Lily Harmon</v>
      </c>
      <c r="L6" t="str">
        <f>IF(ISBLANK(Instructions!P13),"",Instructions!P13)</f>
        <v/>
      </c>
      <c r="M6" t="str">
        <f>Instructions!Q13</f>
        <v>Added via SMSS</v>
      </c>
    </row>
    <row r="7" spans="1:13" x14ac:dyDescent="0.25">
      <c r="A7" t="str">
        <f>_xlfn.CONCAT(Instructions!C14,Instructions!D14,"D",TEXT(Instructions!B14,"YY"),TEXT(Instructions!B14,"MM"),"-",TEXT(Instructions!F14,"00"))</f>
        <v>LXND2509-21</v>
      </c>
      <c r="B7" t="str" cm="1">
        <f t="array" ref="B7">_xlfn.CONCAT(Instructions!C14,Instructions!A14,"_",TEXT(Instructions!B14,"YYYYMMDD"),"_1_",INDEX(Table1[], MATCH(1,(Table1[Estuary]=Instructions!C14)*(Table1[SectionName]=Instructions!D14)*(Table1[StationNumber]=Instructions!E14)*(Instructions!B14&gt;Table1[StartDate])*(Instructions!B14&lt;Table1[EndDate]),0),1),"_1")</f>
        <v>LXCOLL_20250903_1_0242_1</v>
      </c>
      <c r="C7" t="str">
        <f>Instructions!G14</f>
        <v>F</v>
      </c>
      <c r="D7">
        <f>Instructions!H14</f>
        <v>2</v>
      </c>
      <c r="E7" t="str">
        <f>Instructions!I14</f>
        <v>No</v>
      </c>
      <c r="F7" t="str">
        <f>Instructions!J14</f>
        <v>N</v>
      </c>
      <c r="G7" t="str">
        <f>Instructions!K14</f>
        <v>Proofed</v>
      </c>
      <c r="H7" s="1">
        <f>IF(ISBLANK(Instructions!L14),"",Instructions!L14)</f>
        <v>45957</v>
      </c>
      <c r="I7" t="str">
        <f>IF(ISBLANK(Instructions!M14),"",Instructions!M14)</f>
        <v>Lily Harmon</v>
      </c>
      <c r="J7" s="1">
        <f>IF(ISBLANK(Instructions!N14),"",Instructions!N14)</f>
        <v>45957</v>
      </c>
      <c r="K7" t="str">
        <f>IF(ISBLANK(Instructions!O14),"",Instructions!O14)</f>
        <v>Lily Harmon</v>
      </c>
      <c r="L7" t="str">
        <f>IF(ISBLANK(Instructions!P14),"",Instructions!P14)</f>
        <v/>
      </c>
      <c r="M7" t="str">
        <f>Instructions!Q14</f>
        <v>Added via SMSS</v>
      </c>
    </row>
    <row r="8" spans="1:13" x14ac:dyDescent="0.25">
      <c r="A8" t="str">
        <f>_xlfn.CONCAT(Instructions!C15,Instructions!D15,"D",TEXT(Instructions!B15,"YY"),TEXT(Instructions!B15,"MM"),"-",TEXT(Instructions!F15,"00"))</f>
        <v>LXND2509-22</v>
      </c>
      <c r="B8" t="str" cm="1">
        <f t="array" ref="B8">_xlfn.CONCAT(Instructions!C15,Instructions!A15,"_",TEXT(Instructions!B15,"YYYYMMDD"),"_1_",INDEX(Table1[], MATCH(1,(Table1[Estuary]=Instructions!C15)*(Table1[SectionName]=Instructions!D15)*(Table1[StationNumber]=Instructions!E15)*(Instructions!B15&gt;Table1[StartDate])*(Instructions!B15&lt;Table1[EndDate]),0),1),"_1")</f>
        <v>LXCOLL_20250903_1_0242_1</v>
      </c>
      <c r="C8" t="str">
        <f>Instructions!G15</f>
        <v>M</v>
      </c>
      <c r="D8">
        <f>Instructions!H15</f>
        <v>2</v>
      </c>
      <c r="E8" t="str">
        <f>Instructions!I15</f>
        <v>No</v>
      </c>
      <c r="F8" t="str">
        <f>Instructions!J15</f>
        <v>N</v>
      </c>
      <c r="G8" t="str">
        <f>Instructions!K15</f>
        <v>Proofed</v>
      </c>
      <c r="H8" s="1">
        <f>IF(ISBLANK(Instructions!L15),"",Instructions!L15)</f>
        <v>45957</v>
      </c>
      <c r="I8" t="str">
        <f>IF(ISBLANK(Instructions!M15),"",Instructions!M15)</f>
        <v>Lily Harmon</v>
      </c>
      <c r="J8" s="1">
        <f>IF(ISBLANK(Instructions!N15),"",Instructions!N15)</f>
        <v>45957</v>
      </c>
      <c r="K8" t="str">
        <f>IF(ISBLANK(Instructions!O15),"",Instructions!O15)</f>
        <v>Lily Harmon</v>
      </c>
      <c r="L8" t="str">
        <f>IF(ISBLANK(Instructions!P15),"",Instructions!P15)</f>
        <v/>
      </c>
      <c r="M8" t="str">
        <f>Instructions!Q15</f>
        <v>Added via SMSS</v>
      </c>
    </row>
    <row r="9" spans="1:13" x14ac:dyDescent="0.25">
      <c r="A9" t="str">
        <f>_xlfn.CONCAT(Instructions!C16,Instructions!D16,"D",TEXT(Instructions!B16,"YY"),TEXT(Instructions!B16,"MM"),"-",TEXT(Instructions!F16,"00"))</f>
        <v>LXND2509-23</v>
      </c>
      <c r="B9" t="str" cm="1">
        <f t="array" ref="B9">_xlfn.CONCAT(Instructions!C16,Instructions!A16,"_",TEXT(Instructions!B16,"YYYYMMDD"),"_1_",INDEX(Table1[], MATCH(1,(Table1[Estuary]=Instructions!C16)*(Table1[SectionName]=Instructions!D16)*(Table1[StationNumber]=Instructions!E16)*(Instructions!B16&gt;Table1[StartDate])*(Instructions!B16&lt;Table1[EndDate]),0),1),"_1")</f>
        <v>LXCOLL_20250903_1_0242_1</v>
      </c>
      <c r="C9" t="str">
        <f>Instructions!G16</f>
        <v>Z</v>
      </c>
      <c r="D9" t="str">
        <f>Instructions!H16</f>
        <v>Z</v>
      </c>
      <c r="E9" t="str">
        <f>Instructions!I16</f>
        <v>No</v>
      </c>
      <c r="F9" t="str">
        <f>Instructions!J16</f>
        <v>Y</v>
      </c>
      <c r="G9" t="str">
        <f>Instructions!K16</f>
        <v>Proofed</v>
      </c>
      <c r="H9" s="1">
        <f>IF(ISBLANK(Instructions!L16),"",Instructions!L16)</f>
        <v>45957</v>
      </c>
      <c r="I9" t="str">
        <f>IF(ISBLANK(Instructions!M16),"",Instructions!M16)</f>
        <v>Lily Harmon</v>
      </c>
      <c r="J9" s="1">
        <f>IF(ISBLANK(Instructions!N16),"",Instructions!N16)</f>
        <v>45957</v>
      </c>
      <c r="K9" t="str">
        <f>IF(ISBLANK(Instructions!O16),"",Instructions!O16)</f>
        <v>Lily Harmon</v>
      </c>
      <c r="L9" t="str">
        <f>IF(ISBLANK(Instructions!P16),"",Instructions!P16)</f>
        <v/>
      </c>
      <c r="M9" t="str">
        <f>Instructions!Q16</f>
        <v>Added via SMSS</v>
      </c>
    </row>
    <row r="10" spans="1:13" x14ac:dyDescent="0.25">
      <c r="A10" t="str">
        <f>_xlfn.CONCAT(Instructions!C17,Instructions!D17,"D",TEXT(Instructions!B17,"YY"),TEXT(Instructions!B17,"MM"),"-",TEXT(Instructions!F17,"00"))</f>
        <v>LXND2509-24</v>
      </c>
      <c r="B10" t="str" cm="1">
        <f t="array" ref="B10">_xlfn.CONCAT(Instructions!C17,Instructions!A17,"_",TEXT(Instructions!B17,"YYYYMMDD"),"_1_",INDEX(Table1[], MATCH(1,(Table1[Estuary]=Instructions!C17)*(Table1[SectionName]=Instructions!D17)*(Table1[StationNumber]=Instructions!E17)*(Instructions!B17&gt;Table1[StartDate])*(Instructions!B17&lt;Table1[EndDate]),0),1),"_1")</f>
        <v>LXCOLL_20250903_1_0242_1</v>
      </c>
      <c r="C10" t="str">
        <f>Instructions!G17</f>
        <v>M</v>
      </c>
      <c r="D10">
        <f>Instructions!H17</f>
        <v>2</v>
      </c>
      <c r="E10" t="str">
        <f>Instructions!I17</f>
        <v>No</v>
      </c>
      <c r="F10" t="str">
        <f>Instructions!J17</f>
        <v>N</v>
      </c>
      <c r="G10" t="str">
        <f>Instructions!K17</f>
        <v>Proofed</v>
      </c>
      <c r="H10" s="1">
        <f>IF(ISBLANK(Instructions!L17),"",Instructions!L17)</f>
        <v>45957</v>
      </c>
      <c r="I10" t="str">
        <f>IF(ISBLANK(Instructions!M17),"",Instructions!M17)</f>
        <v>Lily Harmon</v>
      </c>
      <c r="J10" s="1">
        <f>IF(ISBLANK(Instructions!N17),"",Instructions!N17)</f>
        <v>45957</v>
      </c>
      <c r="K10" t="str">
        <f>IF(ISBLANK(Instructions!O17),"",Instructions!O17)</f>
        <v>Lily Harmon</v>
      </c>
      <c r="L10" t="str">
        <f>IF(ISBLANK(Instructions!P17),"",Instructions!P17)</f>
        <v/>
      </c>
      <c r="M10" t="str">
        <f>Instructions!Q17</f>
        <v>Added via SMSS</v>
      </c>
    </row>
    <row r="11" spans="1:13" x14ac:dyDescent="0.25">
      <c r="A11" t="str">
        <f>_xlfn.CONCAT(Instructions!C18,Instructions!D18,"D",TEXT(Instructions!B18,"YY"),TEXT(Instructions!B18,"MM"),"-",TEXT(Instructions!F18,"00"))</f>
        <v>LXND2509-25</v>
      </c>
      <c r="B11" t="str" cm="1">
        <f t="array" ref="B11">_xlfn.CONCAT(Instructions!C18,Instructions!A18,"_",TEXT(Instructions!B18,"YYYYMMDD"),"_1_",INDEX(Table1[], MATCH(1,(Table1[Estuary]=Instructions!C18)*(Table1[SectionName]=Instructions!D18)*(Table1[StationNumber]=Instructions!E18)*(Instructions!B18&gt;Table1[StartDate])*(Instructions!B18&lt;Table1[EndDate]),0),1),"_1")</f>
        <v>LXCOLL_20250903_1_0242_1</v>
      </c>
      <c r="C11" t="str">
        <f>Instructions!G18</f>
        <v>Z</v>
      </c>
      <c r="D11" t="str">
        <f>Instructions!H18</f>
        <v>Z</v>
      </c>
      <c r="E11" t="str">
        <f>Instructions!I18</f>
        <v>No</v>
      </c>
      <c r="F11" t="str">
        <f>Instructions!J18</f>
        <v>N</v>
      </c>
      <c r="G11" t="str">
        <f>Instructions!K18</f>
        <v>Proofed</v>
      </c>
      <c r="H11" s="1">
        <f>IF(ISBLANK(Instructions!L18),"",Instructions!L18)</f>
        <v>45957</v>
      </c>
      <c r="I11" t="str">
        <f>IF(ISBLANK(Instructions!M18),"",Instructions!M18)</f>
        <v>Lily Harmon</v>
      </c>
      <c r="J11" s="1">
        <f>IF(ISBLANK(Instructions!N18),"",Instructions!N18)</f>
        <v>45957</v>
      </c>
      <c r="K11" t="str">
        <f>IF(ISBLANK(Instructions!O18),"",Instructions!O18)</f>
        <v>Lily Harmon</v>
      </c>
      <c r="L11" t="str">
        <f>IF(ISBLANK(Instructions!P18),"",Instructions!P18)</f>
        <v xml:space="preserve">Missing slide </v>
      </c>
      <c r="M11" t="str">
        <f>Instructions!Q18</f>
        <v>Added via SMSS</v>
      </c>
    </row>
    <row r="12" spans="1:13" x14ac:dyDescent="0.25">
      <c r="A12" t="str">
        <f>_xlfn.CONCAT(Instructions!C19,Instructions!D19,"D",TEXT(Instructions!B19,"YY"),TEXT(Instructions!B19,"MM"),"-",TEXT(Instructions!F19,"00"))</f>
        <v>LXND2509-26</v>
      </c>
      <c r="B12" t="str" cm="1">
        <f t="array" ref="B12">_xlfn.CONCAT(Instructions!C19,Instructions!A19,"_",TEXT(Instructions!B19,"YYYYMMDD"),"_1_",INDEX(Table1[], MATCH(1,(Table1[Estuary]=Instructions!C19)*(Table1[SectionName]=Instructions!D19)*(Table1[StationNumber]=Instructions!E19)*(Instructions!B19&gt;Table1[StartDate])*(Instructions!B19&lt;Table1[EndDate]),0),1),"_1")</f>
        <v>LXCOLL_20250903_1_0243_1</v>
      </c>
      <c r="C12" t="str">
        <f>Instructions!G19</f>
        <v>M</v>
      </c>
      <c r="D12">
        <f>Instructions!H19</f>
        <v>2</v>
      </c>
      <c r="E12" t="str">
        <f>Instructions!I19</f>
        <v>No</v>
      </c>
      <c r="F12" t="str">
        <f>Instructions!J19</f>
        <v>N</v>
      </c>
      <c r="G12" t="str">
        <f>Instructions!K19</f>
        <v>Proofed</v>
      </c>
      <c r="H12" s="1">
        <f>IF(ISBLANK(Instructions!L19),"",Instructions!L19)</f>
        <v>45957</v>
      </c>
      <c r="I12" t="str">
        <f>IF(ISBLANK(Instructions!M19),"",Instructions!M19)</f>
        <v>Lily Harmon</v>
      </c>
      <c r="J12" s="1">
        <f>IF(ISBLANK(Instructions!N19),"",Instructions!N19)</f>
        <v>45957</v>
      </c>
      <c r="K12" t="str">
        <f>IF(ISBLANK(Instructions!O19),"",Instructions!O19)</f>
        <v>Lily Harmon</v>
      </c>
      <c r="L12" t="str">
        <f>IF(ISBLANK(Instructions!P19),"",Instructions!P19)</f>
        <v/>
      </c>
      <c r="M12" t="str">
        <f>Instructions!Q19</f>
        <v>Added via SMSS</v>
      </c>
    </row>
    <row r="13" spans="1:13" x14ac:dyDescent="0.25">
      <c r="A13" t="str">
        <f>_xlfn.CONCAT(Instructions!C20,Instructions!D20,"D",TEXT(Instructions!B20,"YY"),TEXT(Instructions!B20,"MM"),"-",TEXT(Instructions!F20,"00"))</f>
        <v>LXND2509-27</v>
      </c>
      <c r="B13" t="str" cm="1">
        <f t="array" ref="B13">_xlfn.CONCAT(Instructions!C20,Instructions!A20,"_",TEXT(Instructions!B20,"YYYYMMDD"),"_1_",INDEX(Table1[], MATCH(1,(Table1[Estuary]=Instructions!C20)*(Table1[SectionName]=Instructions!D20)*(Table1[StationNumber]=Instructions!E20)*(Instructions!B20&gt;Table1[StartDate])*(Instructions!B20&lt;Table1[EndDate]),0),1),"_1")</f>
        <v>LXCOLL_20250903_1_0243_1</v>
      </c>
      <c r="C13" t="str">
        <f>Instructions!G20</f>
        <v>M</v>
      </c>
      <c r="D13">
        <f>Instructions!H20</f>
        <v>2</v>
      </c>
      <c r="E13" t="str">
        <f>Instructions!I20</f>
        <v>No</v>
      </c>
      <c r="F13" t="str">
        <f>Instructions!J20</f>
        <v>N</v>
      </c>
      <c r="G13" t="str">
        <f>Instructions!K20</f>
        <v>Proofed</v>
      </c>
      <c r="H13" s="1">
        <f>IF(ISBLANK(Instructions!L20),"",Instructions!L20)</f>
        <v>45957</v>
      </c>
      <c r="I13" t="str">
        <f>IF(ISBLANK(Instructions!M20),"",Instructions!M20)</f>
        <v>Lily Harmon</v>
      </c>
      <c r="J13" s="1">
        <f>IF(ISBLANK(Instructions!N20),"",Instructions!N20)</f>
        <v>45957</v>
      </c>
      <c r="K13" t="str">
        <f>IF(ISBLANK(Instructions!O20),"",Instructions!O20)</f>
        <v>Lily Harmon</v>
      </c>
      <c r="L13" t="str">
        <f>IF(ISBLANK(Instructions!P20),"",Instructions!P20)</f>
        <v/>
      </c>
      <c r="M13" t="str">
        <f>Instructions!Q20</f>
        <v>Added via SMSS</v>
      </c>
    </row>
    <row r="14" spans="1:13" x14ac:dyDescent="0.25">
      <c r="A14" t="str">
        <f>_xlfn.CONCAT(Instructions!C21,Instructions!D21,"D",TEXT(Instructions!B21,"YY"),TEXT(Instructions!B21,"MM"),"-",TEXT(Instructions!F21,"00"))</f>
        <v>LXND2509-28</v>
      </c>
      <c r="B14" t="str" cm="1">
        <f t="array" ref="B14">_xlfn.CONCAT(Instructions!C21,Instructions!A21,"_",TEXT(Instructions!B21,"YYYYMMDD"),"_1_",INDEX(Table1[], MATCH(1,(Table1[Estuary]=Instructions!C21)*(Table1[SectionName]=Instructions!D21)*(Table1[StationNumber]=Instructions!E21)*(Instructions!B21&gt;Table1[StartDate])*(Instructions!B21&lt;Table1[EndDate]),0),1),"_1")</f>
        <v>LXCOLL_20250903_1_0243_1</v>
      </c>
      <c r="C14" t="str">
        <f>Instructions!G21</f>
        <v>F</v>
      </c>
      <c r="D14">
        <f>Instructions!H21</f>
        <v>2</v>
      </c>
      <c r="E14" t="str">
        <f>Instructions!I21</f>
        <v>No</v>
      </c>
      <c r="F14" t="str">
        <f>Instructions!J21</f>
        <v>N</v>
      </c>
      <c r="G14" t="str">
        <f>Instructions!K21</f>
        <v>Proofed</v>
      </c>
      <c r="H14" s="1">
        <f>IF(ISBLANK(Instructions!L21),"",Instructions!L21)</f>
        <v>45957</v>
      </c>
      <c r="I14" t="str">
        <f>IF(ISBLANK(Instructions!M21),"",Instructions!M21)</f>
        <v>Lily Harmon</v>
      </c>
      <c r="J14" s="1">
        <f>IF(ISBLANK(Instructions!N21),"",Instructions!N21)</f>
        <v>45957</v>
      </c>
      <c r="K14" t="str">
        <f>IF(ISBLANK(Instructions!O21),"",Instructions!O21)</f>
        <v>Lily Harmon</v>
      </c>
      <c r="L14" t="str">
        <f>IF(ISBLANK(Instructions!P21),"",Instructions!P21)</f>
        <v/>
      </c>
      <c r="M14" t="str">
        <f>Instructions!Q21</f>
        <v>Added via SMSS</v>
      </c>
    </row>
    <row r="15" spans="1:13" x14ac:dyDescent="0.25">
      <c r="A15" t="str">
        <f>_xlfn.CONCAT(Instructions!C22,Instructions!D22,"D",TEXT(Instructions!B22,"YY"),TEXT(Instructions!B22,"MM"),"-",TEXT(Instructions!F22,"00"))</f>
        <v>LXND2509-29</v>
      </c>
      <c r="B15" t="str" cm="1">
        <f t="array" ref="B15">_xlfn.CONCAT(Instructions!C22,Instructions!A22,"_",TEXT(Instructions!B22,"YYYYMMDD"),"_1_",INDEX(Table1[], MATCH(1,(Table1[Estuary]=Instructions!C22)*(Table1[SectionName]=Instructions!D22)*(Table1[StationNumber]=Instructions!E22)*(Instructions!B22&gt;Table1[StartDate])*(Instructions!B22&lt;Table1[EndDate]),0),1),"_1")</f>
        <v>LXCOLL_20250903_1_0243_1</v>
      </c>
      <c r="C15" t="str">
        <f>Instructions!G22</f>
        <v>M</v>
      </c>
      <c r="D15">
        <f>Instructions!H22</f>
        <v>3</v>
      </c>
      <c r="E15" t="str">
        <f>Instructions!I22</f>
        <v>No</v>
      </c>
      <c r="F15" t="str">
        <f>Instructions!J22</f>
        <v>N</v>
      </c>
      <c r="G15" t="str">
        <f>Instructions!K22</f>
        <v>Proofed</v>
      </c>
      <c r="H15" s="1">
        <f>IF(ISBLANK(Instructions!L22),"",Instructions!L22)</f>
        <v>45957</v>
      </c>
      <c r="I15" t="str">
        <f>IF(ISBLANK(Instructions!M22),"",Instructions!M22)</f>
        <v>Lily Harmon</v>
      </c>
      <c r="J15" s="1">
        <f>IF(ISBLANK(Instructions!N22),"",Instructions!N22)</f>
        <v>45957</v>
      </c>
      <c r="K15" t="str">
        <f>IF(ISBLANK(Instructions!O22),"",Instructions!O22)</f>
        <v>Lily Harmon</v>
      </c>
      <c r="L15" t="str">
        <f>IF(ISBLANK(Instructions!P22),"",Instructions!P22)</f>
        <v/>
      </c>
      <c r="M15" t="str">
        <f>Instructions!Q22</f>
        <v>Added via SMSS</v>
      </c>
    </row>
    <row r="16" spans="1:13" x14ac:dyDescent="0.25">
      <c r="A16" t="str">
        <f>_xlfn.CONCAT(Instructions!C23,Instructions!D23,"D",TEXT(Instructions!B23,"YY"),TEXT(Instructions!B23,"MM"),"-",TEXT(Instructions!F23,"00"))</f>
        <v>LXND2509-30</v>
      </c>
      <c r="B16" t="str" cm="1">
        <f t="array" ref="B16">_xlfn.CONCAT(Instructions!C23,Instructions!A23,"_",TEXT(Instructions!B23,"YYYYMMDD"),"_1_",INDEX(Table1[], MATCH(1,(Table1[Estuary]=Instructions!C23)*(Table1[SectionName]=Instructions!D23)*(Table1[StationNumber]=Instructions!E23)*(Instructions!B23&gt;Table1[StartDate])*(Instructions!B23&lt;Table1[EndDate]),0),1),"_1")</f>
        <v>LXCOLL_20250903_1_0243_1</v>
      </c>
      <c r="C16" t="str">
        <f>Instructions!G23</f>
        <v>M</v>
      </c>
      <c r="D16">
        <f>Instructions!H23</f>
        <v>2</v>
      </c>
      <c r="E16" t="str">
        <f>Instructions!I23</f>
        <v>No</v>
      </c>
      <c r="F16" t="str">
        <f>Instructions!J23</f>
        <v>N</v>
      </c>
      <c r="G16" t="str">
        <f>Instructions!K23</f>
        <v>Proofed</v>
      </c>
      <c r="H16" s="1">
        <f>IF(ISBLANK(Instructions!L23),"",Instructions!L23)</f>
        <v>45957</v>
      </c>
      <c r="I16" t="str">
        <f>IF(ISBLANK(Instructions!M23),"",Instructions!M23)</f>
        <v>Lily Harmon</v>
      </c>
      <c r="J16" s="1">
        <f>IF(ISBLANK(Instructions!N23),"",Instructions!N23)</f>
        <v>45957</v>
      </c>
      <c r="K16" t="str">
        <f>IF(ISBLANK(Instructions!O23),"",Instructions!O23)</f>
        <v>Lily Harmon</v>
      </c>
      <c r="L16" t="str">
        <f>IF(ISBLANK(Instructions!P23),"",Instructions!P23)</f>
        <v/>
      </c>
      <c r="M16" t="str">
        <f>Instructions!Q23</f>
        <v>Added via SMSS</v>
      </c>
    </row>
    <row r="17" spans="1:13" x14ac:dyDescent="0.25">
      <c r="A17" t="str">
        <f>_xlfn.CONCAT(Instructions!C24,Instructions!D24,"D",TEXT(Instructions!B24,"YY"),TEXT(Instructions!B24,"MM"),"-",TEXT(Instructions!F24,"00"))</f>
        <v>LXND2509-31</v>
      </c>
      <c r="B17" t="str" cm="1">
        <f t="array" ref="B17">_xlfn.CONCAT(Instructions!C24,Instructions!A24,"_",TEXT(Instructions!B24,"YYYYMMDD"),"_1_",INDEX(Table1[], MATCH(1,(Table1[Estuary]=Instructions!C24)*(Table1[SectionName]=Instructions!D24)*(Table1[StationNumber]=Instructions!E24)*(Instructions!B24&gt;Table1[StartDate])*(Instructions!B24&lt;Table1[EndDate]),0),1),"_1")</f>
        <v>LXCOLL_20250903_1_0243_1</v>
      </c>
      <c r="C17" t="str">
        <f>Instructions!G24</f>
        <v>M</v>
      </c>
      <c r="D17">
        <f>Instructions!H24</f>
        <v>2</v>
      </c>
      <c r="E17" t="str">
        <f>Instructions!I24</f>
        <v>No</v>
      </c>
      <c r="F17" t="str">
        <f>Instructions!J24</f>
        <v>N</v>
      </c>
      <c r="G17" t="str">
        <f>Instructions!K24</f>
        <v>Proofed</v>
      </c>
      <c r="H17" s="1">
        <f>IF(ISBLANK(Instructions!L24),"",Instructions!L24)</f>
        <v>45957</v>
      </c>
      <c r="I17" t="str">
        <f>IF(ISBLANK(Instructions!M24),"",Instructions!M24)</f>
        <v>Lily Harmon</v>
      </c>
      <c r="J17" s="1">
        <f>IF(ISBLANK(Instructions!N24),"",Instructions!N24)</f>
        <v>45957</v>
      </c>
      <c r="K17" t="str">
        <f>IF(ISBLANK(Instructions!O24),"",Instructions!O24)</f>
        <v>Lily Harmon</v>
      </c>
      <c r="L17" t="str">
        <f>IF(ISBLANK(Instructions!P24),"",Instructions!P24)</f>
        <v/>
      </c>
      <c r="M17" t="str">
        <f>Instructions!Q24</f>
        <v>Added via SMSS</v>
      </c>
    </row>
    <row r="18" spans="1:13" x14ac:dyDescent="0.25">
      <c r="A18" t="str">
        <f>_xlfn.CONCAT(Instructions!C25,Instructions!D25,"D",TEXT(Instructions!B25,"YY"),TEXT(Instructions!B25,"MM"),"-",TEXT(Instructions!F25,"00"))</f>
        <v>LXND2509-32</v>
      </c>
      <c r="B18" t="str" cm="1">
        <f t="array" ref="B18">_xlfn.CONCAT(Instructions!C25,Instructions!A25,"_",TEXT(Instructions!B25,"YYYYMMDD"),"_1_",INDEX(Table1[], MATCH(1,(Table1[Estuary]=Instructions!C25)*(Table1[SectionName]=Instructions!D25)*(Table1[StationNumber]=Instructions!E25)*(Instructions!B25&gt;Table1[StartDate])*(Instructions!B25&lt;Table1[EndDate]),0),1),"_1")</f>
        <v>LXCOLL_20250903_1_0243_1</v>
      </c>
      <c r="C18" t="str">
        <f>Instructions!G25</f>
        <v>M</v>
      </c>
      <c r="D18">
        <f>Instructions!H25</f>
        <v>1</v>
      </c>
      <c r="E18" t="str">
        <f>Instructions!I25</f>
        <v>No</v>
      </c>
      <c r="F18" t="str">
        <f>Instructions!J25</f>
        <v>N</v>
      </c>
      <c r="G18" t="str">
        <f>Instructions!K25</f>
        <v>Proofed</v>
      </c>
      <c r="H18" s="1">
        <f>IF(ISBLANK(Instructions!L25),"",Instructions!L25)</f>
        <v>45957</v>
      </c>
      <c r="I18" t="str">
        <f>IF(ISBLANK(Instructions!M25),"",Instructions!M25)</f>
        <v>Lily Harmon</v>
      </c>
      <c r="J18" s="1">
        <f>IF(ISBLANK(Instructions!N25),"",Instructions!N25)</f>
        <v>45957</v>
      </c>
      <c r="K18" t="str">
        <f>IF(ISBLANK(Instructions!O25),"",Instructions!O25)</f>
        <v>Lily Harmon</v>
      </c>
      <c r="L18" t="str">
        <f>IF(ISBLANK(Instructions!P25),"",Instructions!P25)</f>
        <v/>
      </c>
      <c r="M18" t="str">
        <f>Instructions!Q25</f>
        <v>Added via SMSS</v>
      </c>
    </row>
    <row r="19" spans="1:13" x14ac:dyDescent="0.25">
      <c r="A19" t="str">
        <f>_xlfn.CONCAT(Instructions!C26,Instructions!D26,"D",TEXT(Instructions!B26,"YY"),TEXT(Instructions!B26,"MM"),"-",TEXT(Instructions!F26,"00"))</f>
        <v>LXND2509-33</v>
      </c>
      <c r="B19" t="str" cm="1">
        <f t="array" ref="B19">_xlfn.CONCAT(Instructions!C26,Instructions!A26,"_",TEXT(Instructions!B26,"YYYYMMDD"),"_1_",INDEX(Table1[], MATCH(1,(Table1[Estuary]=Instructions!C26)*(Table1[SectionName]=Instructions!D26)*(Table1[StationNumber]=Instructions!E26)*(Instructions!B26&gt;Table1[StartDate])*(Instructions!B26&lt;Table1[EndDate]),0),1),"_1")</f>
        <v>LXCOLL_20250903_1_0243_1</v>
      </c>
      <c r="C19" t="str">
        <f>Instructions!G26</f>
        <v>F</v>
      </c>
      <c r="D19">
        <f>Instructions!H26</f>
        <v>2</v>
      </c>
      <c r="E19" t="str">
        <f>Instructions!I26</f>
        <v>No</v>
      </c>
      <c r="F19" t="str">
        <f>Instructions!J26</f>
        <v>N</v>
      </c>
      <c r="G19" t="str">
        <f>Instructions!K26</f>
        <v>Proofed</v>
      </c>
      <c r="H19" s="1">
        <f>IF(ISBLANK(Instructions!L26),"",Instructions!L26)</f>
        <v>45957</v>
      </c>
      <c r="I19" t="str">
        <f>IF(ISBLANK(Instructions!M26),"",Instructions!M26)</f>
        <v>Lily Harmon</v>
      </c>
      <c r="J19" s="1">
        <f>IF(ISBLANK(Instructions!N26),"",Instructions!N26)</f>
        <v>45957</v>
      </c>
      <c r="K19" t="str">
        <f>IF(ISBLANK(Instructions!O26),"",Instructions!O26)</f>
        <v>Lily Harmon</v>
      </c>
      <c r="L19" t="str">
        <f>IF(ISBLANK(Instructions!P26),"",Instructions!P26)</f>
        <v/>
      </c>
      <c r="M19" t="str">
        <f>Instructions!Q26</f>
        <v>Added via SMSS</v>
      </c>
    </row>
    <row r="20" spans="1:13" x14ac:dyDescent="0.25">
      <c r="A20" t="str">
        <f>_xlfn.CONCAT(Instructions!C27,Instructions!D27,"D",TEXT(Instructions!B27,"YY"),TEXT(Instructions!B27,"MM"),"-",TEXT(Instructions!F27,"00"))</f>
        <v>LXND2509-34</v>
      </c>
      <c r="B20" t="str" cm="1">
        <f t="array" ref="B20">_xlfn.CONCAT(Instructions!C27,Instructions!A27,"_",TEXT(Instructions!B27,"YYYYMMDD"),"_1_",INDEX(Table1[], MATCH(1,(Table1[Estuary]=Instructions!C27)*(Table1[SectionName]=Instructions!D27)*(Table1[StationNumber]=Instructions!E27)*(Instructions!B27&gt;Table1[StartDate])*(Instructions!B27&lt;Table1[EndDate]),0),1),"_1")</f>
        <v>LXCOLL_20250903_1_0243_1</v>
      </c>
      <c r="C20" t="str">
        <f>Instructions!G27</f>
        <v>M</v>
      </c>
      <c r="D20">
        <f>Instructions!H27</f>
        <v>2</v>
      </c>
      <c r="E20" t="str">
        <f>Instructions!I27</f>
        <v>No</v>
      </c>
      <c r="F20" t="str">
        <f>Instructions!J27</f>
        <v>N</v>
      </c>
      <c r="G20" t="str">
        <f>Instructions!K27</f>
        <v>Proofed</v>
      </c>
      <c r="H20" s="1">
        <f>IF(ISBLANK(Instructions!L27),"",Instructions!L27)</f>
        <v>45957</v>
      </c>
      <c r="I20" t="str">
        <f>IF(ISBLANK(Instructions!M27),"",Instructions!M27)</f>
        <v>Lily Harmon</v>
      </c>
      <c r="J20" s="1">
        <f>IF(ISBLANK(Instructions!N27),"",Instructions!N27)</f>
        <v>45957</v>
      </c>
      <c r="K20" t="str">
        <f>IF(ISBLANK(Instructions!O27),"",Instructions!O27)</f>
        <v>Lily Harmon</v>
      </c>
      <c r="L20" t="str">
        <f>IF(ISBLANK(Instructions!P27),"",Instructions!P27)</f>
        <v/>
      </c>
      <c r="M20" t="str">
        <f>Instructions!Q27</f>
        <v>Added via SMSS</v>
      </c>
    </row>
    <row r="21" spans="1:13" x14ac:dyDescent="0.25">
      <c r="A21" t="str">
        <f>_xlfn.CONCAT(Instructions!C28,Instructions!D28,"D",TEXT(Instructions!B28,"YY"),TEXT(Instructions!B28,"MM"),"-",TEXT(Instructions!F28,"00"))</f>
        <v>LXND2509-35</v>
      </c>
      <c r="B21" t="str" cm="1">
        <f t="array" ref="B21">_xlfn.CONCAT(Instructions!C28,Instructions!A28,"_",TEXT(Instructions!B28,"YYYYMMDD"),"_1_",INDEX(Table1[], MATCH(1,(Table1[Estuary]=Instructions!C28)*(Table1[SectionName]=Instructions!D28)*(Table1[StationNumber]=Instructions!E28)*(Instructions!B28&gt;Table1[StartDate])*(Instructions!B28&lt;Table1[EndDate]),0),1),"_1")</f>
        <v>LXCOLL_20250903_1_0243_1</v>
      </c>
      <c r="C21" t="str">
        <f>Instructions!G28</f>
        <v>Z</v>
      </c>
      <c r="D21">
        <f>Instructions!H28</f>
        <v>4</v>
      </c>
      <c r="E21" t="str">
        <f>Instructions!I28</f>
        <v>No</v>
      </c>
      <c r="F21" t="str">
        <f>Instructions!J28</f>
        <v>N</v>
      </c>
      <c r="G21" t="str">
        <f>Instructions!K28</f>
        <v>Proofed</v>
      </c>
      <c r="H21" s="1">
        <f>IF(ISBLANK(Instructions!L28),"",Instructions!L28)</f>
        <v>45957</v>
      </c>
      <c r="I21" t="str">
        <f>IF(ISBLANK(Instructions!M28),"",Instructions!M28)</f>
        <v>Lily Harmon</v>
      </c>
      <c r="J21" s="1">
        <f>IF(ISBLANK(Instructions!N28),"",Instructions!N28)</f>
        <v>45957</v>
      </c>
      <c r="K21" t="str">
        <f>IF(ISBLANK(Instructions!O28),"",Instructions!O28)</f>
        <v>Lily Harmon</v>
      </c>
      <c r="L21" t="str">
        <f>IF(ISBLANK(Instructions!P28),"",Instructions!P28)</f>
        <v>1=mat</v>
      </c>
      <c r="M21" t="str">
        <f>Instructions!Q28</f>
        <v>Added via SMSS</v>
      </c>
    </row>
    <row r="22" spans="1:13" x14ac:dyDescent="0.25">
      <c r="A22" t="str">
        <f>_xlfn.CONCAT(Instructions!C29,Instructions!D29,"D",TEXT(Instructions!B29,"YY"),TEXT(Instructions!B29,"MM"),"-",TEXT(Instructions!F29,"00"))</f>
        <v>LXND2509-36</v>
      </c>
      <c r="B22" t="str" cm="1">
        <f t="array" ref="B22">_xlfn.CONCAT(Instructions!C29,Instructions!A29,"_",TEXT(Instructions!B29,"YYYYMMDD"),"_1_",INDEX(Table1[], MATCH(1,(Table1[Estuary]=Instructions!C29)*(Table1[SectionName]=Instructions!D29)*(Table1[StationNumber]=Instructions!E29)*(Instructions!B29&gt;Table1[StartDate])*(Instructions!B29&lt;Table1[EndDate]),0),1),"_1")</f>
        <v>LXCOLL_20250903_1_0244_1</v>
      </c>
      <c r="C22" t="str">
        <f>Instructions!G29</f>
        <v>F</v>
      </c>
      <c r="D22">
        <f>Instructions!H29</f>
        <v>2</v>
      </c>
      <c r="E22" t="str">
        <f>Instructions!I29</f>
        <v>No</v>
      </c>
      <c r="F22" t="str">
        <f>Instructions!J29</f>
        <v>N</v>
      </c>
      <c r="G22" t="str">
        <f>Instructions!K29</f>
        <v>Proofed</v>
      </c>
      <c r="H22" s="1">
        <f>IF(ISBLANK(Instructions!L29),"",Instructions!L29)</f>
        <v>45957</v>
      </c>
      <c r="I22" t="str">
        <f>IF(ISBLANK(Instructions!M29),"",Instructions!M29)</f>
        <v>Lily Harmon</v>
      </c>
      <c r="J22" s="1">
        <f>IF(ISBLANK(Instructions!N29),"",Instructions!N29)</f>
        <v>45957</v>
      </c>
      <c r="K22" t="str">
        <f>IF(ISBLANK(Instructions!O29),"",Instructions!O29)</f>
        <v>Lily Harmon</v>
      </c>
      <c r="L22" t="str">
        <f>IF(ISBLANK(Instructions!P29),"",Instructions!P29)</f>
        <v/>
      </c>
      <c r="M22" t="str">
        <f>Instructions!Q29</f>
        <v>Added via SMSS</v>
      </c>
    </row>
    <row r="23" spans="1:13" x14ac:dyDescent="0.25">
      <c r="A23" t="str">
        <f>_xlfn.CONCAT(Instructions!C30,Instructions!D30,"D",TEXT(Instructions!B30,"YY"),TEXT(Instructions!B30,"MM"),"-",TEXT(Instructions!F30,"00"))</f>
        <v>LXND2509-37</v>
      </c>
      <c r="B23" t="str" cm="1">
        <f t="array" ref="B23">_xlfn.CONCAT(Instructions!C30,Instructions!A30,"_",TEXT(Instructions!B30,"YYYYMMDD"),"_1_",INDEX(Table1[], MATCH(1,(Table1[Estuary]=Instructions!C30)*(Table1[SectionName]=Instructions!D30)*(Table1[StationNumber]=Instructions!E30)*(Instructions!B30&gt;Table1[StartDate])*(Instructions!B30&lt;Table1[EndDate]),0),1),"_1")</f>
        <v>LXCOLL_20250903_1_0244_1</v>
      </c>
      <c r="C23" t="str">
        <f>Instructions!G30</f>
        <v>F</v>
      </c>
      <c r="D23">
        <f>Instructions!H30</f>
        <v>2</v>
      </c>
      <c r="E23" t="str">
        <f>Instructions!I30</f>
        <v>No</v>
      </c>
      <c r="F23" t="str">
        <f>Instructions!J30</f>
        <v>N</v>
      </c>
      <c r="G23" t="str">
        <f>Instructions!K30</f>
        <v>Proofed</v>
      </c>
      <c r="H23" s="1">
        <f>IF(ISBLANK(Instructions!L30),"",Instructions!L30)</f>
        <v>45957</v>
      </c>
      <c r="I23" t="str">
        <f>IF(ISBLANK(Instructions!M30),"",Instructions!M30)</f>
        <v>Lily Harmon</v>
      </c>
      <c r="J23" s="1">
        <f>IF(ISBLANK(Instructions!N30),"",Instructions!N30)</f>
        <v>45957</v>
      </c>
      <c r="K23" t="str">
        <f>IF(ISBLANK(Instructions!O30),"",Instructions!O30)</f>
        <v>Lily Harmon</v>
      </c>
      <c r="L23" t="str">
        <f>IF(ISBLANK(Instructions!P30),"",Instructions!P30)</f>
        <v/>
      </c>
      <c r="M23" t="str">
        <f>Instructions!Q30</f>
        <v>Added via SMSS</v>
      </c>
    </row>
    <row r="24" spans="1:13" x14ac:dyDescent="0.25">
      <c r="A24" t="str">
        <f>_xlfn.CONCAT(Instructions!C31,Instructions!D31,"D",TEXT(Instructions!B31,"YY"),TEXT(Instructions!B31,"MM"),"-",TEXT(Instructions!F31,"00"))</f>
        <v>LXND2509-38</v>
      </c>
      <c r="B24" t="str" cm="1">
        <f t="array" ref="B24">_xlfn.CONCAT(Instructions!C31,Instructions!A31,"_",TEXT(Instructions!B31,"YYYYMMDD"),"_1_",INDEX(Table1[], MATCH(1,(Table1[Estuary]=Instructions!C31)*(Table1[SectionName]=Instructions!D31)*(Table1[StationNumber]=Instructions!E31)*(Instructions!B31&gt;Table1[StartDate])*(Instructions!B31&lt;Table1[EndDate]),0),1),"_1")</f>
        <v>LXCOLL_20250903_1_0244_1</v>
      </c>
      <c r="C24" t="str">
        <f>Instructions!G31</f>
        <v>M</v>
      </c>
      <c r="D24">
        <f>Instructions!H31</f>
        <v>2</v>
      </c>
      <c r="E24" t="str">
        <f>Instructions!I31</f>
        <v>No</v>
      </c>
      <c r="F24" t="str">
        <f>Instructions!J31</f>
        <v>N</v>
      </c>
      <c r="G24" t="str">
        <f>Instructions!K31</f>
        <v>Proofed</v>
      </c>
      <c r="H24" s="1">
        <f>IF(ISBLANK(Instructions!L31),"",Instructions!L31)</f>
        <v>45957</v>
      </c>
      <c r="I24" t="str">
        <f>IF(ISBLANK(Instructions!M31),"",Instructions!M31)</f>
        <v>Lily Harmon</v>
      </c>
      <c r="J24" s="1">
        <f>IF(ISBLANK(Instructions!N31),"",Instructions!N31)</f>
        <v>45957</v>
      </c>
      <c r="K24" t="str">
        <f>IF(ISBLANK(Instructions!O31),"",Instructions!O31)</f>
        <v>Lily Harmon</v>
      </c>
      <c r="L24" t="str">
        <f>IF(ISBLANK(Instructions!P31),"",Instructions!P31)</f>
        <v/>
      </c>
      <c r="M24" t="str">
        <f>Instructions!Q31</f>
        <v>Added via SMSS</v>
      </c>
    </row>
    <row r="25" spans="1:13" x14ac:dyDescent="0.25">
      <c r="A25" t="str">
        <f>_xlfn.CONCAT(Instructions!C32,Instructions!D32,"D",TEXT(Instructions!B32,"YY"),TEXT(Instructions!B32,"MM"),"-",TEXT(Instructions!F32,"00"))</f>
        <v>LXND2509-39</v>
      </c>
      <c r="B25" t="str" cm="1">
        <f t="array" ref="B25">_xlfn.CONCAT(Instructions!C32,Instructions!A32,"_",TEXT(Instructions!B32,"YYYYMMDD"),"_1_",INDEX(Table1[], MATCH(1,(Table1[Estuary]=Instructions!C32)*(Table1[SectionName]=Instructions!D32)*(Table1[StationNumber]=Instructions!E32)*(Instructions!B32&gt;Table1[StartDate])*(Instructions!B32&lt;Table1[EndDate]),0),1),"_1")</f>
        <v>LXCOLL_20250903_1_0244_1</v>
      </c>
      <c r="C25" t="str">
        <f>Instructions!G32</f>
        <v>M</v>
      </c>
      <c r="D25">
        <f>Instructions!H32</f>
        <v>2</v>
      </c>
      <c r="E25" t="str">
        <f>Instructions!I32</f>
        <v>No</v>
      </c>
      <c r="F25" t="str">
        <f>Instructions!J32</f>
        <v>N</v>
      </c>
      <c r="G25" t="str">
        <f>Instructions!K32</f>
        <v>Proofed</v>
      </c>
      <c r="H25" s="1">
        <f>IF(ISBLANK(Instructions!L32),"",Instructions!L32)</f>
        <v>45957</v>
      </c>
      <c r="I25" t="str">
        <f>IF(ISBLANK(Instructions!M32),"",Instructions!M32)</f>
        <v>Lily Harmon</v>
      </c>
      <c r="J25" s="1">
        <f>IF(ISBLANK(Instructions!N32),"",Instructions!N32)</f>
        <v>45957</v>
      </c>
      <c r="K25" t="str">
        <f>IF(ISBLANK(Instructions!O32),"",Instructions!O32)</f>
        <v>Lily Harmon</v>
      </c>
      <c r="L25" t="str">
        <f>IF(ISBLANK(Instructions!P32),"",Instructions!P32)</f>
        <v/>
      </c>
      <c r="M25" t="str">
        <f>Instructions!Q32</f>
        <v>Added via SMSS</v>
      </c>
    </row>
    <row r="26" spans="1:13" x14ac:dyDescent="0.25">
      <c r="A26" t="str">
        <f>_xlfn.CONCAT(Instructions!C33,Instructions!D33,"D",TEXT(Instructions!B33,"YY"),TEXT(Instructions!B33,"MM"),"-",TEXT(Instructions!F33,"00"))</f>
        <v>LXND2509-40</v>
      </c>
      <c r="B26" t="str" cm="1">
        <f t="array" ref="B26">_xlfn.CONCAT(Instructions!C33,Instructions!A33,"_",TEXT(Instructions!B33,"YYYYMMDD"),"_1_",INDEX(Table1[], MATCH(1,(Table1[Estuary]=Instructions!C33)*(Table1[SectionName]=Instructions!D33)*(Table1[StationNumber]=Instructions!E33)*(Instructions!B33&gt;Table1[StartDate])*(Instructions!B33&lt;Table1[EndDate]),0),1),"_1")</f>
        <v>LXCOLL_20250903_1_0244_1</v>
      </c>
      <c r="C26" t="str">
        <f>Instructions!G33</f>
        <v>M</v>
      </c>
      <c r="D26">
        <f>Instructions!H33</f>
        <v>2</v>
      </c>
      <c r="E26" t="str">
        <f>Instructions!I33</f>
        <v>Yes</v>
      </c>
      <c r="F26" t="str">
        <f>Instructions!J33</f>
        <v>N</v>
      </c>
      <c r="G26" t="str">
        <f>Instructions!K33</f>
        <v>Proofed</v>
      </c>
      <c r="H26" s="1">
        <f>IF(ISBLANK(Instructions!L33),"",Instructions!L33)</f>
        <v>45957</v>
      </c>
      <c r="I26" t="str">
        <f>IF(ISBLANK(Instructions!M33),"",Instructions!M33)</f>
        <v>Lily Harmon</v>
      </c>
      <c r="J26" s="1">
        <f>IF(ISBLANK(Instructions!N33),"",Instructions!N33)</f>
        <v>45957</v>
      </c>
      <c r="K26" t="str">
        <f>IF(ISBLANK(Instructions!O33),"",Instructions!O33)</f>
        <v>Lily Harmon</v>
      </c>
      <c r="L26" t="str">
        <f>IF(ISBLANK(Instructions!P33),"",Instructions!P33)</f>
        <v/>
      </c>
      <c r="M26" t="str">
        <f>Instructions!Q33</f>
        <v>Added via SMSS</v>
      </c>
    </row>
    <row r="27" spans="1:13" x14ac:dyDescent="0.25">
      <c r="A27" t="str">
        <f>_xlfn.CONCAT(Instructions!C34,Instructions!D34,"D",TEXT(Instructions!B34,"YY"),TEXT(Instructions!B34,"MM"),"-",TEXT(Instructions!F34,"00"))</f>
        <v>LXND2509-41</v>
      </c>
      <c r="B27" t="str" cm="1">
        <f t="array" ref="B27">_xlfn.CONCAT(Instructions!C34,Instructions!A34,"_",TEXT(Instructions!B34,"YYYYMMDD"),"_1_",INDEX(Table1[], MATCH(1,(Table1[Estuary]=Instructions!C34)*(Table1[SectionName]=Instructions!D34)*(Table1[StationNumber]=Instructions!E34)*(Instructions!B34&gt;Table1[StartDate])*(Instructions!B34&lt;Table1[EndDate]),0),1),"_1")</f>
        <v>LXCOLL_20250903_1_0244_1</v>
      </c>
      <c r="C27" t="str">
        <f>Instructions!G34</f>
        <v>M</v>
      </c>
      <c r="D27">
        <f>Instructions!H34</f>
        <v>2</v>
      </c>
      <c r="E27" t="str">
        <f>Instructions!I34</f>
        <v>No</v>
      </c>
      <c r="F27" t="str">
        <f>Instructions!J34</f>
        <v>N</v>
      </c>
      <c r="G27" t="str">
        <f>Instructions!K34</f>
        <v>Proofed</v>
      </c>
      <c r="H27" s="1">
        <f>IF(ISBLANK(Instructions!L34),"",Instructions!L34)</f>
        <v>45957</v>
      </c>
      <c r="I27" t="str">
        <f>IF(ISBLANK(Instructions!M34),"",Instructions!M34)</f>
        <v>Lily Harmon</v>
      </c>
      <c r="J27" s="1">
        <f>IF(ISBLANK(Instructions!N34),"",Instructions!N34)</f>
        <v>45957</v>
      </c>
      <c r="K27" t="str">
        <f>IF(ISBLANK(Instructions!O34),"",Instructions!O34)</f>
        <v>Lily Harmon</v>
      </c>
      <c r="L27" t="str">
        <f>IF(ISBLANK(Instructions!P34),"",Instructions!P34)</f>
        <v/>
      </c>
      <c r="M27" t="str">
        <f>Instructions!Q34</f>
        <v>Added via SMSS</v>
      </c>
    </row>
    <row r="28" spans="1:13" x14ac:dyDescent="0.25">
      <c r="A28" t="str">
        <f>_xlfn.CONCAT(Instructions!C35,Instructions!D35,"D",TEXT(Instructions!B35,"YY"),TEXT(Instructions!B35,"MM"),"-",TEXT(Instructions!F35,"00"))</f>
        <v>LXND2509-42</v>
      </c>
      <c r="B28" t="str" cm="1">
        <f t="array" ref="B28">_xlfn.CONCAT(Instructions!C35,Instructions!A35,"_",TEXT(Instructions!B35,"YYYYMMDD"),"_1_",INDEX(Table1[], MATCH(1,(Table1[Estuary]=Instructions!C35)*(Table1[SectionName]=Instructions!D35)*(Table1[StationNumber]=Instructions!E35)*(Instructions!B35&gt;Table1[StartDate])*(Instructions!B35&lt;Table1[EndDate]),0),1),"_1")</f>
        <v>LXCOLL_20250903_1_0244_1</v>
      </c>
      <c r="C28" t="str">
        <f>Instructions!G35</f>
        <v>M</v>
      </c>
      <c r="D28">
        <f>Instructions!H35</f>
        <v>2</v>
      </c>
      <c r="E28" t="str">
        <f>Instructions!I35</f>
        <v>No</v>
      </c>
      <c r="F28" t="str">
        <f>Instructions!J35</f>
        <v>N</v>
      </c>
      <c r="G28" t="str">
        <f>Instructions!K35</f>
        <v>Proofed</v>
      </c>
      <c r="H28" s="1">
        <f>IF(ISBLANK(Instructions!L35),"",Instructions!L35)</f>
        <v>45957</v>
      </c>
      <c r="I28" t="str">
        <f>IF(ISBLANK(Instructions!M35),"",Instructions!M35)</f>
        <v>Lily Harmon</v>
      </c>
      <c r="J28" s="1">
        <f>IF(ISBLANK(Instructions!N35),"",Instructions!N35)</f>
        <v>45957</v>
      </c>
      <c r="K28" t="str">
        <f>IF(ISBLANK(Instructions!O35),"",Instructions!O35)</f>
        <v>Lily Harmon</v>
      </c>
      <c r="L28" t="str">
        <f>IF(ISBLANK(Instructions!P35),"",Instructions!P35)</f>
        <v/>
      </c>
      <c r="M28" t="str">
        <f>Instructions!Q35</f>
        <v>Added via SMSS</v>
      </c>
    </row>
    <row r="29" spans="1:13" x14ac:dyDescent="0.25">
      <c r="A29" t="str">
        <f>_xlfn.CONCAT(Instructions!C36,Instructions!D36,"D",TEXT(Instructions!B36,"YY"),TEXT(Instructions!B36,"MM"),"-",TEXT(Instructions!F36,"00"))</f>
        <v>LXND2509-43</v>
      </c>
      <c r="B29" t="str" cm="1">
        <f t="array" ref="B29">_xlfn.CONCAT(Instructions!C36,Instructions!A36,"_",TEXT(Instructions!B36,"YYYYMMDD"),"_1_",INDEX(Table1[], MATCH(1,(Table1[Estuary]=Instructions!C36)*(Table1[SectionName]=Instructions!D36)*(Table1[StationNumber]=Instructions!E36)*(Instructions!B36&gt;Table1[StartDate])*(Instructions!B36&lt;Table1[EndDate]),0),1),"_1")</f>
        <v>LXCOLL_20250903_1_0244_1</v>
      </c>
      <c r="C29" t="str">
        <f>Instructions!G36</f>
        <v>M</v>
      </c>
      <c r="D29">
        <f>Instructions!H36</f>
        <v>3</v>
      </c>
      <c r="E29" t="str">
        <f>Instructions!I36</f>
        <v>No</v>
      </c>
      <c r="F29" t="str">
        <f>Instructions!J36</f>
        <v>N</v>
      </c>
      <c r="G29" t="str">
        <f>Instructions!K36</f>
        <v>Proofed</v>
      </c>
      <c r="H29" s="1">
        <f>IF(ISBLANK(Instructions!L36),"",Instructions!L36)</f>
        <v>45957</v>
      </c>
      <c r="I29" t="str">
        <f>IF(ISBLANK(Instructions!M36),"",Instructions!M36)</f>
        <v>Lily Harmon</v>
      </c>
      <c r="J29" s="1">
        <f>IF(ISBLANK(Instructions!N36),"",Instructions!N36)</f>
        <v>45957</v>
      </c>
      <c r="K29" t="str">
        <f>IF(ISBLANK(Instructions!O36),"",Instructions!O36)</f>
        <v>Lily Harmon</v>
      </c>
      <c r="L29" t="str">
        <f>IF(ISBLANK(Instructions!P36),"",Instructions!P36)</f>
        <v/>
      </c>
      <c r="M29" t="str">
        <f>Instructions!Q36</f>
        <v>Added via SMSS</v>
      </c>
    </row>
    <row r="30" spans="1:13" x14ac:dyDescent="0.25">
      <c r="A30" t="str">
        <f>_xlfn.CONCAT(Instructions!C37,Instructions!D37,"D",TEXT(Instructions!B37,"YY"),TEXT(Instructions!B37,"MM"),"-",TEXT(Instructions!F37,"00"))</f>
        <v>LXND2509-44</v>
      </c>
      <c r="B30" t="str" cm="1">
        <f t="array" ref="B30">_xlfn.CONCAT(Instructions!C37,Instructions!A37,"_",TEXT(Instructions!B37,"YYYYMMDD"),"_1_",INDEX(Table1[], MATCH(1,(Table1[Estuary]=Instructions!C37)*(Table1[SectionName]=Instructions!D37)*(Table1[StationNumber]=Instructions!E37)*(Instructions!B37&gt;Table1[StartDate])*(Instructions!B37&lt;Table1[EndDate]),0),1),"_1")</f>
        <v>LXCOLL_20250903_1_0244_1</v>
      </c>
      <c r="C30" t="str">
        <f>Instructions!G37</f>
        <v>Z</v>
      </c>
      <c r="D30">
        <f>Instructions!H37</f>
        <v>4</v>
      </c>
      <c r="E30" t="str">
        <f>Instructions!I37</f>
        <v>No</v>
      </c>
      <c r="F30" t="str">
        <f>Instructions!J37</f>
        <v>N</v>
      </c>
      <c r="G30" t="str">
        <f>Instructions!K37</f>
        <v>Proofed</v>
      </c>
      <c r="H30" s="1">
        <f>IF(ISBLANK(Instructions!L37),"",Instructions!L37)</f>
        <v>45957</v>
      </c>
      <c r="I30" t="str">
        <f>IF(ISBLANK(Instructions!M37),"",Instructions!M37)</f>
        <v>Lily Harmon</v>
      </c>
      <c r="J30" s="1">
        <f>IF(ISBLANK(Instructions!N37),"",Instructions!N37)</f>
        <v>45957</v>
      </c>
      <c r="K30" t="str">
        <f>IF(ISBLANK(Instructions!O37),"",Instructions!O37)</f>
        <v>Lily Harmon</v>
      </c>
      <c r="L30" t="str">
        <f>IF(ISBLANK(Instructions!P37),"",Instructions!P37)</f>
        <v>0=imm</v>
      </c>
      <c r="M30" t="str">
        <f>Instructions!Q37</f>
        <v>Added via SMSS</v>
      </c>
    </row>
    <row r="31" spans="1:13" x14ac:dyDescent="0.25">
      <c r="A31" t="str">
        <f>_xlfn.CONCAT(Instructions!C38,Instructions!D38,"D",TEXT(Instructions!B38,"YY"),TEXT(Instructions!B38,"MM"),"-",TEXT(Instructions!F38,"00"))</f>
        <v>LXND2509-45</v>
      </c>
      <c r="B31" t="str" cm="1">
        <f t="array" ref="B31">_xlfn.CONCAT(Instructions!C38,Instructions!A38,"_",TEXT(Instructions!B38,"YYYYMMDD"),"_1_",INDEX(Table1[], MATCH(1,(Table1[Estuary]=Instructions!C38)*(Table1[SectionName]=Instructions!D38)*(Table1[StationNumber]=Instructions!E38)*(Instructions!B38&gt;Table1[StartDate])*(Instructions!B38&lt;Table1[EndDate]),0),1),"_1")</f>
        <v>LXCOLL_20250903_1_0244_1</v>
      </c>
      <c r="C31" t="str">
        <f>Instructions!G38</f>
        <v>Z</v>
      </c>
      <c r="D31">
        <f>Instructions!H38</f>
        <v>4</v>
      </c>
      <c r="E31" t="str">
        <f>Instructions!I38</f>
        <v>No</v>
      </c>
      <c r="F31" t="str">
        <f>Instructions!J38</f>
        <v>N</v>
      </c>
      <c r="G31" t="str">
        <f>Instructions!K38</f>
        <v>Proofed</v>
      </c>
      <c r="H31" s="1">
        <f>IF(ISBLANK(Instructions!L38),"",Instructions!L38)</f>
        <v>45957</v>
      </c>
      <c r="I31" t="str">
        <f>IF(ISBLANK(Instructions!M38),"",Instructions!M38)</f>
        <v>Lily Harmon</v>
      </c>
      <c r="J31" s="1">
        <f>IF(ISBLANK(Instructions!N38),"",Instructions!N38)</f>
        <v>45957</v>
      </c>
      <c r="K31" t="str">
        <f>IF(ISBLANK(Instructions!O38),"",Instructions!O38)</f>
        <v>Lily Harmon</v>
      </c>
      <c r="L31" t="str">
        <f>IF(ISBLANK(Instructions!P38),"",Instructions!P38)</f>
        <v>0=imm</v>
      </c>
      <c r="M31" t="str">
        <f>Instructions!Q38</f>
        <v>Added via SMSS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BC8C-C095-4174-876F-A976B8C1179A}">
  <dimension ref="A1:AF176"/>
  <sheetViews>
    <sheetView tabSelected="1" topLeftCell="A143" workbookViewId="0">
      <selection activeCell="A176" sqref="A176:AF176"/>
    </sheetView>
  </sheetViews>
  <sheetFormatPr defaultColWidth="9.140625" defaultRowHeight="15" x14ac:dyDescent="0.25"/>
  <cols>
    <col min="1" max="1" width="19" style="2" bestFit="1" customWidth="1"/>
    <col min="2" max="2" width="11.5703125" style="2" bestFit="1" customWidth="1"/>
    <col min="3" max="3" width="16.7109375" style="2" bestFit="1" customWidth="1"/>
    <col min="4" max="4" width="22.42578125" style="2" bestFit="1" customWidth="1"/>
    <col min="5" max="5" width="18.28515625" style="2" bestFit="1" customWidth="1"/>
    <col min="6" max="6" width="15.7109375" style="2" bestFit="1" customWidth="1"/>
    <col min="7" max="7" width="14.5703125" style="2" bestFit="1" customWidth="1"/>
    <col min="8" max="8" width="17.140625" style="2" bestFit="1" customWidth="1"/>
    <col min="9" max="9" width="15.5703125" style="2" bestFit="1" customWidth="1"/>
    <col min="10" max="10" width="16.7109375" style="2" bestFit="1" customWidth="1"/>
    <col min="11" max="11" width="15.7109375" style="2" bestFit="1" customWidth="1"/>
    <col min="12" max="12" width="11" style="2" bestFit="1" customWidth="1"/>
    <col min="13" max="13" width="13.5703125" style="2" bestFit="1" customWidth="1"/>
    <col min="14" max="14" width="14.85546875" style="2" bestFit="1" customWidth="1"/>
    <col min="15" max="15" width="15.42578125" style="2" bestFit="1" customWidth="1"/>
    <col min="16" max="16" width="15.28515625" style="2" bestFit="1" customWidth="1"/>
    <col min="17" max="17" width="9.5703125" style="2" bestFit="1" customWidth="1"/>
    <col min="18" max="18" width="10" style="2" bestFit="1" customWidth="1"/>
    <col min="19" max="19" width="14.28515625" style="2" bestFit="1" customWidth="1"/>
    <col min="20" max="20" width="12.42578125" style="2" bestFit="1" customWidth="1"/>
    <col min="21" max="21" width="14.7109375" style="2" bestFit="1" customWidth="1"/>
    <col min="22" max="22" width="15.7109375" style="2" bestFit="1" customWidth="1"/>
    <col min="23" max="23" width="13.85546875" style="2" bestFit="1" customWidth="1"/>
    <col min="24" max="24" width="15.7109375" style="2" bestFit="1" customWidth="1"/>
    <col min="25" max="25" width="13.85546875" style="2" bestFit="1" customWidth="1"/>
    <col min="26" max="26" width="18.7109375" style="2" bestFit="1" customWidth="1"/>
    <col min="27" max="27" width="16.7109375" style="2" bestFit="1" customWidth="1"/>
    <col min="28" max="28" width="38" style="2" bestFit="1" customWidth="1"/>
    <col min="29" max="29" width="63.7109375" style="2" bestFit="1" customWidth="1"/>
    <col min="30" max="30" width="24.140625" style="2" bestFit="1" customWidth="1"/>
    <col min="31" max="32" width="20.42578125" style="2" bestFit="1" customWidth="1"/>
    <col min="33" max="16384" width="9.140625" style="2"/>
  </cols>
  <sheetData>
    <row r="1" spans="1:32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610</v>
      </c>
      <c r="G1" s="2" t="s">
        <v>611</v>
      </c>
      <c r="H1" s="2" t="s">
        <v>612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5</v>
      </c>
      <c r="AA1" s="2" t="s">
        <v>6</v>
      </c>
      <c r="AB1" s="2" t="s">
        <v>7</v>
      </c>
      <c r="AC1" s="2" t="s">
        <v>8</v>
      </c>
      <c r="AD1" s="2" t="s">
        <v>29</v>
      </c>
      <c r="AE1" s="2" t="s">
        <v>30</v>
      </c>
      <c r="AF1" s="2" t="s">
        <v>613</v>
      </c>
    </row>
    <row r="2" spans="1:32" x14ac:dyDescent="0.25">
      <c r="A2" s="5" t="s">
        <v>42</v>
      </c>
      <c r="B2" s="2" t="s">
        <v>39</v>
      </c>
      <c r="C2" s="2" t="s">
        <v>40</v>
      </c>
      <c r="D2" s="2" t="s">
        <v>43</v>
      </c>
      <c r="E2" s="2">
        <v>34</v>
      </c>
      <c r="F2" s="2" t="s">
        <v>9</v>
      </c>
      <c r="G2" s="2" t="s">
        <v>9</v>
      </c>
      <c r="H2" s="2" t="s">
        <v>9</v>
      </c>
      <c r="I2" s="2">
        <v>27.803909999999998</v>
      </c>
      <c r="J2" s="2">
        <v>-82.769390000000001</v>
      </c>
      <c r="K2" s="2" t="s">
        <v>33</v>
      </c>
      <c r="L2" s="2" t="s">
        <v>37</v>
      </c>
      <c r="M2" s="3" t="s">
        <v>33</v>
      </c>
      <c r="N2" s="3" t="s">
        <v>37</v>
      </c>
      <c r="O2" s="2" t="s">
        <v>33</v>
      </c>
      <c r="P2" s="3" t="s">
        <v>33</v>
      </c>
      <c r="Q2" s="3" t="s">
        <v>33</v>
      </c>
      <c r="R2" s="2" t="s">
        <v>33</v>
      </c>
      <c r="S2" s="7">
        <v>45230</v>
      </c>
      <c r="T2" s="3">
        <v>45261</v>
      </c>
      <c r="U2" s="2" t="s">
        <v>537</v>
      </c>
      <c r="V2" s="7">
        <v>45268</v>
      </c>
      <c r="W2" s="2" t="s">
        <v>538</v>
      </c>
      <c r="X2" s="2" t="s">
        <v>9</v>
      </c>
      <c r="Y2" s="2" t="s">
        <v>9</v>
      </c>
      <c r="Z2" s="2" t="s">
        <v>9</v>
      </c>
      <c r="AA2" s="2" t="s">
        <v>9</v>
      </c>
      <c r="AB2" s="2" t="s">
        <v>539</v>
      </c>
      <c r="AC2" s="2" t="s">
        <v>9</v>
      </c>
      <c r="AD2" s="2" t="s">
        <v>44</v>
      </c>
      <c r="AE2" s="2" t="s">
        <v>41</v>
      </c>
      <c r="AF2" s="2" t="s">
        <v>9</v>
      </c>
    </row>
    <row r="3" spans="1:32" x14ac:dyDescent="0.25">
      <c r="A3" s="5" t="s">
        <v>370</v>
      </c>
      <c r="B3" s="2" t="s">
        <v>45</v>
      </c>
      <c r="C3" s="2" t="s">
        <v>33</v>
      </c>
      <c r="D3" s="2" t="s">
        <v>46</v>
      </c>
      <c r="E3" s="2">
        <v>1</v>
      </c>
      <c r="F3" s="2" t="s">
        <v>9</v>
      </c>
      <c r="G3" s="2" t="s">
        <v>9</v>
      </c>
      <c r="H3" s="2" t="s">
        <v>9</v>
      </c>
      <c r="I3" s="2">
        <v>29.435715999999999</v>
      </c>
      <c r="J3" s="2">
        <v>-83.264154000000005</v>
      </c>
      <c r="K3" s="2" t="s">
        <v>37</v>
      </c>
      <c r="L3" s="2" t="s">
        <v>33</v>
      </c>
      <c r="M3" s="3" t="s">
        <v>33</v>
      </c>
      <c r="N3" s="3" t="s">
        <v>37</v>
      </c>
      <c r="O3" s="2" t="s">
        <v>37</v>
      </c>
      <c r="P3" s="3" t="s">
        <v>37</v>
      </c>
      <c r="Q3" s="3" t="s">
        <v>33</v>
      </c>
      <c r="R3" s="2" t="s">
        <v>33</v>
      </c>
      <c r="S3" s="3">
        <v>44562</v>
      </c>
      <c r="T3" s="3">
        <v>73050</v>
      </c>
      <c r="U3" s="2" t="s">
        <v>540</v>
      </c>
      <c r="V3" s="2" t="s">
        <v>9</v>
      </c>
      <c r="W3" s="2" t="s">
        <v>9</v>
      </c>
      <c r="X3" s="2" t="s">
        <v>9</v>
      </c>
      <c r="Y3" s="2" t="s">
        <v>9</v>
      </c>
      <c r="Z3" s="2" t="s">
        <v>9</v>
      </c>
      <c r="AA3" s="2" t="s">
        <v>9</v>
      </c>
      <c r="AB3" s="2" t="s">
        <v>9</v>
      </c>
      <c r="AC3" s="2" t="s">
        <v>541</v>
      </c>
      <c r="AD3" s="2" t="s">
        <v>47</v>
      </c>
      <c r="AE3" s="2" t="s">
        <v>48</v>
      </c>
      <c r="AF3" s="2" t="s">
        <v>9</v>
      </c>
    </row>
    <row r="4" spans="1:32" x14ac:dyDescent="0.25">
      <c r="A4" s="5" t="s">
        <v>371</v>
      </c>
      <c r="B4" s="2" t="s">
        <v>45</v>
      </c>
      <c r="C4" s="2" t="s">
        <v>33</v>
      </c>
      <c r="D4" s="2" t="s">
        <v>49</v>
      </c>
      <c r="E4" s="2">
        <v>2</v>
      </c>
      <c r="F4" s="2" t="s">
        <v>9</v>
      </c>
      <c r="G4" s="2" t="s">
        <v>9</v>
      </c>
      <c r="H4" s="2" t="s">
        <v>9</v>
      </c>
      <c r="I4" s="2">
        <v>29.429815999999999</v>
      </c>
      <c r="J4" s="2">
        <v>-83.235363000000007</v>
      </c>
      <c r="K4" s="2" t="s">
        <v>37</v>
      </c>
      <c r="L4" s="2" t="s">
        <v>33</v>
      </c>
      <c r="M4" s="3" t="s">
        <v>33</v>
      </c>
      <c r="N4" s="3" t="s">
        <v>37</v>
      </c>
      <c r="O4" s="2" t="s">
        <v>37</v>
      </c>
      <c r="P4" s="3" t="s">
        <v>37</v>
      </c>
      <c r="Q4" s="3" t="s">
        <v>33</v>
      </c>
      <c r="R4" s="2" t="s">
        <v>33</v>
      </c>
      <c r="S4" s="3">
        <v>44562</v>
      </c>
      <c r="T4" s="3">
        <v>73050</v>
      </c>
      <c r="U4" s="2" t="s">
        <v>540</v>
      </c>
      <c r="V4" s="2" t="s">
        <v>9</v>
      </c>
      <c r="W4" s="2" t="s">
        <v>9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9</v>
      </c>
      <c r="AC4" s="2" t="s">
        <v>542</v>
      </c>
      <c r="AD4" s="2" t="s">
        <v>50</v>
      </c>
      <c r="AE4" s="2" t="s">
        <v>48</v>
      </c>
      <c r="AF4" s="2" t="s">
        <v>9</v>
      </c>
    </row>
    <row r="5" spans="1:32" x14ac:dyDescent="0.25">
      <c r="A5" s="5" t="s">
        <v>372</v>
      </c>
      <c r="B5" s="2" t="s">
        <v>45</v>
      </c>
      <c r="C5" s="2" t="s">
        <v>33</v>
      </c>
      <c r="D5" s="2" t="s">
        <v>51</v>
      </c>
      <c r="E5" s="2">
        <v>3</v>
      </c>
      <c r="F5" s="2" t="s">
        <v>9</v>
      </c>
      <c r="G5" s="2" t="s">
        <v>9</v>
      </c>
      <c r="H5" s="2" t="s">
        <v>9</v>
      </c>
      <c r="I5" s="2">
        <v>29.416340999999999</v>
      </c>
      <c r="J5" s="2">
        <v>-83.240882999999997</v>
      </c>
      <c r="K5" s="2" t="s">
        <v>37</v>
      </c>
      <c r="L5" s="2" t="s">
        <v>33</v>
      </c>
      <c r="M5" s="3" t="s">
        <v>33</v>
      </c>
      <c r="N5" s="3" t="s">
        <v>37</v>
      </c>
      <c r="O5" s="2" t="s">
        <v>37</v>
      </c>
      <c r="P5" s="3" t="s">
        <v>37</v>
      </c>
      <c r="Q5" s="3" t="s">
        <v>33</v>
      </c>
      <c r="R5" s="2" t="s">
        <v>33</v>
      </c>
      <c r="S5" s="3">
        <v>44562</v>
      </c>
      <c r="T5" s="3">
        <v>73050</v>
      </c>
      <c r="U5" s="2" t="s">
        <v>540</v>
      </c>
      <c r="V5" s="2" t="s">
        <v>9</v>
      </c>
      <c r="W5" s="2" t="s">
        <v>9</v>
      </c>
      <c r="X5" s="2" t="s">
        <v>9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543</v>
      </c>
      <c r="AD5" s="2" t="s">
        <v>52</v>
      </c>
      <c r="AE5" s="2" t="s">
        <v>48</v>
      </c>
      <c r="AF5" s="2" t="s">
        <v>9</v>
      </c>
    </row>
    <row r="6" spans="1:32" x14ac:dyDescent="0.25">
      <c r="A6" s="5" t="s">
        <v>373</v>
      </c>
      <c r="B6" s="2" t="s">
        <v>45</v>
      </c>
      <c r="C6" s="2" t="s">
        <v>33</v>
      </c>
      <c r="D6" s="2" t="s">
        <v>53</v>
      </c>
      <c r="E6" s="2">
        <v>4</v>
      </c>
      <c r="F6" s="2" t="s">
        <v>9</v>
      </c>
      <c r="G6" s="2" t="s">
        <v>9</v>
      </c>
      <c r="H6" s="2" t="s">
        <v>9</v>
      </c>
      <c r="I6" s="2">
        <v>29.409869</v>
      </c>
      <c r="J6" s="2">
        <v>-83.215147000000002</v>
      </c>
      <c r="K6" s="2" t="s">
        <v>37</v>
      </c>
      <c r="L6" s="2" t="s">
        <v>33</v>
      </c>
      <c r="M6" s="3" t="s">
        <v>33</v>
      </c>
      <c r="N6" s="3" t="s">
        <v>37</v>
      </c>
      <c r="O6" s="2" t="s">
        <v>37</v>
      </c>
      <c r="P6" s="3" t="s">
        <v>37</v>
      </c>
      <c r="Q6" s="3" t="s">
        <v>33</v>
      </c>
      <c r="R6" s="2" t="s">
        <v>33</v>
      </c>
      <c r="S6" s="3">
        <v>44562</v>
      </c>
      <c r="T6" s="3">
        <v>73050</v>
      </c>
      <c r="U6" s="2" t="s">
        <v>540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544</v>
      </c>
      <c r="AD6" s="2" t="s">
        <v>54</v>
      </c>
      <c r="AE6" s="2" t="s">
        <v>48</v>
      </c>
      <c r="AF6" s="2" t="s">
        <v>9</v>
      </c>
    </row>
    <row r="7" spans="1:32" x14ac:dyDescent="0.25">
      <c r="A7" s="5" t="s">
        <v>374</v>
      </c>
      <c r="B7" s="2" t="s">
        <v>45</v>
      </c>
      <c r="C7" s="2" t="s">
        <v>55</v>
      </c>
      <c r="D7" s="2" t="s">
        <v>56</v>
      </c>
      <c r="E7" s="2">
        <v>5</v>
      </c>
      <c r="F7" s="2" t="s">
        <v>9</v>
      </c>
      <c r="G7" s="2" t="s">
        <v>9</v>
      </c>
      <c r="H7" s="2" t="s">
        <v>9</v>
      </c>
      <c r="I7" s="2">
        <v>29.363316999999999</v>
      </c>
      <c r="J7" s="2">
        <v>-83.182406999999998</v>
      </c>
      <c r="K7" s="2" t="s">
        <v>37</v>
      </c>
      <c r="L7" s="2" t="s">
        <v>33</v>
      </c>
      <c r="M7" s="3" t="s">
        <v>33</v>
      </c>
      <c r="N7" s="3" t="s">
        <v>37</v>
      </c>
      <c r="O7" s="2" t="s">
        <v>37</v>
      </c>
      <c r="P7" s="3" t="s">
        <v>37</v>
      </c>
      <c r="Q7" s="3" t="s">
        <v>33</v>
      </c>
      <c r="R7" s="2" t="s">
        <v>33</v>
      </c>
      <c r="S7" s="3">
        <v>44562</v>
      </c>
      <c r="T7" s="3">
        <v>73050</v>
      </c>
      <c r="U7" s="2" t="s">
        <v>540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545</v>
      </c>
      <c r="AD7" s="2" t="s">
        <v>57</v>
      </c>
      <c r="AE7" s="2" t="s">
        <v>48</v>
      </c>
      <c r="AF7" s="2" t="s">
        <v>9</v>
      </c>
    </row>
    <row r="8" spans="1:32" x14ac:dyDescent="0.25">
      <c r="A8" s="5" t="s">
        <v>375</v>
      </c>
      <c r="B8" s="2" t="s">
        <v>45</v>
      </c>
      <c r="C8" s="2" t="s">
        <v>55</v>
      </c>
      <c r="D8" s="2" t="s">
        <v>58</v>
      </c>
      <c r="E8" s="2">
        <v>6</v>
      </c>
      <c r="F8" s="2" t="s">
        <v>9</v>
      </c>
      <c r="G8" s="2" t="s">
        <v>9</v>
      </c>
      <c r="H8" s="2" t="s">
        <v>9</v>
      </c>
      <c r="I8" s="2">
        <v>29.296233000000001</v>
      </c>
      <c r="J8" s="2">
        <v>-83.184460000000001</v>
      </c>
      <c r="K8" s="2" t="s">
        <v>37</v>
      </c>
      <c r="L8" s="2" t="s">
        <v>33</v>
      </c>
      <c r="M8" s="3" t="s">
        <v>33</v>
      </c>
      <c r="N8" s="3" t="s">
        <v>37</v>
      </c>
      <c r="O8" s="2" t="s">
        <v>37</v>
      </c>
      <c r="P8" s="3" t="s">
        <v>37</v>
      </c>
      <c r="Q8" s="3" t="s">
        <v>33</v>
      </c>
      <c r="R8" s="2" t="s">
        <v>33</v>
      </c>
      <c r="S8" s="3">
        <v>44562</v>
      </c>
      <c r="T8" s="3">
        <v>73050</v>
      </c>
      <c r="U8" s="2" t="s">
        <v>540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546</v>
      </c>
      <c r="AD8" s="2" t="s">
        <v>59</v>
      </c>
      <c r="AE8" s="2" t="s">
        <v>48</v>
      </c>
      <c r="AF8" s="2" t="s">
        <v>9</v>
      </c>
    </row>
    <row r="9" spans="1:32" x14ac:dyDescent="0.25">
      <c r="A9" s="5" t="s">
        <v>376</v>
      </c>
      <c r="B9" s="2" t="s">
        <v>45</v>
      </c>
      <c r="C9" s="2" t="s">
        <v>55</v>
      </c>
      <c r="D9" s="2" t="s">
        <v>60</v>
      </c>
      <c r="E9" s="2">
        <v>7</v>
      </c>
      <c r="F9" s="2" t="s">
        <v>9</v>
      </c>
      <c r="G9" s="2" t="s">
        <v>9</v>
      </c>
      <c r="H9" s="2" t="s">
        <v>9</v>
      </c>
      <c r="I9" s="2">
        <v>29.260636000000002</v>
      </c>
      <c r="J9" s="2">
        <v>-83.109335999999999</v>
      </c>
      <c r="K9" s="2" t="s">
        <v>37</v>
      </c>
      <c r="L9" s="2" t="s">
        <v>33</v>
      </c>
      <c r="M9" s="3" t="s">
        <v>33</v>
      </c>
      <c r="N9" s="3" t="s">
        <v>37</v>
      </c>
      <c r="O9" s="2" t="s">
        <v>37</v>
      </c>
      <c r="P9" s="3" t="s">
        <v>37</v>
      </c>
      <c r="Q9" s="3" t="s">
        <v>33</v>
      </c>
      <c r="R9" s="2" t="s">
        <v>33</v>
      </c>
      <c r="S9" s="3">
        <v>44562</v>
      </c>
      <c r="T9" s="3">
        <v>73050</v>
      </c>
      <c r="U9" s="2" t="s">
        <v>540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547</v>
      </c>
      <c r="AD9" s="2" t="s">
        <v>61</v>
      </c>
      <c r="AE9" s="2" t="s">
        <v>48</v>
      </c>
      <c r="AF9" s="2" t="s">
        <v>9</v>
      </c>
    </row>
    <row r="10" spans="1:32" x14ac:dyDescent="0.25">
      <c r="A10" s="5" t="s">
        <v>377</v>
      </c>
      <c r="B10" s="2" t="s">
        <v>45</v>
      </c>
      <c r="C10" s="2" t="s">
        <v>55</v>
      </c>
      <c r="D10" s="2" t="s">
        <v>62</v>
      </c>
      <c r="E10" s="2">
        <v>8</v>
      </c>
      <c r="F10" s="2" t="s">
        <v>9</v>
      </c>
      <c r="G10" s="2" t="s">
        <v>9</v>
      </c>
      <c r="H10" s="2" t="s">
        <v>9</v>
      </c>
      <c r="I10" s="2">
        <v>29.236376</v>
      </c>
      <c r="J10" s="2">
        <v>-83.075220000000002</v>
      </c>
      <c r="K10" s="2" t="s">
        <v>37</v>
      </c>
      <c r="L10" s="2" t="s">
        <v>33</v>
      </c>
      <c r="M10" s="3" t="s">
        <v>33</v>
      </c>
      <c r="N10" s="3" t="s">
        <v>37</v>
      </c>
      <c r="O10" s="2" t="s">
        <v>37</v>
      </c>
      <c r="P10" s="3" t="s">
        <v>37</v>
      </c>
      <c r="Q10" s="3" t="s">
        <v>33</v>
      </c>
      <c r="R10" s="2" t="s">
        <v>33</v>
      </c>
      <c r="S10" s="3">
        <v>44562</v>
      </c>
      <c r="T10" s="3">
        <v>73050</v>
      </c>
      <c r="U10" s="2" t="s">
        <v>540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548</v>
      </c>
      <c r="AD10" s="2" t="s">
        <v>63</v>
      </c>
      <c r="AE10" s="2" t="s">
        <v>48</v>
      </c>
      <c r="AF10" s="2" t="s">
        <v>9</v>
      </c>
    </row>
    <row r="11" spans="1:32" x14ac:dyDescent="0.25">
      <c r="A11" s="5" t="s">
        <v>378</v>
      </c>
      <c r="B11" s="2" t="s">
        <v>45</v>
      </c>
      <c r="C11" s="2" t="s">
        <v>64</v>
      </c>
      <c r="D11" s="2" t="s">
        <v>65</v>
      </c>
      <c r="E11" s="2">
        <v>9</v>
      </c>
      <c r="F11" s="2" t="s">
        <v>9</v>
      </c>
      <c r="G11" s="2" t="s">
        <v>9</v>
      </c>
      <c r="H11" s="2" t="s">
        <v>9</v>
      </c>
      <c r="I11" s="2">
        <v>29.194807000000001</v>
      </c>
      <c r="J11" s="2">
        <v>-83.083815999999999</v>
      </c>
      <c r="K11" s="2" t="s">
        <v>37</v>
      </c>
      <c r="L11" s="2" t="s">
        <v>33</v>
      </c>
      <c r="M11" s="3" t="s">
        <v>33</v>
      </c>
      <c r="N11" s="3" t="s">
        <v>37</v>
      </c>
      <c r="O11" s="2" t="s">
        <v>37</v>
      </c>
      <c r="P11" s="3" t="s">
        <v>37</v>
      </c>
      <c r="Q11" s="3" t="s">
        <v>33</v>
      </c>
      <c r="R11" s="2" t="s">
        <v>33</v>
      </c>
      <c r="S11" s="3">
        <v>44562</v>
      </c>
      <c r="T11" s="3">
        <v>73050</v>
      </c>
      <c r="U11" s="2" t="s">
        <v>540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549</v>
      </c>
      <c r="AD11" s="2" t="s">
        <v>66</v>
      </c>
      <c r="AE11" s="2" t="s">
        <v>48</v>
      </c>
      <c r="AF11" s="2" t="s">
        <v>9</v>
      </c>
    </row>
    <row r="12" spans="1:32" x14ac:dyDescent="0.25">
      <c r="A12" s="5" t="s">
        <v>379</v>
      </c>
      <c r="B12" s="2" t="s">
        <v>45</v>
      </c>
      <c r="C12" s="2" t="s">
        <v>64</v>
      </c>
      <c r="D12" s="2" t="s">
        <v>67</v>
      </c>
      <c r="E12" s="2">
        <v>10</v>
      </c>
      <c r="F12" s="2" t="s">
        <v>9</v>
      </c>
      <c r="G12" s="2" t="s">
        <v>9</v>
      </c>
      <c r="H12" s="2" t="s">
        <v>9</v>
      </c>
      <c r="I12" s="2">
        <v>29.136063</v>
      </c>
      <c r="J12" s="2">
        <v>-83.055666000000002</v>
      </c>
      <c r="K12" s="2" t="s">
        <v>37</v>
      </c>
      <c r="L12" s="2" t="s">
        <v>33</v>
      </c>
      <c r="M12" s="3" t="s">
        <v>33</v>
      </c>
      <c r="N12" s="3" t="s">
        <v>37</v>
      </c>
      <c r="O12" s="2" t="s">
        <v>37</v>
      </c>
      <c r="P12" s="3" t="s">
        <v>37</v>
      </c>
      <c r="Q12" s="3" t="s">
        <v>33</v>
      </c>
      <c r="R12" s="2" t="s">
        <v>33</v>
      </c>
      <c r="S12" s="3">
        <v>44562</v>
      </c>
      <c r="T12" s="3">
        <v>73050</v>
      </c>
      <c r="U12" s="2" t="s">
        <v>540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550</v>
      </c>
      <c r="AD12" s="2" t="s">
        <v>68</v>
      </c>
      <c r="AE12" s="2" t="s">
        <v>48</v>
      </c>
      <c r="AF12" s="2" t="s">
        <v>9</v>
      </c>
    </row>
    <row r="13" spans="1:32" x14ac:dyDescent="0.25">
      <c r="A13" s="5" t="s">
        <v>380</v>
      </c>
      <c r="B13" s="2" t="s">
        <v>45</v>
      </c>
      <c r="C13" s="2" t="s">
        <v>64</v>
      </c>
      <c r="D13" s="2" t="s">
        <v>69</v>
      </c>
      <c r="E13" s="2">
        <v>11</v>
      </c>
      <c r="F13" s="2" t="s">
        <v>9</v>
      </c>
      <c r="G13" s="2" t="s">
        <v>9</v>
      </c>
      <c r="H13" s="2" t="s">
        <v>9</v>
      </c>
      <c r="I13" s="2">
        <v>29.154803000000001</v>
      </c>
      <c r="J13" s="2">
        <v>-82.995542999999998</v>
      </c>
      <c r="K13" s="2" t="s">
        <v>37</v>
      </c>
      <c r="L13" s="2" t="s">
        <v>33</v>
      </c>
      <c r="M13" s="3" t="s">
        <v>33</v>
      </c>
      <c r="N13" s="3" t="s">
        <v>37</v>
      </c>
      <c r="O13" s="2" t="s">
        <v>37</v>
      </c>
      <c r="P13" s="3" t="s">
        <v>37</v>
      </c>
      <c r="Q13" s="3" t="s">
        <v>33</v>
      </c>
      <c r="R13" s="2" t="s">
        <v>33</v>
      </c>
      <c r="S13" s="3">
        <v>44562</v>
      </c>
      <c r="T13" s="3">
        <v>73050</v>
      </c>
      <c r="U13" s="2" t="s">
        <v>540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551</v>
      </c>
      <c r="AD13" s="2" t="s">
        <v>70</v>
      </c>
      <c r="AE13" s="2" t="s">
        <v>48</v>
      </c>
      <c r="AF13" s="2" t="s">
        <v>9</v>
      </c>
    </row>
    <row r="14" spans="1:32" x14ac:dyDescent="0.25">
      <c r="A14" s="5">
        <v>334</v>
      </c>
      <c r="B14" s="2" t="s">
        <v>45</v>
      </c>
      <c r="C14" s="2" t="s">
        <v>64</v>
      </c>
      <c r="D14" s="2" t="s">
        <v>71</v>
      </c>
      <c r="E14" s="2">
        <v>12</v>
      </c>
      <c r="F14" s="2" t="s">
        <v>9</v>
      </c>
      <c r="G14" s="2" t="s">
        <v>9</v>
      </c>
      <c r="H14" s="2" t="s">
        <v>9</v>
      </c>
      <c r="I14" s="2">
        <v>29.172815</v>
      </c>
      <c r="J14" s="2">
        <v>-82.989328</v>
      </c>
      <c r="K14" s="2" t="s">
        <v>37</v>
      </c>
      <c r="L14" s="2" t="s">
        <v>33</v>
      </c>
      <c r="M14" s="3" t="s">
        <v>33</v>
      </c>
      <c r="N14" s="3" t="s">
        <v>37</v>
      </c>
      <c r="O14" s="2" t="s">
        <v>37</v>
      </c>
      <c r="P14" s="3" t="s">
        <v>37</v>
      </c>
      <c r="Q14" s="3" t="s">
        <v>33</v>
      </c>
      <c r="R14" s="2" t="s">
        <v>33</v>
      </c>
      <c r="S14" s="3">
        <v>44562</v>
      </c>
      <c r="T14" s="3">
        <v>73050</v>
      </c>
      <c r="U14" s="2" t="s">
        <v>540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552</v>
      </c>
      <c r="AD14" s="2" t="s">
        <v>72</v>
      </c>
      <c r="AE14" s="2" t="s">
        <v>48</v>
      </c>
      <c r="AF14" s="2" t="s">
        <v>9</v>
      </c>
    </row>
    <row r="15" spans="1:32" x14ac:dyDescent="0.25">
      <c r="A15" s="5" t="s">
        <v>381</v>
      </c>
      <c r="B15" s="2" t="s">
        <v>45</v>
      </c>
      <c r="C15" s="2" t="s">
        <v>55</v>
      </c>
      <c r="D15" s="2" t="s">
        <v>73</v>
      </c>
      <c r="E15" s="2">
        <v>6</v>
      </c>
      <c r="F15" s="2" t="s">
        <v>553</v>
      </c>
      <c r="G15" s="2" t="s">
        <v>9</v>
      </c>
      <c r="H15" s="2" t="s">
        <v>9</v>
      </c>
      <c r="I15" s="2">
        <v>29.23574</v>
      </c>
      <c r="J15" s="2">
        <v>-83.072470999999993</v>
      </c>
      <c r="K15" s="2" t="s">
        <v>33</v>
      </c>
      <c r="L15" s="2" t="s">
        <v>37</v>
      </c>
      <c r="M15" s="3" t="s">
        <v>33</v>
      </c>
      <c r="N15" s="3" t="s">
        <v>37</v>
      </c>
      <c r="O15" s="2" t="s">
        <v>37</v>
      </c>
      <c r="P15" s="3" t="s">
        <v>33</v>
      </c>
      <c r="Q15" s="3" t="s">
        <v>33</v>
      </c>
      <c r="R15" s="2" t="s">
        <v>33</v>
      </c>
      <c r="S15" s="3">
        <v>45077</v>
      </c>
      <c r="T15" s="3">
        <v>73050</v>
      </c>
      <c r="U15" s="2" t="s">
        <v>540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554</v>
      </c>
      <c r="AC15" s="2" t="s">
        <v>555</v>
      </c>
      <c r="AD15" s="2" t="s">
        <v>74</v>
      </c>
      <c r="AE15" s="2" t="s">
        <v>48</v>
      </c>
      <c r="AF15" s="2" t="s">
        <v>9</v>
      </c>
    </row>
    <row r="16" spans="1:32" x14ac:dyDescent="0.25">
      <c r="A16" s="5" t="s">
        <v>382</v>
      </c>
      <c r="B16" s="2" t="s">
        <v>45</v>
      </c>
      <c r="C16" s="2" t="s">
        <v>55</v>
      </c>
      <c r="D16" s="2" t="s">
        <v>75</v>
      </c>
      <c r="E16" s="2">
        <v>1</v>
      </c>
      <c r="F16" s="2" t="s">
        <v>556</v>
      </c>
      <c r="G16" s="2" t="s">
        <v>9</v>
      </c>
      <c r="H16" s="2" t="s">
        <v>9</v>
      </c>
      <c r="I16" s="2">
        <v>29.267499999999998</v>
      </c>
      <c r="J16" s="2">
        <v>-83.082499999999996</v>
      </c>
      <c r="K16" s="2" t="s">
        <v>33</v>
      </c>
      <c r="L16" s="2" t="s">
        <v>37</v>
      </c>
      <c r="M16" s="3" t="s">
        <v>33</v>
      </c>
      <c r="N16" s="3" t="s">
        <v>37</v>
      </c>
      <c r="O16" s="2" t="s">
        <v>37</v>
      </c>
      <c r="P16" s="3" t="s">
        <v>33</v>
      </c>
      <c r="Q16" s="3" t="s">
        <v>33</v>
      </c>
      <c r="R16" s="2" t="s">
        <v>33</v>
      </c>
      <c r="S16" s="3">
        <v>45077</v>
      </c>
      <c r="T16" s="3">
        <v>73050</v>
      </c>
      <c r="U16" s="2" t="s">
        <v>540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557</v>
      </c>
      <c r="AC16" s="2" t="s">
        <v>555</v>
      </c>
      <c r="AD16" s="2" t="s">
        <v>76</v>
      </c>
      <c r="AE16" s="2" t="s">
        <v>48</v>
      </c>
      <c r="AF16" s="2" t="s">
        <v>9</v>
      </c>
    </row>
    <row r="17" spans="1:32" x14ac:dyDescent="0.25">
      <c r="A17" s="5" t="s">
        <v>383</v>
      </c>
      <c r="B17" s="2" t="s">
        <v>45</v>
      </c>
      <c r="C17" s="2" t="s">
        <v>55</v>
      </c>
      <c r="D17" s="2" t="s">
        <v>77</v>
      </c>
      <c r="E17" s="2">
        <v>2</v>
      </c>
      <c r="F17" s="2" t="s">
        <v>556</v>
      </c>
      <c r="G17" s="2" t="s">
        <v>9</v>
      </c>
      <c r="H17" s="2" t="s">
        <v>9</v>
      </c>
      <c r="I17" s="2">
        <v>29.259167000000001</v>
      </c>
      <c r="J17" s="2">
        <v>-83.075833000000003</v>
      </c>
      <c r="K17" s="2" t="s">
        <v>33</v>
      </c>
      <c r="L17" s="2" t="s">
        <v>37</v>
      </c>
      <c r="M17" s="3" t="s">
        <v>33</v>
      </c>
      <c r="N17" s="3" t="s">
        <v>37</v>
      </c>
      <c r="O17" s="2" t="s">
        <v>37</v>
      </c>
      <c r="P17" s="3" t="s">
        <v>33</v>
      </c>
      <c r="Q17" s="3" t="s">
        <v>33</v>
      </c>
      <c r="R17" s="2" t="s">
        <v>33</v>
      </c>
      <c r="S17" s="3">
        <v>45077</v>
      </c>
      <c r="T17" s="3">
        <v>73050</v>
      </c>
      <c r="U17" s="2" t="s">
        <v>540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557</v>
      </c>
      <c r="AC17" s="2" t="s">
        <v>555</v>
      </c>
      <c r="AD17" s="2" t="s">
        <v>78</v>
      </c>
      <c r="AE17" s="2" t="s">
        <v>48</v>
      </c>
      <c r="AF17" s="2" t="s">
        <v>9</v>
      </c>
    </row>
    <row r="18" spans="1:32" x14ac:dyDescent="0.25">
      <c r="A18" s="5" t="s">
        <v>384</v>
      </c>
      <c r="B18" s="2" t="s">
        <v>45</v>
      </c>
      <c r="C18" s="2" t="s">
        <v>55</v>
      </c>
      <c r="D18" s="2" t="s">
        <v>79</v>
      </c>
      <c r="E18" s="2">
        <v>3</v>
      </c>
      <c r="F18" s="2" t="s">
        <v>556</v>
      </c>
      <c r="G18" s="2" t="s">
        <v>9</v>
      </c>
      <c r="H18" s="2" t="s">
        <v>9</v>
      </c>
      <c r="I18" s="2">
        <v>29.264167</v>
      </c>
      <c r="J18" s="2">
        <v>-83.080832999999998</v>
      </c>
      <c r="K18" s="2" t="s">
        <v>33</v>
      </c>
      <c r="L18" s="2" t="s">
        <v>37</v>
      </c>
      <c r="M18" s="3" t="s">
        <v>33</v>
      </c>
      <c r="N18" s="3" t="s">
        <v>37</v>
      </c>
      <c r="O18" s="2" t="s">
        <v>37</v>
      </c>
      <c r="P18" s="3" t="s">
        <v>33</v>
      </c>
      <c r="Q18" s="3" t="s">
        <v>33</v>
      </c>
      <c r="R18" s="2" t="s">
        <v>33</v>
      </c>
      <c r="S18" s="3">
        <v>45077</v>
      </c>
      <c r="T18" s="3">
        <v>73050</v>
      </c>
      <c r="U18" s="2" t="s">
        <v>540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557</v>
      </c>
      <c r="AC18" s="2" t="s">
        <v>555</v>
      </c>
      <c r="AD18" s="2" t="s">
        <v>80</v>
      </c>
      <c r="AE18" s="2" t="s">
        <v>48</v>
      </c>
      <c r="AF18" s="2" t="s">
        <v>9</v>
      </c>
    </row>
    <row r="19" spans="1:32" x14ac:dyDescent="0.25">
      <c r="A19" s="5" t="s">
        <v>385</v>
      </c>
      <c r="B19" s="2" t="s">
        <v>45</v>
      </c>
      <c r="C19" s="2" t="s">
        <v>55</v>
      </c>
      <c r="D19" s="2" t="s">
        <v>81</v>
      </c>
      <c r="E19" s="2">
        <v>4</v>
      </c>
      <c r="F19" s="2" t="s">
        <v>556</v>
      </c>
      <c r="G19" s="2" t="s">
        <v>9</v>
      </c>
      <c r="H19" s="2" t="s">
        <v>9</v>
      </c>
      <c r="I19" s="2">
        <v>29.265833000000001</v>
      </c>
      <c r="J19" s="2">
        <v>-83.080832999999998</v>
      </c>
      <c r="K19" s="2" t="s">
        <v>33</v>
      </c>
      <c r="L19" s="2" t="s">
        <v>37</v>
      </c>
      <c r="M19" s="3" t="s">
        <v>33</v>
      </c>
      <c r="N19" s="3" t="s">
        <v>37</v>
      </c>
      <c r="O19" s="2" t="s">
        <v>37</v>
      </c>
      <c r="P19" s="3" t="s">
        <v>33</v>
      </c>
      <c r="Q19" s="3" t="s">
        <v>33</v>
      </c>
      <c r="R19" s="2" t="s">
        <v>33</v>
      </c>
      <c r="S19" s="3">
        <v>45077</v>
      </c>
      <c r="T19" s="3">
        <v>73050</v>
      </c>
      <c r="U19" s="2" t="s">
        <v>540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557</v>
      </c>
      <c r="AC19" s="2" t="s">
        <v>555</v>
      </c>
      <c r="AD19" s="2" t="s">
        <v>82</v>
      </c>
      <c r="AE19" s="2" t="s">
        <v>48</v>
      </c>
      <c r="AF19" s="2" t="s">
        <v>9</v>
      </c>
    </row>
    <row r="20" spans="1:32" x14ac:dyDescent="0.25">
      <c r="A20" s="5" t="s">
        <v>386</v>
      </c>
      <c r="B20" s="2" t="s">
        <v>45</v>
      </c>
      <c r="C20" s="2" t="s">
        <v>55</v>
      </c>
      <c r="D20" s="2" t="s">
        <v>83</v>
      </c>
      <c r="E20" s="2">
        <v>5</v>
      </c>
      <c r="F20" s="2" t="s">
        <v>556</v>
      </c>
      <c r="G20" s="2" t="s">
        <v>9</v>
      </c>
      <c r="H20" s="2" t="s">
        <v>9</v>
      </c>
      <c r="I20" s="2">
        <v>29.260833000000002</v>
      </c>
      <c r="J20" s="2">
        <v>-83.069166999999993</v>
      </c>
      <c r="K20" s="2" t="s">
        <v>33</v>
      </c>
      <c r="L20" s="2" t="s">
        <v>37</v>
      </c>
      <c r="M20" s="3" t="s">
        <v>33</v>
      </c>
      <c r="N20" s="3" t="s">
        <v>37</v>
      </c>
      <c r="O20" s="2" t="s">
        <v>37</v>
      </c>
      <c r="P20" s="3" t="s">
        <v>33</v>
      </c>
      <c r="Q20" s="3" t="s">
        <v>33</v>
      </c>
      <c r="R20" s="2" t="s">
        <v>33</v>
      </c>
      <c r="S20" s="3">
        <v>45077</v>
      </c>
      <c r="T20" s="3">
        <v>73050</v>
      </c>
      <c r="U20" s="2" t="s">
        <v>540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557</v>
      </c>
      <c r="AC20" s="2" t="s">
        <v>555</v>
      </c>
      <c r="AD20" s="2" t="s">
        <v>84</v>
      </c>
      <c r="AE20" s="2" t="s">
        <v>48</v>
      </c>
      <c r="AF20" s="2" t="s">
        <v>9</v>
      </c>
    </row>
    <row r="21" spans="1:32" x14ac:dyDescent="0.25">
      <c r="A21" s="5" t="s">
        <v>387</v>
      </c>
      <c r="B21" s="2" t="s">
        <v>45</v>
      </c>
      <c r="C21" s="2" t="s">
        <v>55</v>
      </c>
      <c r="D21" s="2" t="s">
        <v>85</v>
      </c>
      <c r="E21" s="2">
        <v>6</v>
      </c>
      <c r="F21" s="2" t="s">
        <v>556</v>
      </c>
      <c r="G21" s="2" t="s">
        <v>9</v>
      </c>
      <c r="H21" s="2" t="s">
        <v>9</v>
      </c>
      <c r="I21" s="2">
        <v>29.260833000000002</v>
      </c>
      <c r="J21" s="2">
        <v>-83.074167000000003</v>
      </c>
      <c r="K21" s="2" t="s">
        <v>33</v>
      </c>
      <c r="L21" s="2" t="s">
        <v>37</v>
      </c>
      <c r="M21" s="3" t="s">
        <v>33</v>
      </c>
      <c r="N21" s="3" t="s">
        <v>37</v>
      </c>
      <c r="O21" s="2" t="s">
        <v>37</v>
      </c>
      <c r="P21" s="3" t="s">
        <v>33</v>
      </c>
      <c r="Q21" s="3" t="s">
        <v>33</v>
      </c>
      <c r="R21" s="2" t="s">
        <v>33</v>
      </c>
      <c r="S21" s="3">
        <v>45077</v>
      </c>
      <c r="T21" s="3">
        <v>73050</v>
      </c>
      <c r="U21" s="2" t="s">
        <v>540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557</v>
      </c>
      <c r="AC21" s="2" t="s">
        <v>555</v>
      </c>
      <c r="AD21" s="2" t="s">
        <v>86</v>
      </c>
      <c r="AE21" s="2" t="s">
        <v>48</v>
      </c>
      <c r="AF21" s="2" t="s">
        <v>9</v>
      </c>
    </row>
    <row r="22" spans="1:32" x14ac:dyDescent="0.25">
      <c r="A22" s="5" t="s">
        <v>89</v>
      </c>
      <c r="B22" s="2" t="s">
        <v>39</v>
      </c>
      <c r="C22" s="2" t="s">
        <v>90</v>
      </c>
      <c r="D22" s="2" t="s">
        <v>91</v>
      </c>
      <c r="E22" s="2">
        <v>35</v>
      </c>
      <c r="F22" s="2" t="s">
        <v>9</v>
      </c>
      <c r="G22" s="2" t="s">
        <v>9</v>
      </c>
      <c r="H22" s="2" t="s">
        <v>9</v>
      </c>
      <c r="I22" s="2">
        <v>27.637840000000001</v>
      </c>
      <c r="J22" s="2">
        <v>-82.723039999999997</v>
      </c>
      <c r="K22" s="2" t="s">
        <v>33</v>
      </c>
      <c r="L22" s="2" t="s">
        <v>37</v>
      </c>
      <c r="M22" s="3" t="s">
        <v>33</v>
      </c>
      <c r="N22" s="3" t="s">
        <v>37</v>
      </c>
      <c r="O22" s="2" t="s">
        <v>33</v>
      </c>
      <c r="P22" s="3" t="s">
        <v>33</v>
      </c>
      <c r="Q22" s="3" t="s">
        <v>33</v>
      </c>
      <c r="R22" s="2" t="s">
        <v>33</v>
      </c>
      <c r="S22" s="7">
        <v>45291</v>
      </c>
      <c r="T22" s="3">
        <v>45383</v>
      </c>
      <c r="U22" s="2" t="s">
        <v>537</v>
      </c>
      <c r="V22" s="7">
        <v>45414</v>
      </c>
      <c r="W22" s="2" t="s">
        <v>538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558</v>
      </c>
      <c r="AC22" s="2" t="s">
        <v>9</v>
      </c>
      <c r="AD22" s="2" t="s">
        <v>92</v>
      </c>
      <c r="AE22" s="2" t="s">
        <v>41</v>
      </c>
      <c r="AF22" s="2" t="s">
        <v>9</v>
      </c>
    </row>
    <row r="23" spans="1:32" x14ac:dyDescent="0.25">
      <c r="A23" s="5" t="s">
        <v>93</v>
      </c>
      <c r="B23" s="2" t="s">
        <v>39</v>
      </c>
      <c r="C23" s="2" t="s">
        <v>90</v>
      </c>
      <c r="D23" s="2" t="s">
        <v>94</v>
      </c>
      <c r="E23" s="2">
        <v>36</v>
      </c>
      <c r="F23" s="2" t="s">
        <v>9</v>
      </c>
      <c r="G23" s="2" t="s">
        <v>9</v>
      </c>
      <c r="H23" s="2" t="s">
        <v>9</v>
      </c>
      <c r="I23" s="2">
        <v>27.629930000000002</v>
      </c>
      <c r="J23" s="2">
        <v>-82.72372</v>
      </c>
      <c r="K23" s="2" t="s">
        <v>33</v>
      </c>
      <c r="L23" s="2" t="s">
        <v>37</v>
      </c>
      <c r="M23" s="3" t="s">
        <v>33</v>
      </c>
      <c r="N23" s="3" t="s">
        <v>37</v>
      </c>
      <c r="O23" s="2" t="s">
        <v>33</v>
      </c>
      <c r="P23" s="3" t="s">
        <v>33</v>
      </c>
      <c r="Q23" s="3" t="s">
        <v>33</v>
      </c>
      <c r="R23" s="2" t="s">
        <v>33</v>
      </c>
      <c r="S23" s="7">
        <v>45291</v>
      </c>
      <c r="T23" s="3">
        <v>45383</v>
      </c>
      <c r="U23" s="2" t="s">
        <v>537</v>
      </c>
      <c r="V23" s="7">
        <v>45414</v>
      </c>
      <c r="W23" s="2" t="s">
        <v>538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559</v>
      </c>
      <c r="AC23" s="2" t="s">
        <v>9</v>
      </c>
      <c r="AD23" s="2" t="s">
        <v>95</v>
      </c>
      <c r="AE23" s="2" t="s">
        <v>41</v>
      </c>
      <c r="AF23" s="2" t="s">
        <v>9</v>
      </c>
    </row>
    <row r="24" spans="1:32" x14ac:dyDescent="0.25">
      <c r="A24" s="5" t="s">
        <v>96</v>
      </c>
      <c r="B24" s="2" t="s">
        <v>39</v>
      </c>
      <c r="C24" s="2" t="s">
        <v>90</v>
      </c>
      <c r="D24" s="2" t="s">
        <v>97</v>
      </c>
      <c r="E24" s="2">
        <v>37</v>
      </c>
      <c r="F24" s="2" t="s">
        <v>9</v>
      </c>
      <c r="G24" s="2" t="s">
        <v>9</v>
      </c>
      <c r="H24" s="2" t="s">
        <v>9</v>
      </c>
      <c r="I24" s="2">
        <v>27.62257</v>
      </c>
      <c r="J24" s="2">
        <v>-82.730540000000005</v>
      </c>
      <c r="K24" s="2" t="s">
        <v>33</v>
      </c>
      <c r="L24" s="2" t="s">
        <v>37</v>
      </c>
      <c r="M24" s="3" t="s">
        <v>33</v>
      </c>
      <c r="N24" s="3" t="s">
        <v>37</v>
      </c>
      <c r="O24" s="2" t="s">
        <v>33</v>
      </c>
      <c r="P24" s="3" t="s">
        <v>33</v>
      </c>
      <c r="Q24" s="3" t="s">
        <v>33</v>
      </c>
      <c r="R24" s="2" t="s">
        <v>33</v>
      </c>
      <c r="S24" s="7">
        <v>45291</v>
      </c>
      <c r="T24" s="3">
        <v>45383</v>
      </c>
      <c r="U24" s="2" t="s">
        <v>537</v>
      </c>
      <c r="V24" s="7">
        <v>45414</v>
      </c>
      <c r="W24" s="2" t="s">
        <v>538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560</v>
      </c>
      <c r="AC24" s="2" t="s">
        <v>9</v>
      </c>
      <c r="AD24" s="2" t="s">
        <v>98</v>
      </c>
      <c r="AE24" s="2" t="s">
        <v>41</v>
      </c>
      <c r="AF24" s="2" t="s">
        <v>9</v>
      </c>
    </row>
    <row r="25" spans="1:32" x14ac:dyDescent="0.25">
      <c r="A25" s="5" t="s">
        <v>99</v>
      </c>
      <c r="B25" s="2" t="s">
        <v>39</v>
      </c>
      <c r="C25" s="2" t="s">
        <v>90</v>
      </c>
      <c r="D25" s="2" t="s">
        <v>100</v>
      </c>
      <c r="E25" s="2">
        <v>38</v>
      </c>
      <c r="F25" s="2" t="s">
        <v>9</v>
      </c>
      <c r="G25" s="2" t="s">
        <v>9</v>
      </c>
      <c r="H25" s="2" t="s">
        <v>9</v>
      </c>
      <c r="I25" s="2">
        <v>27.624860000000002</v>
      </c>
      <c r="J25" s="2">
        <v>-82.731380000000001</v>
      </c>
      <c r="K25" s="2" t="s">
        <v>33</v>
      </c>
      <c r="L25" s="2" t="s">
        <v>37</v>
      </c>
      <c r="M25" s="3" t="s">
        <v>33</v>
      </c>
      <c r="N25" s="3" t="s">
        <v>37</v>
      </c>
      <c r="O25" s="2" t="s">
        <v>33</v>
      </c>
      <c r="P25" s="3" t="s">
        <v>33</v>
      </c>
      <c r="Q25" s="3" t="s">
        <v>33</v>
      </c>
      <c r="R25" s="2" t="s">
        <v>33</v>
      </c>
      <c r="S25" s="7">
        <v>45291</v>
      </c>
      <c r="T25" s="3">
        <v>45383</v>
      </c>
      <c r="U25" s="2" t="s">
        <v>537</v>
      </c>
      <c r="V25" s="7">
        <v>45414</v>
      </c>
      <c r="W25" s="2" t="s">
        <v>538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561</v>
      </c>
      <c r="AC25" s="2" t="s">
        <v>9</v>
      </c>
      <c r="AD25" s="2" t="s">
        <v>101</v>
      </c>
      <c r="AE25" s="2" t="s">
        <v>41</v>
      </c>
      <c r="AF25" s="2" t="s">
        <v>9</v>
      </c>
    </row>
    <row r="26" spans="1:32" x14ac:dyDescent="0.25">
      <c r="A26" s="2" t="s">
        <v>102</v>
      </c>
      <c r="B26" s="2" t="s">
        <v>39</v>
      </c>
      <c r="C26" s="2" t="s">
        <v>90</v>
      </c>
      <c r="D26" s="2" t="s">
        <v>103</v>
      </c>
      <c r="E26" s="2">
        <v>39</v>
      </c>
      <c r="F26" s="2" t="s">
        <v>9</v>
      </c>
      <c r="G26" s="2" t="s">
        <v>9</v>
      </c>
      <c r="H26" s="2" t="s">
        <v>9</v>
      </c>
      <c r="I26" s="2">
        <v>27.619330000000001</v>
      </c>
      <c r="J26" s="2">
        <v>-82.733419999999995</v>
      </c>
      <c r="K26" s="2" t="s">
        <v>33</v>
      </c>
      <c r="L26" s="2" t="s">
        <v>37</v>
      </c>
      <c r="M26" s="3" t="s">
        <v>33</v>
      </c>
      <c r="N26" s="3" t="s">
        <v>37</v>
      </c>
      <c r="O26" s="2" t="s">
        <v>33</v>
      </c>
      <c r="P26" s="3" t="s">
        <v>33</v>
      </c>
      <c r="Q26" s="3" t="s">
        <v>33</v>
      </c>
      <c r="R26" s="2" t="s">
        <v>33</v>
      </c>
      <c r="S26" s="7">
        <v>45291</v>
      </c>
      <c r="T26" s="3">
        <v>45383</v>
      </c>
      <c r="U26" s="2" t="s">
        <v>537</v>
      </c>
      <c r="V26" s="7">
        <v>45414</v>
      </c>
      <c r="W26" s="2" t="s">
        <v>538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562</v>
      </c>
      <c r="AC26" s="2" t="s">
        <v>9</v>
      </c>
      <c r="AD26" s="2" t="s">
        <v>104</v>
      </c>
      <c r="AE26" s="2" t="s">
        <v>41</v>
      </c>
      <c r="AF26" s="2" t="s">
        <v>9</v>
      </c>
    </row>
    <row r="27" spans="1:32" x14ac:dyDescent="0.25">
      <c r="A27" s="2" t="s">
        <v>105</v>
      </c>
      <c r="B27" s="2" t="s">
        <v>39</v>
      </c>
      <c r="C27" s="2" t="s">
        <v>90</v>
      </c>
      <c r="D27" s="2" t="s">
        <v>106</v>
      </c>
      <c r="E27" s="2">
        <v>40</v>
      </c>
      <c r="F27" s="2" t="s">
        <v>9</v>
      </c>
      <c r="G27" s="2" t="s">
        <v>9</v>
      </c>
      <c r="H27" s="2" t="s">
        <v>9</v>
      </c>
      <c r="I27" s="2">
        <v>27.643920000000001</v>
      </c>
      <c r="J27" s="2">
        <v>-82.714420000000004</v>
      </c>
      <c r="K27" s="2" t="s">
        <v>33</v>
      </c>
      <c r="L27" s="2" t="s">
        <v>37</v>
      </c>
      <c r="M27" s="3" t="s">
        <v>33</v>
      </c>
      <c r="N27" s="3" t="s">
        <v>37</v>
      </c>
      <c r="O27" s="2" t="s">
        <v>33</v>
      </c>
      <c r="P27" s="3" t="s">
        <v>33</v>
      </c>
      <c r="Q27" s="3" t="s">
        <v>33</v>
      </c>
      <c r="R27" s="2" t="s">
        <v>33</v>
      </c>
      <c r="S27" s="7">
        <v>45291</v>
      </c>
      <c r="T27" s="3">
        <v>45383</v>
      </c>
      <c r="U27" s="2" t="s">
        <v>537</v>
      </c>
      <c r="V27" s="7">
        <v>45414</v>
      </c>
      <c r="W27" s="2" t="s">
        <v>538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563</v>
      </c>
      <c r="AC27" s="2" t="s">
        <v>9</v>
      </c>
      <c r="AD27" s="2" t="s">
        <v>107</v>
      </c>
      <c r="AE27" s="2" t="s">
        <v>41</v>
      </c>
      <c r="AF27" s="2" t="s">
        <v>9</v>
      </c>
    </row>
    <row r="28" spans="1:32" x14ac:dyDescent="0.25">
      <c r="A28" s="5" t="s">
        <v>388</v>
      </c>
      <c r="B28" s="2" t="s">
        <v>31</v>
      </c>
      <c r="C28" s="2" t="s">
        <v>55</v>
      </c>
      <c r="D28" s="2" t="s">
        <v>108</v>
      </c>
      <c r="E28" s="2">
        <v>6</v>
      </c>
      <c r="F28" s="2" t="s">
        <v>9</v>
      </c>
      <c r="G28" s="2" t="s">
        <v>9</v>
      </c>
      <c r="H28" s="2" t="s">
        <v>9</v>
      </c>
      <c r="I28" s="2">
        <v>29.737666000000001</v>
      </c>
      <c r="J28" s="2">
        <v>-84.927316000000005</v>
      </c>
      <c r="K28" s="2" t="s">
        <v>37</v>
      </c>
      <c r="L28" s="2" t="s">
        <v>37</v>
      </c>
      <c r="M28" s="3" t="s">
        <v>37</v>
      </c>
      <c r="N28" s="3" t="s">
        <v>37</v>
      </c>
      <c r="O28" s="2" t="s">
        <v>33</v>
      </c>
      <c r="P28" s="3" t="s">
        <v>33</v>
      </c>
      <c r="Q28" s="3" t="s">
        <v>33</v>
      </c>
      <c r="R28" s="2" t="s">
        <v>33</v>
      </c>
      <c r="S28" s="3">
        <v>42248</v>
      </c>
      <c r="T28" s="3">
        <v>73050</v>
      </c>
      <c r="U28" s="2" t="s">
        <v>540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109</v>
      </c>
      <c r="AE28" s="2" t="s">
        <v>34</v>
      </c>
      <c r="AF28" s="2" t="s">
        <v>9</v>
      </c>
    </row>
    <row r="29" spans="1:32" x14ac:dyDescent="0.25">
      <c r="A29" s="5" t="s">
        <v>389</v>
      </c>
      <c r="B29" s="2" t="s">
        <v>31</v>
      </c>
      <c r="C29" s="2" t="s">
        <v>55</v>
      </c>
      <c r="D29" s="2" t="s">
        <v>110</v>
      </c>
      <c r="E29" s="2">
        <v>7</v>
      </c>
      <c r="F29" s="2" t="s">
        <v>9</v>
      </c>
      <c r="G29" s="2" t="s">
        <v>9</v>
      </c>
      <c r="H29" s="2" t="s">
        <v>9</v>
      </c>
      <c r="I29" s="2">
        <v>29.709365999999999</v>
      </c>
      <c r="J29" s="2">
        <v>-84.9148</v>
      </c>
      <c r="K29" s="2" t="s">
        <v>37</v>
      </c>
      <c r="L29" s="2" t="s">
        <v>37</v>
      </c>
      <c r="M29" s="3" t="s">
        <v>33</v>
      </c>
      <c r="N29" s="3" t="s">
        <v>37</v>
      </c>
      <c r="O29" s="2" t="s">
        <v>33</v>
      </c>
      <c r="P29" s="3" t="s">
        <v>33</v>
      </c>
      <c r="Q29" s="3" t="s">
        <v>33</v>
      </c>
      <c r="R29" s="2" t="s">
        <v>33</v>
      </c>
      <c r="S29" s="3">
        <v>42248</v>
      </c>
      <c r="T29" s="3">
        <v>73050</v>
      </c>
      <c r="U29" s="2" t="s">
        <v>540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111</v>
      </c>
      <c r="AE29" s="2" t="s">
        <v>34</v>
      </c>
      <c r="AF29" s="2" t="s">
        <v>9</v>
      </c>
    </row>
    <row r="30" spans="1:32" x14ac:dyDescent="0.25">
      <c r="A30" s="5" t="s">
        <v>390</v>
      </c>
      <c r="B30" s="2" t="s">
        <v>31</v>
      </c>
      <c r="C30" s="2" t="s">
        <v>55</v>
      </c>
      <c r="D30" s="2" t="s">
        <v>112</v>
      </c>
      <c r="E30" s="2">
        <v>8</v>
      </c>
      <c r="F30" s="2" t="s">
        <v>9</v>
      </c>
      <c r="G30" s="2" t="s">
        <v>9</v>
      </c>
      <c r="H30" s="2" t="s">
        <v>9</v>
      </c>
      <c r="I30" s="2">
        <v>29.677949999999999</v>
      </c>
      <c r="J30" s="2">
        <v>-84.927350000000004</v>
      </c>
      <c r="K30" s="2" t="s">
        <v>37</v>
      </c>
      <c r="L30" s="2" t="s">
        <v>37</v>
      </c>
      <c r="M30" s="3" t="s">
        <v>33</v>
      </c>
      <c r="N30" s="3" t="s">
        <v>37</v>
      </c>
      <c r="O30" s="2" t="s">
        <v>33</v>
      </c>
      <c r="P30" s="3" t="s">
        <v>33</v>
      </c>
      <c r="Q30" s="3" t="s">
        <v>33</v>
      </c>
      <c r="R30" s="2" t="s">
        <v>33</v>
      </c>
      <c r="S30" s="3">
        <v>42248</v>
      </c>
      <c r="T30" s="3">
        <v>73050</v>
      </c>
      <c r="U30" s="2" t="s">
        <v>540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113</v>
      </c>
      <c r="AE30" s="2" t="s">
        <v>34</v>
      </c>
      <c r="AF30" s="2" t="s">
        <v>9</v>
      </c>
    </row>
    <row r="31" spans="1:32" x14ac:dyDescent="0.25">
      <c r="A31" s="5" t="s">
        <v>391</v>
      </c>
      <c r="B31" s="2" t="s">
        <v>31</v>
      </c>
      <c r="C31" s="2" t="s">
        <v>55</v>
      </c>
      <c r="D31" s="2" t="s">
        <v>114</v>
      </c>
      <c r="E31" s="2">
        <v>9</v>
      </c>
      <c r="F31" s="2" t="s">
        <v>9</v>
      </c>
      <c r="G31" s="2" t="s">
        <v>9</v>
      </c>
      <c r="H31" s="2" t="s">
        <v>9</v>
      </c>
      <c r="I31" s="2">
        <v>29.671616</v>
      </c>
      <c r="J31" s="2">
        <v>-84.902550000000005</v>
      </c>
      <c r="K31" s="2" t="s">
        <v>37</v>
      </c>
      <c r="L31" s="2" t="s">
        <v>37</v>
      </c>
      <c r="M31" s="3" t="s">
        <v>37</v>
      </c>
      <c r="N31" s="3" t="s">
        <v>37</v>
      </c>
      <c r="O31" s="2" t="s">
        <v>33</v>
      </c>
      <c r="P31" s="3" t="s">
        <v>33</v>
      </c>
      <c r="Q31" s="3" t="s">
        <v>33</v>
      </c>
      <c r="R31" s="2" t="s">
        <v>33</v>
      </c>
      <c r="S31" s="3">
        <v>42248</v>
      </c>
      <c r="T31" s="3">
        <v>73050</v>
      </c>
      <c r="U31" s="2" t="s">
        <v>540</v>
      </c>
      <c r="V31" s="2" t="s">
        <v>9</v>
      </c>
      <c r="W31" s="2" t="s">
        <v>9</v>
      </c>
      <c r="X31" s="2" t="s">
        <v>9</v>
      </c>
      <c r="Y31" s="2" t="s">
        <v>9</v>
      </c>
      <c r="Z31" s="2" t="s">
        <v>9</v>
      </c>
      <c r="AA31" s="2" t="s">
        <v>9</v>
      </c>
      <c r="AB31" s="2" t="s">
        <v>9</v>
      </c>
      <c r="AC31" s="2" t="s">
        <v>9</v>
      </c>
      <c r="AD31" s="2" t="s">
        <v>115</v>
      </c>
      <c r="AE31" s="2" t="s">
        <v>34</v>
      </c>
      <c r="AF31" s="2" t="s">
        <v>9</v>
      </c>
    </row>
    <row r="32" spans="1:32" x14ac:dyDescent="0.25">
      <c r="A32" s="5" t="s">
        <v>392</v>
      </c>
      <c r="B32" s="2" t="s">
        <v>31</v>
      </c>
      <c r="C32" s="2" t="s">
        <v>55</v>
      </c>
      <c r="D32" s="2" t="s">
        <v>116</v>
      </c>
      <c r="E32" s="2">
        <v>10</v>
      </c>
      <c r="F32" s="2" t="s">
        <v>9</v>
      </c>
      <c r="G32" s="2" t="s">
        <v>9</v>
      </c>
      <c r="H32" s="2" t="s">
        <v>9</v>
      </c>
      <c r="I32" s="2">
        <v>29.713332999999999</v>
      </c>
      <c r="J32" s="2">
        <v>-84.900716000000003</v>
      </c>
      <c r="K32" s="2" t="s">
        <v>37</v>
      </c>
      <c r="L32" s="2" t="s">
        <v>33</v>
      </c>
      <c r="M32" s="3" t="s">
        <v>33</v>
      </c>
      <c r="N32" s="3" t="s">
        <v>37</v>
      </c>
      <c r="O32" s="2" t="s">
        <v>33</v>
      </c>
      <c r="P32" s="3" t="s">
        <v>33</v>
      </c>
      <c r="Q32" s="3" t="s">
        <v>33</v>
      </c>
      <c r="R32" s="2" t="s">
        <v>33</v>
      </c>
      <c r="S32" s="3">
        <v>42005</v>
      </c>
      <c r="T32" s="3">
        <v>73050</v>
      </c>
      <c r="U32" s="2" t="s">
        <v>540</v>
      </c>
      <c r="V32" s="2" t="s">
        <v>9</v>
      </c>
      <c r="W32" s="2" t="s">
        <v>9</v>
      </c>
      <c r="X32" s="2" t="s">
        <v>9</v>
      </c>
      <c r="Y32" s="2" t="s">
        <v>9</v>
      </c>
      <c r="Z32" s="2" t="s">
        <v>9</v>
      </c>
      <c r="AA32" s="2" t="s">
        <v>9</v>
      </c>
      <c r="AB32" s="2" t="s">
        <v>9</v>
      </c>
      <c r="AC32" s="2" t="s">
        <v>9</v>
      </c>
      <c r="AD32" s="2" t="s">
        <v>117</v>
      </c>
      <c r="AE32" s="2" t="s">
        <v>34</v>
      </c>
      <c r="AF32" s="2" t="s">
        <v>9</v>
      </c>
    </row>
    <row r="33" spans="1:32" x14ac:dyDescent="0.25">
      <c r="A33" s="5" t="s">
        <v>393</v>
      </c>
      <c r="B33" s="2" t="s">
        <v>31</v>
      </c>
      <c r="C33" s="2" t="s">
        <v>32</v>
      </c>
      <c r="D33" s="2" t="s">
        <v>118</v>
      </c>
      <c r="E33" s="2">
        <v>11</v>
      </c>
      <c r="F33" s="2" t="s">
        <v>9</v>
      </c>
      <c r="G33" s="2" t="s">
        <v>9</v>
      </c>
      <c r="H33" s="2" t="s">
        <v>9</v>
      </c>
      <c r="I33" s="2">
        <v>29.723766000000001</v>
      </c>
      <c r="J33" s="2">
        <v>-84.881332999999998</v>
      </c>
      <c r="K33" s="2" t="s">
        <v>37</v>
      </c>
      <c r="L33" s="2" t="s">
        <v>37</v>
      </c>
      <c r="M33" s="3" t="s">
        <v>33</v>
      </c>
      <c r="N33" s="3" t="s">
        <v>37</v>
      </c>
      <c r="O33" s="2" t="s">
        <v>33</v>
      </c>
      <c r="P33" s="3" t="s">
        <v>33</v>
      </c>
      <c r="Q33" s="3" t="s">
        <v>33</v>
      </c>
      <c r="R33" s="2" t="s">
        <v>33</v>
      </c>
      <c r="S33" s="3">
        <v>42248</v>
      </c>
      <c r="T33" s="3">
        <v>44075</v>
      </c>
      <c r="U33" s="2" t="s">
        <v>540</v>
      </c>
      <c r="V33" s="2" t="s">
        <v>9</v>
      </c>
      <c r="W33" s="2" t="s">
        <v>9</v>
      </c>
      <c r="X33" s="2" t="s">
        <v>9</v>
      </c>
      <c r="Y33" s="2" t="s">
        <v>9</v>
      </c>
      <c r="Z33" s="2" t="s">
        <v>9</v>
      </c>
      <c r="AA33" s="2" t="s">
        <v>9</v>
      </c>
      <c r="AB33" s="2" t="s">
        <v>9</v>
      </c>
      <c r="AC33" s="2" t="s">
        <v>9</v>
      </c>
      <c r="AD33" s="2" t="s">
        <v>119</v>
      </c>
      <c r="AE33" s="2" t="s">
        <v>34</v>
      </c>
      <c r="AF33" s="2" t="s">
        <v>9</v>
      </c>
    </row>
    <row r="34" spans="1:32" x14ac:dyDescent="0.25">
      <c r="A34" s="5" t="s">
        <v>394</v>
      </c>
      <c r="B34" s="2" t="s">
        <v>31</v>
      </c>
      <c r="C34" s="2" t="s">
        <v>32</v>
      </c>
      <c r="D34" s="2" t="s">
        <v>118</v>
      </c>
      <c r="E34" s="2">
        <v>11</v>
      </c>
      <c r="F34" s="2" t="s">
        <v>9</v>
      </c>
      <c r="G34" s="2" t="s">
        <v>9</v>
      </c>
      <c r="H34" s="2" t="s">
        <v>9</v>
      </c>
      <c r="I34" s="2">
        <v>29.715716</v>
      </c>
      <c r="J34" s="2">
        <v>-84.878466000000003</v>
      </c>
      <c r="K34" s="2" t="s">
        <v>37</v>
      </c>
      <c r="L34" s="2" t="s">
        <v>37</v>
      </c>
      <c r="M34" s="3" t="s">
        <v>33</v>
      </c>
      <c r="N34" s="3" t="s">
        <v>37</v>
      </c>
      <c r="O34" s="2" t="s">
        <v>33</v>
      </c>
      <c r="P34" s="3" t="s">
        <v>33</v>
      </c>
      <c r="Q34" s="3" t="s">
        <v>33</v>
      </c>
      <c r="R34" s="2" t="s">
        <v>33</v>
      </c>
      <c r="S34" s="3">
        <v>42248</v>
      </c>
      <c r="T34" s="3">
        <v>45382</v>
      </c>
      <c r="U34" s="2" t="s">
        <v>540</v>
      </c>
      <c r="V34" s="2" t="s">
        <v>9</v>
      </c>
      <c r="W34" s="2" t="s">
        <v>9</v>
      </c>
      <c r="X34" s="2" t="s">
        <v>9</v>
      </c>
      <c r="Y34" s="2" t="s">
        <v>9</v>
      </c>
      <c r="Z34" s="2" t="s">
        <v>9</v>
      </c>
      <c r="AA34" s="2" t="s">
        <v>9</v>
      </c>
      <c r="AB34" s="2" t="s">
        <v>9</v>
      </c>
      <c r="AC34" s="2" t="s">
        <v>9</v>
      </c>
      <c r="AD34" s="2" t="s">
        <v>119</v>
      </c>
      <c r="AE34" s="2" t="s">
        <v>34</v>
      </c>
      <c r="AF34" s="2" t="s">
        <v>9</v>
      </c>
    </row>
    <row r="35" spans="1:32" x14ac:dyDescent="0.25">
      <c r="A35" s="5" t="s">
        <v>395</v>
      </c>
      <c r="B35" s="2" t="s">
        <v>31</v>
      </c>
      <c r="C35" s="2" t="s">
        <v>32</v>
      </c>
      <c r="D35" s="2" t="s">
        <v>120</v>
      </c>
      <c r="E35" s="2">
        <v>12</v>
      </c>
      <c r="F35" s="2" t="s">
        <v>9</v>
      </c>
      <c r="G35" s="2" t="s">
        <v>9</v>
      </c>
      <c r="H35" s="2" t="s">
        <v>9</v>
      </c>
      <c r="I35" s="2">
        <v>29.676715999999999</v>
      </c>
      <c r="J35" s="2">
        <v>-84.862799999999993</v>
      </c>
      <c r="K35" s="2" t="s">
        <v>37</v>
      </c>
      <c r="L35" s="2" t="s">
        <v>37</v>
      </c>
      <c r="M35" s="3" t="s">
        <v>37</v>
      </c>
      <c r="N35" s="3" t="s">
        <v>37</v>
      </c>
      <c r="O35" s="2" t="s">
        <v>33</v>
      </c>
      <c r="P35" s="3" t="s">
        <v>33</v>
      </c>
      <c r="Q35" s="3" t="s">
        <v>33</v>
      </c>
      <c r="R35" s="2" t="s">
        <v>33</v>
      </c>
      <c r="S35" s="3">
        <v>42005</v>
      </c>
      <c r="T35" s="3">
        <v>45382</v>
      </c>
      <c r="U35" s="2" t="s">
        <v>540</v>
      </c>
      <c r="V35" s="2" t="s">
        <v>9</v>
      </c>
      <c r="W35" s="2" t="s">
        <v>9</v>
      </c>
      <c r="X35" s="2" t="s">
        <v>9</v>
      </c>
      <c r="Y35" s="2" t="s">
        <v>9</v>
      </c>
      <c r="Z35" s="2" t="s">
        <v>9</v>
      </c>
      <c r="AA35" s="2" t="s">
        <v>9</v>
      </c>
      <c r="AB35" s="2" t="s">
        <v>9</v>
      </c>
      <c r="AC35" s="2" t="s">
        <v>9</v>
      </c>
      <c r="AD35" s="2" t="s">
        <v>121</v>
      </c>
      <c r="AE35" s="2" t="s">
        <v>34</v>
      </c>
      <c r="AF35" s="2" t="s">
        <v>9</v>
      </c>
    </row>
    <row r="36" spans="1:32" x14ac:dyDescent="0.25">
      <c r="A36" s="5" t="s">
        <v>396</v>
      </c>
      <c r="B36" s="2" t="s">
        <v>31</v>
      </c>
      <c r="C36" s="2" t="s">
        <v>32</v>
      </c>
      <c r="D36" s="2" t="s">
        <v>122</v>
      </c>
      <c r="E36" s="2">
        <v>13</v>
      </c>
      <c r="F36" s="2" t="s">
        <v>9</v>
      </c>
      <c r="G36" s="2" t="s">
        <v>9</v>
      </c>
      <c r="H36" s="2" t="s">
        <v>9</v>
      </c>
      <c r="I36" s="2">
        <v>29.702332999999999</v>
      </c>
      <c r="J36" s="2">
        <v>-84.836665999999994</v>
      </c>
      <c r="K36" s="2" t="s">
        <v>37</v>
      </c>
      <c r="L36" s="2" t="s">
        <v>37</v>
      </c>
      <c r="M36" s="3" t="s">
        <v>37</v>
      </c>
      <c r="N36" s="3" t="s">
        <v>37</v>
      </c>
      <c r="O36" s="2" t="s">
        <v>33</v>
      </c>
      <c r="P36" s="3" t="s">
        <v>33</v>
      </c>
      <c r="Q36" s="3" t="s">
        <v>33</v>
      </c>
      <c r="R36" s="2" t="s">
        <v>33</v>
      </c>
      <c r="S36" s="3">
        <v>42005</v>
      </c>
      <c r="T36" s="3">
        <v>45382</v>
      </c>
      <c r="U36" s="2" t="s">
        <v>540</v>
      </c>
      <c r="V36" s="2" t="s">
        <v>9</v>
      </c>
      <c r="W36" s="2" t="s">
        <v>9</v>
      </c>
      <c r="X36" s="2" t="s">
        <v>9</v>
      </c>
      <c r="Y36" s="2" t="s">
        <v>9</v>
      </c>
      <c r="Z36" s="2" t="s">
        <v>9</v>
      </c>
      <c r="AA36" s="2" t="s">
        <v>9</v>
      </c>
      <c r="AB36" s="2" t="s">
        <v>9</v>
      </c>
      <c r="AC36" s="2" t="s">
        <v>9</v>
      </c>
      <c r="AD36" s="2" t="s">
        <v>123</v>
      </c>
      <c r="AE36" s="2" t="s">
        <v>34</v>
      </c>
      <c r="AF36" s="2" t="s">
        <v>9</v>
      </c>
    </row>
    <row r="37" spans="1:32" x14ac:dyDescent="0.25">
      <c r="A37" s="5" t="s">
        <v>397</v>
      </c>
      <c r="B37" s="2" t="s">
        <v>31</v>
      </c>
      <c r="C37" s="2" t="s">
        <v>32</v>
      </c>
      <c r="D37" s="2" t="s">
        <v>124</v>
      </c>
      <c r="E37" s="2">
        <v>14</v>
      </c>
      <c r="F37" s="2" t="s">
        <v>9</v>
      </c>
      <c r="G37" s="2" t="s">
        <v>9</v>
      </c>
      <c r="H37" s="2" t="s">
        <v>9</v>
      </c>
      <c r="I37" s="2">
        <v>29.738716</v>
      </c>
      <c r="J37" s="2">
        <v>-84.836600000000004</v>
      </c>
      <c r="K37" s="2" t="s">
        <v>37</v>
      </c>
      <c r="L37" s="2" t="s">
        <v>37</v>
      </c>
      <c r="M37" s="3" t="s">
        <v>33</v>
      </c>
      <c r="N37" s="3" t="s">
        <v>37</v>
      </c>
      <c r="O37" s="2" t="s">
        <v>33</v>
      </c>
      <c r="P37" s="3" t="s">
        <v>33</v>
      </c>
      <c r="Q37" s="3" t="s">
        <v>33</v>
      </c>
      <c r="R37" s="2" t="s">
        <v>33</v>
      </c>
      <c r="S37" s="3">
        <v>42005</v>
      </c>
      <c r="T37" s="3">
        <v>73050</v>
      </c>
      <c r="U37" s="2" t="s">
        <v>540</v>
      </c>
      <c r="V37" s="2" t="s">
        <v>9</v>
      </c>
      <c r="W37" s="2" t="s">
        <v>9</v>
      </c>
      <c r="X37" s="2" t="s">
        <v>9</v>
      </c>
      <c r="Y37" s="2" t="s">
        <v>9</v>
      </c>
      <c r="Z37" s="2" t="s">
        <v>9</v>
      </c>
      <c r="AA37" s="2" t="s">
        <v>9</v>
      </c>
      <c r="AB37" s="2" t="s">
        <v>9</v>
      </c>
      <c r="AC37" s="2" t="s">
        <v>9</v>
      </c>
      <c r="AD37" s="2" t="s">
        <v>125</v>
      </c>
      <c r="AE37" s="2" t="s">
        <v>34</v>
      </c>
      <c r="AF37" s="2" t="s">
        <v>9</v>
      </c>
    </row>
    <row r="38" spans="1:32" x14ac:dyDescent="0.25">
      <c r="A38" s="5" t="s">
        <v>398</v>
      </c>
      <c r="B38" s="2" t="s">
        <v>31</v>
      </c>
      <c r="C38" s="2" t="s">
        <v>32</v>
      </c>
      <c r="D38" s="2" t="s">
        <v>126</v>
      </c>
      <c r="E38" s="2">
        <v>15</v>
      </c>
      <c r="F38" s="2" t="s">
        <v>9</v>
      </c>
      <c r="G38" s="2" t="s">
        <v>9</v>
      </c>
      <c r="H38" s="2" t="s">
        <v>9</v>
      </c>
      <c r="I38" s="2">
        <v>29.687550000000002</v>
      </c>
      <c r="J38" s="2">
        <v>-84.880683000000005</v>
      </c>
      <c r="K38" s="2" t="s">
        <v>37</v>
      </c>
      <c r="L38" s="2" t="s">
        <v>37</v>
      </c>
      <c r="M38" s="3" t="s">
        <v>33</v>
      </c>
      <c r="N38" s="3" t="s">
        <v>37</v>
      </c>
      <c r="O38" s="2" t="s">
        <v>33</v>
      </c>
      <c r="P38" s="3" t="s">
        <v>33</v>
      </c>
      <c r="Q38" s="3" t="s">
        <v>33</v>
      </c>
      <c r="R38" s="2" t="s">
        <v>33</v>
      </c>
      <c r="S38" s="3">
        <v>42248</v>
      </c>
      <c r="T38" s="3">
        <v>73050</v>
      </c>
      <c r="U38" s="2" t="s">
        <v>540</v>
      </c>
      <c r="V38" s="2" t="s">
        <v>9</v>
      </c>
      <c r="W38" s="2" t="s">
        <v>9</v>
      </c>
      <c r="X38" s="2" t="s">
        <v>9</v>
      </c>
      <c r="Y38" s="2" t="s">
        <v>9</v>
      </c>
      <c r="Z38" s="2" t="s">
        <v>9</v>
      </c>
      <c r="AA38" s="2" t="s">
        <v>9</v>
      </c>
      <c r="AB38" s="2" t="s">
        <v>9</v>
      </c>
      <c r="AC38" s="2" t="s">
        <v>9</v>
      </c>
      <c r="AD38" s="2" t="s">
        <v>127</v>
      </c>
      <c r="AE38" s="2" t="s">
        <v>34</v>
      </c>
      <c r="AF38" s="2" t="s">
        <v>9</v>
      </c>
    </row>
    <row r="39" spans="1:32" x14ac:dyDescent="0.25">
      <c r="A39" s="5" t="s">
        <v>399</v>
      </c>
      <c r="B39" s="2" t="s">
        <v>31</v>
      </c>
      <c r="C39" s="2" t="s">
        <v>36</v>
      </c>
      <c r="D39" s="2" t="s">
        <v>128</v>
      </c>
      <c r="E39" s="2">
        <v>1</v>
      </c>
      <c r="F39" s="2" t="s">
        <v>9</v>
      </c>
      <c r="G39" s="2" t="s">
        <v>9</v>
      </c>
      <c r="H39" s="2" t="s">
        <v>9</v>
      </c>
      <c r="I39" s="2">
        <v>29.692916</v>
      </c>
      <c r="J39" s="2">
        <v>-85.121583000000001</v>
      </c>
      <c r="K39" s="2" t="s">
        <v>37</v>
      </c>
      <c r="L39" s="2" t="s">
        <v>37</v>
      </c>
      <c r="M39" s="3" t="s">
        <v>33</v>
      </c>
      <c r="N39" s="3" t="s">
        <v>37</v>
      </c>
      <c r="O39" s="2" t="s">
        <v>33</v>
      </c>
      <c r="P39" s="3" t="s">
        <v>33</v>
      </c>
      <c r="Q39" s="3" t="s">
        <v>33</v>
      </c>
      <c r="R39" s="2" t="s">
        <v>33</v>
      </c>
      <c r="S39" s="3">
        <v>42248</v>
      </c>
      <c r="T39" s="3">
        <v>44104</v>
      </c>
      <c r="U39" s="2" t="s">
        <v>540</v>
      </c>
      <c r="V39" s="2" t="s">
        <v>9</v>
      </c>
      <c r="W39" s="2" t="s">
        <v>9</v>
      </c>
      <c r="X39" s="2" t="s">
        <v>9</v>
      </c>
      <c r="Y39" s="2" t="s">
        <v>9</v>
      </c>
      <c r="Z39" s="2" t="s">
        <v>9</v>
      </c>
      <c r="AA39" s="2" t="s">
        <v>9</v>
      </c>
      <c r="AB39" s="2" t="s">
        <v>9</v>
      </c>
      <c r="AC39" s="2" t="s">
        <v>9</v>
      </c>
      <c r="AD39" s="2" t="s">
        <v>129</v>
      </c>
      <c r="AE39" s="2" t="s">
        <v>34</v>
      </c>
      <c r="AF39" s="2" t="s">
        <v>9</v>
      </c>
    </row>
    <row r="40" spans="1:32" x14ac:dyDescent="0.25">
      <c r="A40" s="5" t="s">
        <v>400</v>
      </c>
      <c r="B40" s="2" t="s">
        <v>31</v>
      </c>
      <c r="C40" s="2" t="s">
        <v>36</v>
      </c>
      <c r="D40" s="2" t="s">
        <v>128</v>
      </c>
      <c r="E40" s="2">
        <v>1</v>
      </c>
      <c r="F40" s="2" t="s">
        <v>9</v>
      </c>
      <c r="G40" s="2" t="s">
        <v>9</v>
      </c>
      <c r="H40" s="2" t="s">
        <v>9</v>
      </c>
      <c r="I40" s="2">
        <v>29.691932999999999</v>
      </c>
      <c r="J40" s="2">
        <v>-85.109233000000003</v>
      </c>
      <c r="K40" s="2" t="s">
        <v>37</v>
      </c>
      <c r="L40" s="2" t="s">
        <v>37</v>
      </c>
      <c r="M40" s="3" t="s">
        <v>37</v>
      </c>
      <c r="N40" s="3" t="s">
        <v>37</v>
      </c>
      <c r="O40" s="2" t="s">
        <v>33</v>
      </c>
      <c r="P40" s="3" t="s">
        <v>33</v>
      </c>
      <c r="Q40" s="3" t="s">
        <v>33</v>
      </c>
      <c r="R40" s="2" t="s">
        <v>33</v>
      </c>
      <c r="S40" s="3">
        <v>42248</v>
      </c>
      <c r="T40" s="3">
        <v>73050</v>
      </c>
      <c r="U40" s="2" t="s">
        <v>540</v>
      </c>
      <c r="V40" s="2" t="s">
        <v>9</v>
      </c>
      <c r="W40" s="2" t="s">
        <v>9</v>
      </c>
      <c r="X40" s="2" t="s">
        <v>9</v>
      </c>
      <c r="Y40" s="2" t="s">
        <v>9</v>
      </c>
      <c r="Z40" s="2" t="s">
        <v>9</v>
      </c>
      <c r="AA40" s="2" t="s">
        <v>9</v>
      </c>
      <c r="AB40" s="2" t="s">
        <v>9</v>
      </c>
      <c r="AC40" s="2" t="s">
        <v>9</v>
      </c>
      <c r="AD40" s="2" t="s">
        <v>129</v>
      </c>
      <c r="AE40" s="2" t="s">
        <v>34</v>
      </c>
      <c r="AF40" s="2" t="s">
        <v>9</v>
      </c>
    </row>
    <row r="41" spans="1:32" x14ac:dyDescent="0.25">
      <c r="A41" s="5" t="s">
        <v>401</v>
      </c>
      <c r="B41" s="2" t="s">
        <v>31</v>
      </c>
      <c r="C41" s="2" t="s">
        <v>36</v>
      </c>
      <c r="D41" s="2" t="s">
        <v>130</v>
      </c>
      <c r="E41" s="2">
        <v>2</v>
      </c>
      <c r="F41" s="2" t="s">
        <v>9</v>
      </c>
      <c r="G41" s="2" t="s">
        <v>9</v>
      </c>
      <c r="H41" s="2" t="s">
        <v>9</v>
      </c>
      <c r="I41" s="2">
        <v>29.692782999999999</v>
      </c>
      <c r="J41" s="2">
        <v>-85.089950000000002</v>
      </c>
      <c r="K41" s="2" t="s">
        <v>37</v>
      </c>
      <c r="L41" s="2" t="s">
        <v>37</v>
      </c>
      <c r="M41" s="3" t="s">
        <v>33</v>
      </c>
      <c r="N41" s="3" t="s">
        <v>37</v>
      </c>
      <c r="O41" s="2" t="s">
        <v>33</v>
      </c>
      <c r="P41" s="3" t="s">
        <v>33</v>
      </c>
      <c r="Q41" s="3" t="s">
        <v>33</v>
      </c>
      <c r="R41" s="2" t="s">
        <v>33</v>
      </c>
      <c r="S41" s="3">
        <v>42005</v>
      </c>
      <c r="T41" s="3">
        <v>73050</v>
      </c>
      <c r="U41" s="2" t="s">
        <v>540</v>
      </c>
      <c r="V41" s="2" t="s">
        <v>9</v>
      </c>
      <c r="W41" s="2" t="s">
        <v>9</v>
      </c>
      <c r="X41" s="2" t="s">
        <v>9</v>
      </c>
      <c r="Y41" s="2" t="s">
        <v>9</v>
      </c>
      <c r="Z41" s="2" t="s">
        <v>9</v>
      </c>
      <c r="AA41" s="2" t="s">
        <v>9</v>
      </c>
      <c r="AB41" s="2" t="s">
        <v>9</v>
      </c>
      <c r="AC41" s="2" t="s">
        <v>9</v>
      </c>
      <c r="AD41" s="2" t="s">
        <v>131</v>
      </c>
      <c r="AE41" s="2" t="s">
        <v>34</v>
      </c>
      <c r="AF41" s="2" t="s">
        <v>9</v>
      </c>
    </row>
    <row r="42" spans="1:32" x14ac:dyDescent="0.25">
      <c r="A42" s="5" t="s">
        <v>402</v>
      </c>
      <c r="B42" s="2" t="s">
        <v>31</v>
      </c>
      <c r="C42" s="2" t="s">
        <v>36</v>
      </c>
      <c r="D42" s="2" t="s">
        <v>132</v>
      </c>
      <c r="E42" s="2">
        <v>3</v>
      </c>
      <c r="F42" s="2" t="s">
        <v>9</v>
      </c>
      <c r="G42" s="2" t="s">
        <v>9</v>
      </c>
      <c r="H42" s="2" t="s">
        <v>9</v>
      </c>
      <c r="I42" s="2">
        <v>29.678415999999999</v>
      </c>
      <c r="J42" s="2">
        <v>-85.058499999999995</v>
      </c>
      <c r="K42" s="2" t="s">
        <v>37</v>
      </c>
      <c r="L42" s="2" t="s">
        <v>37</v>
      </c>
      <c r="M42" s="3" t="s">
        <v>33</v>
      </c>
      <c r="N42" s="3" t="s">
        <v>37</v>
      </c>
      <c r="O42" s="2" t="s">
        <v>33</v>
      </c>
      <c r="P42" s="3" t="s">
        <v>33</v>
      </c>
      <c r="Q42" s="3" t="s">
        <v>33</v>
      </c>
      <c r="R42" s="2" t="s">
        <v>33</v>
      </c>
      <c r="S42" s="3">
        <v>42005</v>
      </c>
      <c r="T42" s="3">
        <v>44480</v>
      </c>
      <c r="U42" s="2" t="s">
        <v>540</v>
      </c>
      <c r="V42" s="2" t="s">
        <v>9</v>
      </c>
      <c r="W42" s="2" t="s">
        <v>9</v>
      </c>
      <c r="X42" s="2" t="s">
        <v>9</v>
      </c>
      <c r="Y42" s="2" t="s">
        <v>9</v>
      </c>
      <c r="Z42" s="2" t="s">
        <v>9</v>
      </c>
      <c r="AA42" s="2" t="s">
        <v>9</v>
      </c>
      <c r="AB42" s="2" t="s">
        <v>9</v>
      </c>
      <c r="AC42" s="2" t="s">
        <v>9</v>
      </c>
      <c r="AD42" s="2" t="s">
        <v>133</v>
      </c>
      <c r="AE42" s="2" t="s">
        <v>34</v>
      </c>
      <c r="AF42" s="2" t="s">
        <v>9</v>
      </c>
    </row>
    <row r="43" spans="1:32" x14ac:dyDescent="0.25">
      <c r="A43" s="5" t="s">
        <v>403</v>
      </c>
      <c r="B43" s="2" t="s">
        <v>31</v>
      </c>
      <c r="C43" s="2" t="s">
        <v>36</v>
      </c>
      <c r="D43" s="2" t="s">
        <v>134</v>
      </c>
      <c r="E43" s="2">
        <v>4</v>
      </c>
      <c r="F43" s="2" t="s">
        <v>9</v>
      </c>
      <c r="G43" s="2" t="s">
        <v>9</v>
      </c>
      <c r="H43" s="2" t="s">
        <v>9</v>
      </c>
      <c r="I43" s="2">
        <v>29.687083000000001</v>
      </c>
      <c r="J43" s="2">
        <v>-85.033416000000003</v>
      </c>
      <c r="K43" s="2" t="s">
        <v>37</v>
      </c>
      <c r="L43" s="2" t="s">
        <v>37</v>
      </c>
      <c r="M43" s="3" t="s">
        <v>37</v>
      </c>
      <c r="N43" s="3" t="s">
        <v>37</v>
      </c>
      <c r="O43" s="2" t="s">
        <v>33</v>
      </c>
      <c r="P43" s="3" t="s">
        <v>33</v>
      </c>
      <c r="Q43" s="3" t="s">
        <v>33</v>
      </c>
      <c r="R43" s="2" t="s">
        <v>33</v>
      </c>
      <c r="S43" s="3">
        <v>42005</v>
      </c>
      <c r="T43" s="3">
        <v>73050</v>
      </c>
      <c r="U43" s="2" t="s">
        <v>540</v>
      </c>
      <c r="V43" s="2" t="s">
        <v>9</v>
      </c>
      <c r="W43" s="2" t="s">
        <v>9</v>
      </c>
      <c r="X43" s="2" t="s">
        <v>9</v>
      </c>
      <c r="Y43" s="2" t="s">
        <v>9</v>
      </c>
      <c r="Z43" s="2" t="s">
        <v>9</v>
      </c>
      <c r="AA43" s="2" t="s">
        <v>9</v>
      </c>
      <c r="AB43" s="2" t="s">
        <v>9</v>
      </c>
      <c r="AC43" s="2" t="s">
        <v>9</v>
      </c>
      <c r="AD43" s="2" t="s">
        <v>135</v>
      </c>
      <c r="AE43" s="2" t="s">
        <v>34</v>
      </c>
      <c r="AF43" s="2" t="s">
        <v>9</v>
      </c>
    </row>
    <row r="44" spans="1:32" x14ac:dyDescent="0.25">
      <c r="A44" s="5" t="s">
        <v>404</v>
      </c>
      <c r="B44" s="2" t="s">
        <v>31</v>
      </c>
      <c r="C44" s="2" t="s">
        <v>36</v>
      </c>
      <c r="D44" s="2" t="s">
        <v>136</v>
      </c>
      <c r="E44" s="2">
        <v>5</v>
      </c>
      <c r="F44" s="2" t="s">
        <v>9</v>
      </c>
      <c r="G44" s="2" t="s">
        <v>9</v>
      </c>
      <c r="H44" s="2" t="s">
        <v>9</v>
      </c>
      <c r="I44" s="2">
        <v>29.699332999999999</v>
      </c>
      <c r="J44" s="2">
        <v>-85.149315999999999</v>
      </c>
      <c r="K44" s="2" t="s">
        <v>37</v>
      </c>
      <c r="L44" s="2" t="s">
        <v>37</v>
      </c>
      <c r="M44" s="3" t="s">
        <v>33</v>
      </c>
      <c r="N44" s="3" t="s">
        <v>37</v>
      </c>
      <c r="O44" s="2" t="s">
        <v>33</v>
      </c>
      <c r="P44" s="3" t="s">
        <v>33</v>
      </c>
      <c r="Q44" s="3" t="s">
        <v>33</v>
      </c>
      <c r="R44" s="2" t="s">
        <v>33</v>
      </c>
      <c r="S44" s="3">
        <v>42248</v>
      </c>
      <c r="T44" s="3">
        <v>73050</v>
      </c>
      <c r="U44" s="2" t="s">
        <v>540</v>
      </c>
      <c r="V44" s="2" t="s">
        <v>9</v>
      </c>
      <c r="W44" s="2" t="s">
        <v>9</v>
      </c>
      <c r="X44" s="2" t="s">
        <v>9</v>
      </c>
      <c r="Y44" s="2" t="s">
        <v>9</v>
      </c>
      <c r="Z44" s="2" t="s">
        <v>9</v>
      </c>
      <c r="AA44" s="2" t="s">
        <v>9</v>
      </c>
      <c r="AB44" s="2" t="s">
        <v>9</v>
      </c>
      <c r="AC44" s="2" t="s">
        <v>9</v>
      </c>
      <c r="AD44" s="2" t="s">
        <v>137</v>
      </c>
      <c r="AE44" s="2" t="s">
        <v>34</v>
      </c>
      <c r="AF44" s="2" t="s">
        <v>9</v>
      </c>
    </row>
    <row r="45" spans="1:32" x14ac:dyDescent="0.25">
      <c r="A45" s="5" t="s">
        <v>405</v>
      </c>
      <c r="B45" s="2" t="s">
        <v>138</v>
      </c>
      <c r="C45" s="2" t="s">
        <v>33</v>
      </c>
      <c r="D45" s="2" t="s">
        <v>139</v>
      </c>
      <c r="E45" s="2">
        <v>1</v>
      </c>
      <c r="F45" s="2" t="s">
        <v>9</v>
      </c>
      <c r="G45" s="2" t="s">
        <v>9</v>
      </c>
      <c r="H45" s="2" t="s">
        <v>9</v>
      </c>
      <c r="I45" s="2">
        <v>25.627666000000001</v>
      </c>
      <c r="J45" s="2">
        <v>-80.295349999999999</v>
      </c>
      <c r="K45" s="2" t="s">
        <v>37</v>
      </c>
      <c r="L45" s="2" t="s">
        <v>37</v>
      </c>
      <c r="M45" s="3" t="s">
        <v>33</v>
      </c>
      <c r="N45" s="3" t="s">
        <v>37</v>
      </c>
      <c r="O45" s="2" t="s">
        <v>33</v>
      </c>
      <c r="P45" s="3" t="s">
        <v>33</v>
      </c>
      <c r="Q45" s="3" t="s">
        <v>33</v>
      </c>
      <c r="R45" s="2" t="s">
        <v>33</v>
      </c>
      <c r="S45" s="3">
        <v>38433</v>
      </c>
      <c r="T45" s="3">
        <v>38929</v>
      </c>
      <c r="U45" s="2" t="s">
        <v>540</v>
      </c>
      <c r="V45" s="2" t="s">
        <v>9</v>
      </c>
      <c r="W45" s="2" t="s">
        <v>9</v>
      </c>
      <c r="X45" s="2" t="s">
        <v>9</v>
      </c>
      <c r="Y45" s="2" t="s">
        <v>9</v>
      </c>
      <c r="Z45" s="2" t="s">
        <v>9</v>
      </c>
      <c r="AA45" s="2" t="s">
        <v>9</v>
      </c>
      <c r="AB45" s="2" t="s">
        <v>564</v>
      </c>
      <c r="AC45" s="2" t="s">
        <v>9</v>
      </c>
      <c r="AD45" s="2" t="s">
        <v>140</v>
      </c>
      <c r="AE45" s="2" t="s">
        <v>141</v>
      </c>
      <c r="AF45" s="2" t="s">
        <v>9</v>
      </c>
    </row>
    <row r="46" spans="1:32" x14ac:dyDescent="0.25">
      <c r="A46" s="5" t="s">
        <v>406</v>
      </c>
      <c r="B46" s="2" t="s">
        <v>138</v>
      </c>
      <c r="C46" s="2" t="s">
        <v>33</v>
      </c>
      <c r="D46" s="2" t="s">
        <v>139</v>
      </c>
      <c r="E46" s="2">
        <v>1</v>
      </c>
      <c r="F46" s="2" t="s">
        <v>9</v>
      </c>
      <c r="G46" s="2" t="s">
        <v>9</v>
      </c>
      <c r="H46" s="2" t="s">
        <v>9</v>
      </c>
      <c r="I46" s="2">
        <v>25.617332999999999</v>
      </c>
      <c r="J46" s="2">
        <v>-80.301132999999993</v>
      </c>
      <c r="K46" s="2" t="s">
        <v>37</v>
      </c>
      <c r="L46" s="2" t="s">
        <v>37</v>
      </c>
      <c r="M46" s="3" t="s">
        <v>33</v>
      </c>
      <c r="N46" s="3" t="s">
        <v>37</v>
      </c>
      <c r="O46" s="2" t="s">
        <v>33</v>
      </c>
      <c r="P46" s="3" t="s">
        <v>33</v>
      </c>
      <c r="Q46" s="3" t="s">
        <v>33</v>
      </c>
      <c r="R46" s="2" t="s">
        <v>33</v>
      </c>
      <c r="S46" s="3">
        <v>38875</v>
      </c>
      <c r="T46" s="3">
        <v>39429</v>
      </c>
      <c r="U46" s="2" t="s">
        <v>540</v>
      </c>
      <c r="V46" s="2" t="s">
        <v>9</v>
      </c>
      <c r="W46" s="2" t="s">
        <v>9</v>
      </c>
      <c r="X46" s="2" t="s">
        <v>9</v>
      </c>
      <c r="Y46" s="2" t="s">
        <v>9</v>
      </c>
      <c r="Z46" s="2" t="s">
        <v>9</v>
      </c>
      <c r="AA46" s="2" t="s">
        <v>9</v>
      </c>
      <c r="AB46" s="2" t="s">
        <v>564</v>
      </c>
      <c r="AC46" s="2" t="s">
        <v>9</v>
      </c>
      <c r="AD46" s="2" t="s">
        <v>140</v>
      </c>
      <c r="AE46" s="2" t="s">
        <v>141</v>
      </c>
      <c r="AF46" s="2" t="s">
        <v>9</v>
      </c>
    </row>
    <row r="47" spans="1:32" x14ac:dyDescent="0.25">
      <c r="A47" s="5" t="s">
        <v>407</v>
      </c>
      <c r="B47" s="2" t="s">
        <v>138</v>
      </c>
      <c r="C47" s="2" t="s">
        <v>33</v>
      </c>
      <c r="D47" s="2" t="s">
        <v>142</v>
      </c>
      <c r="E47" s="2">
        <v>2</v>
      </c>
      <c r="F47" s="2" t="s">
        <v>9</v>
      </c>
      <c r="G47" s="2" t="s">
        <v>9</v>
      </c>
      <c r="H47" s="2" t="s">
        <v>9</v>
      </c>
      <c r="I47" s="2">
        <v>25.545483000000001</v>
      </c>
      <c r="J47" s="2">
        <v>-80.313232999999997</v>
      </c>
      <c r="K47" s="2" t="s">
        <v>37</v>
      </c>
      <c r="L47" s="2" t="s">
        <v>37</v>
      </c>
      <c r="M47" s="3" t="s">
        <v>33</v>
      </c>
      <c r="N47" s="3" t="s">
        <v>37</v>
      </c>
      <c r="O47" s="2" t="s">
        <v>33</v>
      </c>
      <c r="P47" s="3" t="s">
        <v>33</v>
      </c>
      <c r="Q47" s="3" t="s">
        <v>33</v>
      </c>
      <c r="R47" s="2" t="s">
        <v>33</v>
      </c>
      <c r="S47" s="3">
        <v>38433</v>
      </c>
      <c r="T47" s="3">
        <v>39429</v>
      </c>
      <c r="U47" s="2" t="s">
        <v>540</v>
      </c>
      <c r="V47" s="2" t="s">
        <v>9</v>
      </c>
      <c r="W47" s="2" t="s">
        <v>9</v>
      </c>
      <c r="X47" s="2" t="s">
        <v>9</v>
      </c>
      <c r="Y47" s="2" t="s">
        <v>9</v>
      </c>
      <c r="Z47" s="2" t="s">
        <v>9</v>
      </c>
      <c r="AA47" s="2" t="s">
        <v>9</v>
      </c>
      <c r="AB47" s="2" t="s">
        <v>565</v>
      </c>
      <c r="AC47" s="2" t="s">
        <v>9</v>
      </c>
      <c r="AD47" s="2" t="s">
        <v>143</v>
      </c>
      <c r="AE47" s="2" t="s">
        <v>141</v>
      </c>
      <c r="AF47" s="2" t="s">
        <v>9</v>
      </c>
    </row>
    <row r="48" spans="1:32" x14ac:dyDescent="0.25">
      <c r="A48" s="5" t="s">
        <v>408</v>
      </c>
      <c r="B48" s="2" t="s">
        <v>138</v>
      </c>
      <c r="C48" s="2" t="s">
        <v>33</v>
      </c>
      <c r="D48" s="2" t="s">
        <v>144</v>
      </c>
      <c r="E48" s="2">
        <v>3</v>
      </c>
      <c r="F48" s="2" t="s">
        <v>9</v>
      </c>
      <c r="G48" s="2" t="s">
        <v>9</v>
      </c>
      <c r="H48" s="2" t="s">
        <v>9</v>
      </c>
      <c r="I48" s="2">
        <v>25.492149999999999</v>
      </c>
      <c r="J48" s="2">
        <v>-80.338099999999997</v>
      </c>
      <c r="K48" s="2" t="s">
        <v>37</v>
      </c>
      <c r="L48" s="2" t="s">
        <v>37</v>
      </c>
      <c r="M48" s="3" t="s">
        <v>33</v>
      </c>
      <c r="N48" s="3" t="s">
        <v>37</v>
      </c>
      <c r="O48" s="2" t="s">
        <v>33</v>
      </c>
      <c r="P48" s="3" t="s">
        <v>33</v>
      </c>
      <c r="Q48" s="3" t="s">
        <v>33</v>
      </c>
      <c r="R48" s="2" t="s">
        <v>33</v>
      </c>
      <c r="S48" s="3">
        <v>38433</v>
      </c>
      <c r="T48" s="3">
        <v>39429</v>
      </c>
      <c r="U48" s="2" t="s">
        <v>540</v>
      </c>
      <c r="V48" s="2" t="s">
        <v>9</v>
      </c>
      <c r="W48" s="2" t="s">
        <v>9</v>
      </c>
      <c r="X48" s="2" t="s">
        <v>9</v>
      </c>
      <c r="Y48" s="2" t="s">
        <v>9</v>
      </c>
      <c r="Z48" s="2" t="s">
        <v>9</v>
      </c>
      <c r="AA48" s="2" t="s">
        <v>9</v>
      </c>
      <c r="AB48" s="2" t="s">
        <v>566</v>
      </c>
      <c r="AC48" s="2" t="s">
        <v>9</v>
      </c>
      <c r="AD48" s="2" t="s">
        <v>145</v>
      </c>
      <c r="AE48" s="2" t="s">
        <v>141</v>
      </c>
      <c r="AF48" s="2" t="s">
        <v>9</v>
      </c>
    </row>
    <row r="49" spans="1:32" x14ac:dyDescent="0.25">
      <c r="A49" s="5" t="s">
        <v>409</v>
      </c>
      <c r="B49" s="2" t="s">
        <v>35</v>
      </c>
      <c r="C49" s="2" t="s">
        <v>32</v>
      </c>
      <c r="D49" s="2" t="s">
        <v>146</v>
      </c>
      <c r="E49" s="2">
        <v>1</v>
      </c>
      <c r="F49" s="2" t="s">
        <v>9</v>
      </c>
      <c r="G49" s="2" t="s">
        <v>9</v>
      </c>
      <c r="H49" s="2" t="s">
        <v>9</v>
      </c>
      <c r="I49" s="2">
        <v>26.527149999999999</v>
      </c>
      <c r="J49" s="2">
        <v>-81.956100000000006</v>
      </c>
      <c r="K49" s="2" t="s">
        <v>37</v>
      </c>
      <c r="L49" s="2" t="s">
        <v>37</v>
      </c>
      <c r="M49" s="3" t="s">
        <v>37</v>
      </c>
      <c r="N49" s="3" t="s">
        <v>37</v>
      </c>
      <c r="O49" s="2" t="s">
        <v>33</v>
      </c>
      <c r="P49" s="3" t="s">
        <v>33</v>
      </c>
      <c r="Q49" s="3" t="s">
        <v>33</v>
      </c>
      <c r="R49" s="2" t="s">
        <v>37</v>
      </c>
      <c r="S49" s="3">
        <v>42767</v>
      </c>
      <c r="T49" s="3">
        <v>73050</v>
      </c>
      <c r="U49" s="2" t="s">
        <v>540</v>
      </c>
      <c r="V49" s="2" t="s">
        <v>9</v>
      </c>
      <c r="W49" s="2" t="s">
        <v>9</v>
      </c>
      <c r="X49" s="2" t="s">
        <v>9</v>
      </c>
      <c r="Y49" s="2" t="s">
        <v>9</v>
      </c>
      <c r="Z49" s="2" t="s">
        <v>9</v>
      </c>
      <c r="AA49" s="2" t="s">
        <v>9</v>
      </c>
      <c r="AB49" s="2" t="s">
        <v>9</v>
      </c>
      <c r="AC49" s="2" t="s">
        <v>567</v>
      </c>
      <c r="AD49" s="2" t="s">
        <v>147</v>
      </c>
      <c r="AE49" s="2" t="s">
        <v>38</v>
      </c>
      <c r="AF49" s="2" t="s">
        <v>9</v>
      </c>
    </row>
    <row r="50" spans="1:32" x14ac:dyDescent="0.25">
      <c r="A50" s="5" t="s">
        <v>410</v>
      </c>
      <c r="B50" s="2" t="s">
        <v>35</v>
      </c>
      <c r="C50" s="2" t="s">
        <v>32</v>
      </c>
      <c r="D50" s="2" t="s">
        <v>148</v>
      </c>
      <c r="E50" s="2">
        <v>2</v>
      </c>
      <c r="F50" s="2" t="s">
        <v>9</v>
      </c>
      <c r="G50" s="2" t="s">
        <v>9</v>
      </c>
      <c r="H50" s="2" t="s">
        <v>9</v>
      </c>
      <c r="I50" s="2">
        <v>26.513400000000001</v>
      </c>
      <c r="J50" s="2">
        <v>-81.979232999999994</v>
      </c>
      <c r="K50" s="2" t="s">
        <v>37</v>
      </c>
      <c r="L50" s="2" t="s">
        <v>37</v>
      </c>
      <c r="M50" s="3" t="s">
        <v>37</v>
      </c>
      <c r="N50" s="3" t="s">
        <v>37</v>
      </c>
      <c r="O50" s="2" t="s">
        <v>33</v>
      </c>
      <c r="P50" s="3" t="s">
        <v>33</v>
      </c>
      <c r="Q50" s="3" t="s">
        <v>37</v>
      </c>
      <c r="R50" s="2" t="s">
        <v>37</v>
      </c>
      <c r="S50" s="3">
        <v>42767</v>
      </c>
      <c r="T50" s="3">
        <v>73050</v>
      </c>
      <c r="U50" s="2" t="s">
        <v>540</v>
      </c>
      <c r="V50" s="2" t="s">
        <v>9</v>
      </c>
      <c r="W50" s="2" t="s">
        <v>9</v>
      </c>
      <c r="X50" s="2" t="s">
        <v>9</v>
      </c>
      <c r="Y50" s="2" t="s">
        <v>9</v>
      </c>
      <c r="Z50" s="2" t="s">
        <v>9</v>
      </c>
      <c r="AA50" s="2" t="s">
        <v>9</v>
      </c>
      <c r="AB50" s="2" t="s">
        <v>9</v>
      </c>
      <c r="AC50" s="2" t="s">
        <v>567</v>
      </c>
      <c r="AD50" s="2" t="s">
        <v>149</v>
      </c>
      <c r="AE50" s="2" t="s">
        <v>38</v>
      </c>
      <c r="AF50" s="2" t="s">
        <v>9</v>
      </c>
    </row>
    <row r="51" spans="1:32" x14ac:dyDescent="0.25">
      <c r="A51" s="5" t="s">
        <v>411</v>
      </c>
      <c r="B51" s="2" t="s">
        <v>35</v>
      </c>
      <c r="C51" s="2" t="s">
        <v>36</v>
      </c>
      <c r="D51" s="2" t="s">
        <v>150</v>
      </c>
      <c r="E51" s="2">
        <v>3</v>
      </c>
      <c r="F51" s="2" t="s">
        <v>9</v>
      </c>
      <c r="G51" s="2" t="s">
        <v>9</v>
      </c>
      <c r="H51" s="2" t="s">
        <v>9</v>
      </c>
      <c r="I51" s="2">
        <v>26.513815999999998</v>
      </c>
      <c r="J51" s="2">
        <v>-82.032732999999993</v>
      </c>
      <c r="K51" s="2" t="s">
        <v>37</v>
      </c>
      <c r="L51" s="2" t="s">
        <v>37</v>
      </c>
      <c r="M51" s="3" t="s">
        <v>37</v>
      </c>
      <c r="N51" s="3" t="s">
        <v>37</v>
      </c>
      <c r="O51" s="2" t="s">
        <v>33</v>
      </c>
      <c r="P51" s="3" t="s">
        <v>33</v>
      </c>
      <c r="Q51" s="3" t="s">
        <v>37</v>
      </c>
      <c r="R51" s="2" t="s">
        <v>37</v>
      </c>
      <c r="S51" s="3">
        <v>42767</v>
      </c>
      <c r="T51" s="3">
        <v>73050</v>
      </c>
      <c r="U51" s="2" t="s">
        <v>540</v>
      </c>
      <c r="V51" s="2" t="s">
        <v>9</v>
      </c>
      <c r="W51" s="2" t="s">
        <v>9</v>
      </c>
      <c r="X51" s="2" t="s">
        <v>9</v>
      </c>
      <c r="Y51" s="2" t="s">
        <v>9</v>
      </c>
      <c r="Z51" s="2" t="s">
        <v>9</v>
      </c>
      <c r="AA51" s="2" t="s">
        <v>9</v>
      </c>
      <c r="AB51" s="2" t="s">
        <v>9</v>
      </c>
      <c r="AC51" s="2" t="s">
        <v>567</v>
      </c>
      <c r="AD51" s="2" t="s">
        <v>151</v>
      </c>
      <c r="AE51" s="2" t="s">
        <v>38</v>
      </c>
      <c r="AF51" s="2" t="s">
        <v>9</v>
      </c>
    </row>
    <row r="52" spans="1:32" x14ac:dyDescent="0.25">
      <c r="A52" s="5" t="s">
        <v>412</v>
      </c>
      <c r="B52" s="2" t="s">
        <v>35</v>
      </c>
      <c r="C52" s="2" t="s">
        <v>36</v>
      </c>
      <c r="D52" s="2" t="s">
        <v>152</v>
      </c>
      <c r="E52" s="2">
        <v>4</v>
      </c>
      <c r="F52" s="2" t="s">
        <v>9</v>
      </c>
      <c r="G52" s="2" t="s">
        <v>9</v>
      </c>
      <c r="H52" s="2" t="s">
        <v>9</v>
      </c>
      <c r="I52" s="2">
        <v>26.496282999999998</v>
      </c>
      <c r="J52" s="2">
        <v>-82.005600000000001</v>
      </c>
      <c r="K52" s="2" t="s">
        <v>37</v>
      </c>
      <c r="L52" s="2" t="s">
        <v>37</v>
      </c>
      <c r="M52" s="3" t="s">
        <v>37</v>
      </c>
      <c r="N52" s="3" t="s">
        <v>37</v>
      </c>
      <c r="O52" s="2" t="s">
        <v>33</v>
      </c>
      <c r="P52" s="3" t="s">
        <v>33</v>
      </c>
      <c r="Q52" s="3" t="s">
        <v>33</v>
      </c>
      <c r="R52" s="2" t="s">
        <v>37</v>
      </c>
      <c r="S52" s="3">
        <v>42767</v>
      </c>
      <c r="T52" s="3">
        <v>73050</v>
      </c>
      <c r="U52" s="2" t="s">
        <v>540</v>
      </c>
      <c r="V52" s="2" t="s">
        <v>9</v>
      </c>
      <c r="W52" s="2" t="s">
        <v>9</v>
      </c>
      <c r="X52" s="2" t="s">
        <v>9</v>
      </c>
      <c r="Y52" s="2" t="s">
        <v>9</v>
      </c>
      <c r="Z52" s="2" t="s">
        <v>9</v>
      </c>
      <c r="AA52" s="2" t="s">
        <v>9</v>
      </c>
      <c r="AB52" s="2" t="s">
        <v>9</v>
      </c>
      <c r="AC52" s="2" t="s">
        <v>567</v>
      </c>
      <c r="AD52" s="2" t="s">
        <v>153</v>
      </c>
      <c r="AE52" s="2" t="s">
        <v>38</v>
      </c>
      <c r="AF52" s="2" t="s">
        <v>9</v>
      </c>
    </row>
    <row r="53" spans="1:32" x14ac:dyDescent="0.25">
      <c r="A53" s="5" t="s">
        <v>413</v>
      </c>
      <c r="B53" s="2" t="s">
        <v>154</v>
      </c>
      <c r="C53" s="2" t="s">
        <v>90</v>
      </c>
      <c r="D53" s="2" t="s">
        <v>155</v>
      </c>
      <c r="E53" s="2">
        <v>1</v>
      </c>
      <c r="F53" s="2" t="s">
        <v>9</v>
      </c>
      <c r="G53" s="2" t="s">
        <v>9</v>
      </c>
      <c r="H53" s="2" t="s">
        <v>9</v>
      </c>
      <c r="I53" s="2">
        <v>26.68505</v>
      </c>
      <c r="J53" s="2">
        <v>-80.043565999999998</v>
      </c>
      <c r="K53" s="2" t="s">
        <v>37</v>
      </c>
      <c r="L53" s="2" t="s">
        <v>37</v>
      </c>
      <c r="M53" s="3" t="s">
        <v>37</v>
      </c>
      <c r="N53" s="3" t="s">
        <v>37</v>
      </c>
      <c r="O53" s="2" t="s">
        <v>33</v>
      </c>
      <c r="P53" s="3" t="s">
        <v>33</v>
      </c>
      <c r="Q53" s="3" t="s">
        <v>33</v>
      </c>
      <c r="R53" s="2" t="s">
        <v>33</v>
      </c>
      <c r="S53" s="3">
        <v>38387</v>
      </c>
      <c r="T53" s="3">
        <v>38874</v>
      </c>
      <c r="U53" s="2" t="s">
        <v>540</v>
      </c>
      <c r="V53" s="2" t="s">
        <v>9</v>
      </c>
      <c r="W53" s="2" t="s">
        <v>9</v>
      </c>
      <c r="X53" s="2" t="s">
        <v>9</v>
      </c>
      <c r="Y53" s="2" t="s">
        <v>9</v>
      </c>
      <c r="Z53" s="2" t="s">
        <v>9</v>
      </c>
      <c r="AA53" s="2" t="s">
        <v>9</v>
      </c>
      <c r="AB53" s="2" t="s">
        <v>568</v>
      </c>
      <c r="AC53" s="2" t="s">
        <v>9</v>
      </c>
      <c r="AD53" s="2" t="s">
        <v>156</v>
      </c>
      <c r="AE53" s="2" t="s">
        <v>157</v>
      </c>
      <c r="AF53" s="2" t="s">
        <v>9</v>
      </c>
    </row>
    <row r="54" spans="1:32" x14ac:dyDescent="0.25">
      <c r="A54" s="5" t="s">
        <v>414</v>
      </c>
      <c r="B54" s="2" t="s">
        <v>154</v>
      </c>
      <c r="C54" s="2" t="s">
        <v>90</v>
      </c>
      <c r="D54" s="2" t="s">
        <v>155</v>
      </c>
      <c r="E54" s="2">
        <v>1</v>
      </c>
      <c r="F54" s="2" t="s">
        <v>9</v>
      </c>
      <c r="G54" s="2" t="s">
        <v>9</v>
      </c>
      <c r="H54" s="2" t="s">
        <v>9</v>
      </c>
      <c r="I54" s="2">
        <v>26.669682999999999</v>
      </c>
      <c r="J54" s="2">
        <v>-80.043633</v>
      </c>
      <c r="K54" s="2" t="s">
        <v>37</v>
      </c>
      <c r="L54" s="2" t="s">
        <v>37</v>
      </c>
      <c r="M54" s="3" t="s">
        <v>37</v>
      </c>
      <c r="N54" s="3" t="s">
        <v>37</v>
      </c>
      <c r="O54" s="2" t="s">
        <v>33</v>
      </c>
      <c r="P54" s="3" t="s">
        <v>33</v>
      </c>
      <c r="Q54" s="3" t="s">
        <v>33</v>
      </c>
      <c r="R54" s="2" t="s">
        <v>33</v>
      </c>
      <c r="S54" s="3">
        <v>38874</v>
      </c>
      <c r="T54" s="3">
        <v>73050</v>
      </c>
      <c r="U54" s="2" t="s">
        <v>540</v>
      </c>
      <c r="V54" s="2" t="s">
        <v>9</v>
      </c>
      <c r="W54" s="2" t="s">
        <v>9</v>
      </c>
      <c r="X54" s="2" t="s">
        <v>9</v>
      </c>
      <c r="Y54" s="2" t="s">
        <v>9</v>
      </c>
      <c r="Z54" s="2" t="s">
        <v>9</v>
      </c>
      <c r="AA54" s="2" t="s">
        <v>9</v>
      </c>
      <c r="AB54" s="2" t="s">
        <v>568</v>
      </c>
      <c r="AC54" s="2" t="s">
        <v>9</v>
      </c>
      <c r="AD54" s="2" t="s">
        <v>156</v>
      </c>
      <c r="AE54" s="2" t="s">
        <v>157</v>
      </c>
      <c r="AF54" s="2" t="s">
        <v>9</v>
      </c>
    </row>
    <row r="55" spans="1:32" x14ac:dyDescent="0.25">
      <c r="A55" s="5" t="s">
        <v>415</v>
      </c>
      <c r="B55" s="2" t="s">
        <v>154</v>
      </c>
      <c r="C55" s="2" t="s">
        <v>90</v>
      </c>
      <c r="D55" s="2" t="s">
        <v>158</v>
      </c>
      <c r="E55" s="2">
        <v>2</v>
      </c>
      <c r="F55" s="2" t="s">
        <v>9</v>
      </c>
      <c r="G55" s="2" t="s">
        <v>9</v>
      </c>
      <c r="H55" s="2" t="s">
        <v>9</v>
      </c>
      <c r="I55" s="2">
        <v>26.647466000000001</v>
      </c>
      <c r="J55" s="2">
        <v>-80.040599999999998</v>
      </c>
      <c r="K55" s="2" t="s">
        <v>37</v>
      </c>
      <c r="L55" s="2" t="s">
        <v>37</v>
      </c>
      <c r="M55" s="3" t="s">
        <v>37</v>
      </c>
      <c r="N55" s="3" t="s">
        <v>37</v>
      </c>
      <c r="O55" s="2" t="s">
        <v>33</v>
      </c>
      <c r="P55" s="3" t="s">
        <v>33</v>
      </c>
      <c r="Q55" s="3" t="s">
        <v>33</v>
      </c>
      <c r="R55" s="2" t="s">
        <v>33</v>
      </c>
      <c r="S55" s="3">
        <v>38387</v>
      </c>
      <c r="T55" s="3">
        <v>73050</v>
      </c>
      <c r="U55" s="2" t="s">
        <v>540</v>
      </c>
      <c r="V55" s="2" t="s">
        <v>9</v>
      </c>
      <c r="W55" s="2" t="s">
        <v>9</v>
      </c>
      <c r="X55" s="2" t="s">
        <v>9</v>
      </c>
      <c r="Y55" s="2" t="s">
        <v>9</v>
      </c>
      <c r="Z55" s="2" t="s">
        <v>9</v>
      </c>
      <c r="AA55" s="2" t="s">
        <v>9</v>
      </c>
      <c r="AB55" s="2" t="s">
        <v>568</v>
      </c>
      <c r="AC55" s="2" t="s">
        <v>9</v>
      </c>
      <c r="AD55" s="2" t="s">
        <v>159</v>
      </c>
      <c r="AE55" s="2" t="s">
        <v>157</v>
      </c>
      <c r="AF55" s="2" t="s">
        <v>9</v>
      </c>
    </row>
    <row r="56" spans="1:32" x14ac:dyDescent="0.25">
      <c r="A56" s="2" t="s">
        <v>416</v>
      </c>
      <c r="B56" s="2" t="s">
        <v>154</v>
      </c>
      <c r="C56" s="2" t="s">
        <v>90</v>
      </c>
      <c r="D56" s="2" t="s">
        <v>160</v>
      </c>
      <c r="E56" s="2">
        <v>3</v>
      </c>
      <c r="F56" s="2" t="s">
        <v>9</v>
      </c>
      <c r="G56" s="2" t="s">
        <v>9</v>
      </c>
      <c r="H56" s="2" t="s">
        <v>9</v>
      </c>
      <c r="I56" s="2">
        <v>26.597515999999999</v>
      </c>
      <c r="J56" s="2">
        <v>-80.040283000000002</v>
      </c>
      <c r="K56" s="2" t="s">
        <v>37</v>
      </c>
      <c r="L56" s="2" t="s">
        <v>37</v>
      </c>
      <c r="M56" s="3" t="s">
        <v>37</v>
      </c>
      <c r="N56" s="3" t="s">
        <v>37</v>
      </c>
      <c r="O56" s="2" t="s">
        <v>33</v>
      </c>
      <c r="P56" s="3" t="s">
        <v>33</v>
      </c>
      <c r="Q56" s="3" t="s">
        <v>33</v>
      </c>
      <c r="R56" s="2" t="s">
        <v>33</v>
      </c>
      <c r="S56" s="3">
        <v>38387</v>
      </c>
      <c r="T56" s="3">
        <v>73050</v>
      </c>
      <c r="U56" s="2" t="s">
        <v>540</v>
      </c>
      <c r="V56" s="2" t="s">
        <v>9</v>
      </c>
      <c r="W56" s="2" t="s">
        <v>9</v>
      </c>
      <c r="X56" s="2" t="s">
        <v>9</v>
      </c>
      <c r="Y56" s="2" t="s">
        <v>9</v>
      </c>
      <c r="Z56" s="2" t="s">
        <v>9</v>
      </c>
      <c r="AA56" s="2" t="s">
        <v>9</v>
      </c>
      <c r="AB56" s="2" t="s">
        <v>568</v>
      </c>
      <c r="AC56" s="2" t="s">
        <v>9</v>
      </c>
      <c r="AD56" s="2" t="s">
        <v>161</v>
      </c>
      <c r="AE56" s="2" t="s">
        <v>157</v>
      </c>
      <c r="AF56" s="2" t="s">
        <v>9</v>
      </c>
    </row>
    <row r="57" spans="1:32" x14ac:dyDescent="0.25">
      <c r="A57" s="2" t="s">
        <v>417</v>
      </c>
      <c r="B57" s="2" t="s">
        <v>154</v>
      </c>
      <c r="C57" s="2" t="s">
        <v>88</v>
      </c>
      <c r="D57" s="2" t="s">
        <v>162</v>
      </c>
      <c r="E57" s="2">
        <v>1</v>
      </c>
      <c r="F57" s="2" t="s">
        <v>9</v>
      </c>
      <c r="G57" s="2" t="s">
        <v>9</v>
      </c>
      <c r="H57" s="2" t="s">
        <v>9</v>
      </c>
      <c r="I57" s="2">
        <v>26.64575</v>
      </c>
      <c r="J57" s="2">
        <v>-80.040000000000006</v>
      </c>
      <c r="K57" s="2" t="s">
        <v>37</v>
      </c>
      <c r="L57" s="2" t="s">
        <v>37</v>
      </c>
      <c r="M57" s="3" t="s">
        <v>37</v>
      </c>
      <c r="N57" s="3" t="s">
        <v>37</v>
      </c>
      <c r="O57" s="2" t="s">
        <v>33</v>
      </c>
      <c r="P57" s="3" t="s">
        <v>33</v>
      </c>
      <c r="Q57" s="3" t="s">
        <v>33</v>
      </c>
      <c r="R57" s="2" t="s">
        <v>33</v>
      </c>
      <c r="S57" s="3">
        <v>38353</v>
      </c>
      <c r="T57" s="3">
        <v>44227</v>
      </c>
      <c r="U57" s="2" t="s">
        <v>540</v>
      </c>
      <c r="V57" s="2" t="s">
        <v>9</v>
      </c>
      <c r="W57" s="2" t="s">
        <v>9</v>
      </c>
      <c r="X57" s="2" t="s">
        <v>9</v>
      </c>
      <c r="Y57" s="2" t="s">
        <v>9</v>
      </c>
      <c r="Z57" s="2" t="s">
        <v>9</v>
      </c>
      <c r="AA57" s="2" t="s">
        <v>9</v>
      </c>
      <c r="AB57" s="2" t="s">
        <v>9</v>
      </c>
      <c r="AC57" s="2" t="s">
        <v>9</v>
      </c>
      <c r="AD57" s="2" t="s">
        <v>163</v>
      </c>
      <c r="AE57" s="2" t="s">
        <v>157</v>
      </c>
      <c r="AF57" s="2" t="s">
        <v>9</v>
      </c>
    </row>
    <row r="58" spans="1:32" x14ac:dyDescent="0.25">
      <c r="A58" s="2" t="s">
        <v>418</v>
      </c>
      <c r="B58" s="2" t="s">
        <v>154</v>
      </c>
      <c r="C58" s="2" t="s">
        <v>88</v>
      </c>
      <c r="D58" s="2" t="s">
        <v>164</v>
      </c>
      <c r="E58" s="2">
        <v>2</v>
      </c>
      <c r="F58" s="2" t="s">
        <v>9</v>
      </c>
      <c r="G58" s="2" t="s">
        <v>9</v>
      </c>
      <c r="H58" s="2" t="s">
        <v>9</v>
      </c>
      <c r="I58" s="2">
        <v>26.629816000000002</v>
      </c>
      <c r="J58" s="2">
        <v>-80.040833000000006</v>
      </c>
      <c r="K58" s="2" t="s">
        <v>37</v>
      </c>
      <c r="L58" s="2" t="s">
        <v>37</v>
      </c>
      <c r="M58" s="3" t="s">
        <v>37</v>
      </c>
      <c r="N58" s="3" t="s">
        <v>37</v>
      </c>
      <c r="O58" s="2" t="s">
        <v>33</v>
      </c>
      <c r="P58" s="3" t="s">
        <v>33</v>
      </c>
      <c r="Q58" s="3" t="s">
        <v>33</v>
      </c>
      <c r="R58" s="2" t="s">
        <v>33</v>
      </c>
      <c r="S58" s="3">
        <v>42248</v>
      </c>
      <c r="T58" s="3">
        <v>42529</v>
      </c>
      <c r="U58" s="2" t="s">
        <v>540</v>
      </c>
      <c r="V58" s="2" t="s">
        <v>9</v>
      </c>
      <c r="W58" s="2" t="s">
        <v>9</v>
      </c>
      <c r="X58" s="2" t="s">
        <v>9</v>
      </c>
      <c r="Y58" s="2" t="s">
        <v>9</v>
      </c>
      <c r="Z58" s="2" t="s">
        <v>9</v>
      </c>
      <c r="AA58" s="2" t="s">
        <v>9</v>
      </c>
      <c r="AB58" s="2" t="s">
        <v>9</v>
      </c>
      <c r="AC58" s="2" t="s">
        <v>9</v>
      </c>
      <c r="AD58" s="2" t="s">
        <v>165</v>
      </c>
      <c r="AE58" s="2" t="s">
        <v>157</v>
      </c>
      <c r="AF58" s="2" t="s">
        <v>9</v>
      </c>
    </row>
    <row r="59" spans="1:32" x14ac:dyDescent="0.25">
      <c r="A59" s="2" t="s">
        <v>419</v>
      </c>
      <c r="B59" s="2" t="s">
        <v>154</v>
      </c>
      <c r="C59" s="2" t="s">
        <v>88</v>
      </c>
      <c r="D59" s="2" t="s">
        <v>164</v>
      </c>
      <c r="E59" s="2">
        <v>2</v>
      </c>
      <c r="F59" s="2" t="s">
        <v>9</v>
      </c>
      <c r="G59" s="2" t="s">
        <v>9</v>
      </c>
      <c r="H59" s="2" t="s">
        <v>9</v>
      </c>
      <c r="I59" s="2">
        <v>26.632566000000001</v>
      </c>
      <c r="J59" s="2">
        <v>-80.040549999999996</v>
      </c>
      <c r="K59" s="2" t="s">
        <v>37</v>
      </c>
      <c r="L59" s="2" t="s">
        <v>37</v>
      </c>
      <c r="M59" s="3" t="s">
        <v>37</v>
      </c>
      <c r="N59" s="3" t="s">
        <v>37</v>
      </c>
      <c r="O59" s="2" t="s">
        <v>33</v>
      </c>
      <c r="P59" s="3" t="s">
        <v>33</v>
      </c>
      <c r="Q59" s="3" t="s">
        <v>33</v>
      </c>
      <c r="R59" s="2" t="s">
        <v>33</v>
      </c>
      <c r="S59" s="3">
        <v>42529</v>
      </c>
      <c r="T59" s="3">
        <v>73050</v>
      </c>
      <c r="U59" s="2" t="s">
        <v>540</v>
      </c>
      <c r="V59" s="2" t="s">
        <v>9</v>
      </c>
      <c r="W59" s="2" t="s">
        <v>9</v>
      </c>
      <c r="X59" s="2" t="s">
        <v>9</v>
      </c>
      <c r="Y59" s="2" t="s">
        <v>9</v>
      </c>
      <c r="Z59" s="2" t="s">
        <v>9</v>
      </c>
      <c r="AA59" s="2" t="s">
        <v>9</v>
      </c>
      <c r="AB59" s="2" t="s">
        <v>9</v>
      </c>
      <c r="AC59" s="2" t="s">
        <v>9</v>
      </c>
      <c r="AD59" s="2" t="s">
        <v>165</v>
      </c>
      <c r="AE59" s="2" t="s">
        <v>157</v>
      </c>
      <c r="AF59" s="2" t="s">
        <v>9</v>
      </c>
    </row>
    <row r="60" spans="1:32" x14ac:dyDescent="0.25">
      <c r="A60" s="2" t="s">
        <v>420</v>
      </c>
      <c r="B60" s="2" t="s">
        <v>154</v>
      </c>
      <c r="C60" s="2" t="s">
        <v>88</v>
      </c>
      <c r="D60" s="2" t="s">
        <v>166</v>
      </c>
      <c r="E60" s="2">
        <v>3</v>
      </c>
      <c r="F60" s="2" t="s">
        <v>9</v>
      </c>
      <c r="G60" s="2" t="s">
        <v>9</v>
      </c>
      <c r="H60" s="2" t="s">
        <v>9</v>
      </c>
      <c r="I60" s="2">
        <v>26.623999999999999</v>
      </c>
      <c r="J60" s="2">
        <v>-80.045000000000002</v>
      </c>
      <c r="K60" s="2" t="s">
        <v>37</v>
      </c>
      <c r="L60" s="2" t="s">
        <v>37</v>
      </c>
      <c r="M60" s="3" t="s">
        <v>37</v>
      </c>
      <c r="N60" s="3" t="s">
        <v>37</v>
      </c>
      <c r="O60" s="2" t="s">
        <v>33</v>
      </c>
      <c r="P60" s="3" t="s">
        <v>33</v>
      </c>
      <c r="Q60" s="3" t="s">
        <v>33</v>
      </c>
      <c r="R60" s="2" t="s">
        <v>33</v>
      </c>
      <c r="S60" s="3">
        <v>38353</v>
      </c>
      <c r="T60" s="3">
        <v>73050</v>
      </c>
      <c r="U60" s="2" t="s">
        <v>540</v>
      </c>
      <c r="V60" s="2" t="s">
        <v>9</v>
      </c>
      <c r="W60" s="2" t="s">
        <v>9</v>
      </c>
      <c r="X60" s="2" t="s">
        <v>9</v>
      </c>
      <c r="Y60" s="2" t="s">
        <v>9</v>
      </c>
      <c r="Z60" s="2" t="s">
        <v>9</v>
      </c>
      <c r="AA60" s="2" t="s">
        <v>9</v>
      </c>
      <c r="AB60" s="2" t="s">
        <v>9</v>
      </c>
      <c r="AC60" s="2" t="s">
        <v>9</v>
      </c>
      <c r="AD60" s="2" t="s">
        <v>167</v>
      </c>
      <c r="AE60" s="2" t="s">
        <v>157</v>
      </c>
      <c r="AF60" s="2" t="s">
        <v>9</v>
      </c>
    </row>
    <row r="61" spans="1:32" x14ac:dyDescent="0.25">
      <c r="A61" s="2" t="s">
        <v>421</v>
      </c>
      <c r="B61" s="2" t="s">
        <v>168</v>
      </c>
      <c r="C61" s="2" t="s">
        <v>33</v>
      </c>
      <c r="D61" s="2" t="s">
        <v>169</v>
      </c>
      <c r="E61" s="2">
        <v>1</v>
      </c>
      <c r="F61" s="2" t="s">
        <v>9</v>
      </c>
      <c r="G61" s="2" t="s">
        <v>9</v>
      </c>
      <c r="H61" s="2" t="s">
        <v>9</v>
      </c>
      <c r="I61" s="2">
        <v>26.9694</v>
      </c>
      <c r="J61" s="2">
        <v>-80.128133000000005</v>
      </c>
      <c r="K61" s="2" t="s">
        <v>37</v>
      </c>
      <c r="L61" s="2" t="s">
        <v>37</v>
      </c>
      <c r="M61" s="3" t="s">
        <v>33</v>
      </c>
      <c r="N61" s="3" t="s">
        <v>37</v>
      </c>
      <c r="O61" s="2" t="s">
        <v>33</v>
      </c>
      <c r="P61" s="3" t="s">
        <v>33</v>
      </c>
      <c r="Q61" s="3" t="s">
        <v>33</v>
      </c>
      <c r="R61" s="2" t="s">
        <v>33</v>
      </c>
      <c r="S61" s="3">
        <v>38353</v>
      </c>
      <c r="T61" s="3">
        <v>73050</v>
      </c>
      <c r="U61" s="2" t="s">
        <v>540</v>
      </c>
      <c r="V61" s="2" t="s">
        <v>9</v>
      </c>
      <c r="W61" s="2" t="s">
        <v>9</v>
      </c>
      <c r="X61" s="2" t="s">
        <v>9</v>
      </c>
      <c r="Y61" s="2" t="s">
        <v>9</v>
      </c>
      <c r="Z61" s="2" t="s">
        <v>9</v>
      </c>
      <c r="AA61" s="2" t="s">
        <v>9</v>
      </c>
      <c r="AB61" s="2" t="s">
        <v>9</v>
      </c>
      <c r="AC61" s="2" t="s">
        <v>9</v>
      </c>
      <c r="AD61" s="2" t="s">
        <v>170</v>
      </c>
      <c r="AE61" s="2" t="s">
        <v>171</v>
      </c>
      <c r="AF61" s="2" t="s">
        <v>9</v>
      </c>
    </row>
    <row r="62" spans="1:32" x14ac:dyDescent="0.25">
      <c r="A62" s="2" t="s">
        <v>422</v>
      </c>
      <c r="B62" s="2" t="s">
        <v>168</v>
      </c>
      <c r="C62" s="2" t="s">
        <v>33</v>
      </c>
      <c r="D62" s="2" t="s">
        <v>172</v>
      </c>
      <c r="E62" s="2">
        <v>2</v>
      </c>
      <c r="F62" s="2" t="s">
        <v>9</v>
      </c>
      <c r="G62" s="2" t="s">
        <v>9</v>
      </c>
      <c r="H62" s="2" t="s">
        <v>9</v>
      </c>
      <c r="I62" s="2">
        <v>26.970616</v>
      </c>
      <c r="J62" s="2">
        <v>-80.127482999999998</v>
      </c>
      <c r="K62" s="2" t="s">
        <v>37</v>
      </c>
      <c r="L62" s="2" t="s">
        <v>37</v>
      </c>
      <c r="M62" s="3" t="s">
        <v>33</v>
      </c>
      <c r="N62" s="3" t="s">
        <v>37</v>
      </c>
      <c r="O62" s="2" t="s">
        <v>33</v>
      </c>
      <c r="P62" s="3" t="s">
        <v>33</v>
      </c>
      <c r="Q62" s="3" t="s">
        <v>37</v>
      </c>
      <c r="R62" s="2" t="s">
        <v>33</v>
      </c>
      <c r="S62" s="3">
        <v>38353</v>
      </c>
      <c r="T62" s="3">
        <v>73050</v>
      </c>
      <c r="U62" s="2" t="s">
        <v>540</v>
      </c>
      <c r="V62" s="2" t="s">
        <v>9</v>
      </c>
      <c r="W62" s="2" t="s">
        <v>9</v>
      </c>
      <c r="X62" s="2" t="s">
        <v>9</v>
      </c>
      <c r="Y62" s="2" t="s">
        <v>9</v>
      </c>
      <c r="Z62" s="2" t="s">
        <v>9</v>
      </c>
      <c r="AA62" s="2" t="s">
        <v>9</v>
      </c>
      <c r="AB62" s="2" t="s">
        <v>9</v>
      </c>
      <c r="AC62" s="2" t="s">
        <v>9</v>
      </c>
      <c r="AD62" s="2" t="s">
        <v>173</v>
      </c>
      <c r="AE62" s="2" t="s">
        <v>171</v>
      </c>
      <c r="AF62" s="2" t="s">
        <v>9</v>
      </c>
    </row>
    <row r="63" spans="1:32" x14ac:dyDescent="0.25">
      <c r="A63" s="2" t="s">
        <v>423</v>
      </c>
      <c r="B63" s="2" t="s">
        <v>168</v>
      </c>
      <c r="C63" s="2" t="s">
        <v>33</v>
      </c>
      <c r="D63" s="2" t="s">
        <v>174</v>
      </c>
      <c r="E63" s="2">
        <v>3</v>
      </c>
      <c r="F63" s="2" t="s">
        <v>9</v>
      </c>
      <c r="G63" s="2" t="s">
        <v>9</v>
      </c>
      <c r="H63" s="2" t="s">
        <v>9</v>
      </c>
      <c r="I63" s="2">
        <v>26.972833000000001</v>
      </c>
      <c r="J63" s="2">
        <v>-80.128100000000003</v>
      </c>
      <c r="K63" s="2" t="s">
        <v>37</v>
      </c>
      <c r="L63" s="2" t="s">
        <v>37</v>
      </c>
      <c r="M63" s="3" t="s">
        <v>33</v>
      </c>
      <c r="N63" s="3" t="s">
        <v>37</v>
      </c>
      <c r="O63" s="2" t="s">
        <v>33</v>
      </c>
      <c r="P63" s="3" t="s">
        <v>33</v>
      </c>
      <c r="Q63" s="3" t="s">
        <v>33</v>
      </c>
      <c r="R63" s="2" t="s">
        <v>33</v>
      </c>
      <c r="S63" s="3">
        <v>38353</v>
      </c>
      <c r="T63" s="3">
        <v>73050</v>
      </c>
      <c r="U63" s="2" t="s">
        <v>540</v>
      </c>
      <c r="V63" s="2" t="s">
        <v>9</v>
      </c>
      <c r="W63" s="2" t="s">
        <v>9</v>
      </c>
      <c r="X63" s="2" t="s">
        <v>9</v>
      </c>
      <c r="Y63" s="2" t="s">
        <v>9</v>
      </c>
      <c r="Z63" s="2" t="s">
        <v>9</v>
      </c>
      <c r="AA63" s="2" t="s">
        <v>9</v>
      </c>
      <c r="AB63" s="2" t="s">
        <v>9</v>
      </c>
      <c r="AC63" s="2" t="s">
        <v>9</v>
      </c>
      <c r="AD63" s="2" t="s">
        <v>175</v>
      </c>
      <c r="AE63" s="2" t="s">
        <v>171</v>
      </c>
      <c r="AF63" s="2" t="s">
        <v>9</v>
      </c>
    </row>
    <row r="64" spans="1:32" x14ac:dyDescent="0.25">
      <c r="A64" s="2" t="s">
        <v>424</v>
      </c>
      <c r="B64" s="2" t="s">
        <v>168</v>
      </c>
      <c r="C64" s="2" t="s">
        <v>88</v>
      </c>
      <c r="D64" s="2" t="s">
        <v>176</v>
      </c>
      <c r="E64" s="2">
        <v>1</v>
      </c>
      <c r="F64" s="2" t="s">
        <v>9</v>
      </c>
      <c r="G64" s="2" t="s">
        <v>9</v>
      </c>
      <c r="H64" s="2" t="s">
        <v>9</v>
      </c>
      <c r="I64" s="2">
        <v>26.9697</v>
      </c>
      <c r="J64" s="2">
        <v>-80.127983</v>
      </c>
      <c r="K64" s="2" t="s">
        <v>37</v>
      </c>
      <c r="L64" s="2" t="s">
        <v>37</v>
      </c>
      <c r="M64" s="3" t="s">
        <v>33</v>
      </c>
      <c r="N64" s="3" t="s">
        <v>37</v>
      </c>
      <c r="O64" s="2" t="s">
        <v>33</v>
      </c>
      <c r="P64" s="3" t="s">
        <v>33</v>
      </c>
      <c r="Q64" s="3" t="s">
        <v>33</v>
      </c>
      <c r="R64" s="2" t="s">
        <v>33</v>
      </c>
      <c r="S64" s="3">
        <v>40394</v>
      </c>
      <c r="T64" s="3">
        <v>40822</v>
      </c>
      <c r="U64" s="2" t="s">
        <v>540</v>
      </c>
      <c r="V64" s="2" t="s">
        <v>9</v>
      </c>
      <c r="W64" s="2" t="s">
        <v>9</v>
      </c>
      <c r="X64" s="2" t="s">
        <v>9</v>
      </c>
      <c r="Y64" s="2" t="s">
        <v>9</v>
      </c>
      <c r="Z64" s="2" t="s">
        <v>9</v>
      </c>
      <c r="AA64" s="2" t="s">
        <v>9</v>
      </c>
      <c r="AB64" s="2" t="s">
        <v>569</v>
      </c>
      <c r="AC64" s="2" t="s">
        <v>570</v>
      </c>
      <c r="AD64" s="2" t="s">
        <v>177</v>
      </c>
      <c r="AE64" s="2" t="s">
        <v>171</v>
      </c>
      <c r="AF64" s="2" t="s">
        <v>9</v>
      </c>
    </row>
    <row r="65" spans="1:32" x14ac:dyDescent="0.25">
      <c r="A65" s="2" t="s">
        <v>425</v>
      </c>
      <c r="B65" s="2" t="s">
        <v>168</v>
      </c>
      <c r="C65" s="2" t="s">
        <v>64</v>
      </c>
      <c r="D65" s="2" t="s">
        <v>178</v>
      </c>
      <c r="E65" s="2">
        <v>1</v>
      </c>
      <c r="F65" s="2" t="s">
        <v>9</v>
      </c>
      <c r="G65" s="2" t="s">
        <v>9</v>
      </c>
      <c r="H65" s="2" t="s">
        <v>9</v>
      </c>
      <c r="I65" s="2">
        <v>26.942900000000002</v>
      </c>
      <c r="J65" s="2">
        <v>-80.118532999999999</v>
      </c>
      <c r="K65" s="2" t="s">
        <v>37</v>
      </c>
      <c r="L65" s="2" t="s">
        <v>37</v>
      </c>
      <c r="M65" s="3" t="s">
        <v>33</v>
      </c>
      <c r="N65" s="3" t="s">
        <v>37</v>
      </c>
      <c r="O65" s="2" t="s">
        <v>33</v>
      </c>
      <c r="P65" s="3" t="s">
        <v>33</v>
      </c>
      <c r="Q65" s="3" t="s">
        <v>33</v>
      </c>
      <c r="R65" s="2" t="s">
        <v>33</v>
      </c>
      <c r="S65" s="3">
        <v>38353</v>
      </c>
      <c r="T65" s="3">
        <v>73050</v>
      </c>
      <c r="U65" s="2" t="s">
        <v>540</v>
      </c>
      <c r="V65" s="2" t="s">
        <v>9</v>
      </c>
      <c r="W65" s="2" t="s">
        <v>9</v>
      </c>
      <c r="X65" s="2" t="s">
        <v>9</v>
      </c>
      <c r="Y65" s="2" t="s">
        <v>9</v>
      </c>
      <c r="Z65" s="2" t="s">
        <v>9</v>
      </c>
      <c r="AA65" s="2" t="s">
        <v>9</v>
      </c>
      <c r="AB65" s="2" t="s">
        <v>9</v>
      </c>
      <c r="AC65" s="2" t="s">
        <v>9</v>
      </c>
      <c r="AD65" s="2" t="s">
        <v>179</v>
      </c>
      <c r="AE65" s="2" t="s">
        <v>171</v>
      </c>
      <c r="AF65" s="2" t="s">
        <v>9</v>
      </c>
    </row>
    <row r="66" spans="1:32" x14ac:dyDescent="0.25">
      <c r="A66" s="2" t="s">
        <v>426</v>
      </c>
      <c r="B66" s="2" t="s">
        <v>168</v>
      </c>
      <c r="C66" s="2" t="s">
        <v>64</v>
      </c>
      <c r="D66" s="2" t="s">
        <v>180</v>
      </c>
      <c r="E66" s="2">
        <v>2</v>
      </c>
      <c r="F66" s="2" t="s">
        <v>9</v>
      </c>
      <c r="G66" s="2" t="s">
        <v>9</v>
      </c>
      <c r="H66" s="2" t="s">
        <v>9</v>
      </c>
      <c r="I66" s="2">
        <v>26.943833000000001</v>
      </c>
      <c r="J66" s="2">
        <v>-80.121333000000007</v>
      </c>
      <c r="K66" s="2" t="s">
        <v>37</v>
      </c>
      <c r="L66" s="2" t="s">
        <v>37</v>
      </c>
      <c r="M66" s="3" t="s">
        <v>33</v>
      </c>
      <c r="N66" s="3" t="s">
        <v>37</v>
      </c>
      <c r="O66" s="2" t="s">
        <v>33</v>
      </c>
      <c r="P66" s="3" t="s">
        <v>33</v>
      </c>
      <c r="Q66" s="3" t="s">
        <v>33</v>
      </c>
      <c r="R66" s="2" t="s">
        <v>33</v>
      </c>
      <c r="S66" s="3">
        <v>38353</v>
      </c>
      <c r="T66" s="3">
        <v>73050</v>
      </c>
      <c r="U66" s="2" t="s">
        <v>540</v>
      </c>
      <c r="V66" s="2" t="s">
        <v>9</v>
      </c>
      <c r="W66" s="2" t="s">
        <v>9</v>
      </c>
      <c r="X66" s="2" t="s">
        <v>9</v>
      </c>
      <c r="Y66" s="2" t="s">
        <v>9</v>
      </c>
      <c r="Z66" s="2" t="s">
        <v>9</v>
      </c>
      <c r="AA66" s="2" t="s">
        <v>9</v>
      </c>
      <c r="AB66" s="2" t="s">
        <v>9</v>
      </c>
      <c r="AC66" s="2" t="s">
        <v>9</v>
      </c>
      <c r="AD66" s="2" t="s">
        <v>181</v>
      </c>
      <c r="AE66" s="2" t="s">
        <v>171</v>
      </c>
      <c r="AF66" s="2" t="s">
        <v>9</v>
      </c>
    </row>
    <row r="67" spans="1:32" x14ac:dyDescent="0.25">
      <c r="A67" s="2" t="s">
        <v>427</v>
      </c>
      <c r="B67" s="2" t="s">
        <v>168</v>
      </c>
      <c r="C67" s="2" t="s">
        <v>64</v>
      </c>
      <c r="D67" s="2" t="s">
        <v>182</v>
      </c>
      <c r="E67" s="2">
        <v>3</v>
      </c>
      <c r="F67" s="2" t="s">
        <v>9</v>
      </c>
      <c r="G67" s="2" t="s">
        <v>9</v>
      </c>
      <c r="H67" s="2" t="s">
        <v>9</v>
      </c>
      <c r="I67" s="2">
        <v>26.943033</v>
      </c>
      <c r="J67" s="2">
        <v>-80.123350000000002</v>
      </c>
      <c r="K67" s="2" t="s">
        <v>37</v>
      </c>
      <c r="L67" s="2" t="s">
        <v>37</v>
      </c>
      <c r="M67" s="3" t="s">
        <v>33</v>
      </c>
      <c r="N67" s="3" t="s">
        <v>37</v>
      </c>
      <c r="O67" s="2" t="s">
        <v>33</v>
      </c>
      <c r="P67" s="3" t="s">
        <v>33</v>
      </c>
      <c r="Q67" s="3" t="s">
        <v>33</v>
      </c>
      <c r="R67" s="2" t="s">
        <v>33</v>
      </c>
      <c r="S67" s="3">
        <v>38397</v>
      </c>
      <c r="T67" s="3">
        <v>38874</v>
      </c>
      <c r="U67" s="2" t="s">
        <v>540</v>
      </c>
      <c r="V67" s="2" t="s">
        <v>9</v>
      </c>
      <c r="W67" s="2" t="s">
        <v>9</v>
      </c>
      <c r="X67" s="2" t="s">
        <v>9</v>
      </c>
      <c r="Y67" s="2" t="s">
        <v>9</v>
      </c>
      <c r="Z67" s="2" t="s">
        <v>9</v>
      </c>
      <c r="AA67" s="2" t="s">
        <v>9</v>
      </c>
      <c r="AB67" s="2" t="s">
        <v>9</v>
      </c>
      <c r="AC67" s="2" t="s">
        <v>9</v>
      </c>
      <c r="AD67" s="2" t="s">
        <v>183</v>
      </c>
      <c r="AE67" s="2" t="s">
        <v>171</v>
      </c>
      <c r="AF67" s="2" t="s">
        <v>9</v>
      </c>
    </row>
    <row r="68" spans="1:32" x14ac:dyDescent="0.25">
      <c r="A68" s="2" t="s">
        <v>428</v>
      </c>
      <c r="B68" s="2" t="s">
        <v>168</v>
      </c>
      <c r="C68" s="2" t="s">
        <v>64</v>
      </c>
      <c r="D68" s="2" t="s">
        <v>182</v>
      </c>
      <c r="E68" s="2">
        <v>3</v>
      </c>
      <c r="F68" s="2" t="s">
        <v>9</v>
      </c>
      <c r="G68" s="2" t="s">
        <v>9</v>
      </c>
      <c r="H68" s="2" t="s">
        <v>9</v>
      </c>
      <c r="I68" s="2">
        <v>26.942665999999999</v>
      </c>
      <c r="J68" s="2">
        <v>-80.120949999999993</v>
      </c>
      <c r="K68" s="2" t="s">
        <v>37</v>
      </c>
      <c r="L68" s="2" t="s">
        <v>37</v>
      </c>
      <c r="M68" s="3" t="s">
        <v>33</v>
      </c>
      <c r="N68" s="3" t="s">
        <v>37</v>
      </c>
      <c r="O68" s="2" t="s">
        <v>33</v>
      </c>
      <c r="P68" s="3" t="s">
        <v>33</v>
      </c>
      <c r="Q68" s="3" t="s">
        <v>33</v>
      </c>
      <c r="R68" s="2" t="s">
        <v>33</v>
      </c>
      <c r="S68" s="3">
        <v>38874</v>
      </c>
      <c r="T68" s="3">
        <v>73050</v>
      </c>
      <c r="U68" s="2" t="s">
        <v>540</v>
      </c>
      <c r="V68" s="2" t="s">
        <v>9</v>
      </c>
      <c r="W68" s="2" t="s">
        <v>9</v>
      </c>
      <c r="X68" s="2" t="s">
        <v>9</v>
      </c>
      <c r="Y68" s="2" t="s">
        <v>9</v>
      </c>
      <c r="Z68" s="2" t="s">
        <v>9</v>
      </c>
      <c r="AA68" s="2" t="s">
        <v>9</v>
      </c>
      <c r="AB68" s="2" t="s">
        <v>9</v>
      </c>
      <c r="AC68" s="2" t="s">
        <v>9</v>
      </c>
      <c r="AD68" s="2" t="s">
        <v>183</v>
      </c>
      <c r="AE68" s="2" t="s">
        <v>171</v>
      </c>
      <c r="AF68" s="2" t="s">
        <v>9</v>
      </c>
    </row>
    <row r="69" spans="1:32" x14ac:dyDescent="0.25">
      <c r="A69" s="2" t="s">
        <v>429</v>
      </c>
      <c r="B69" s="2" t="s">
        <v>184</v>
      </c>
      <c r="C69" s="2" t="s">
        <v>185</v>
      </c>
      <c r="D69" s="2" t="s">
        <v>186</v>
      </c>
      <c r="E69" s="2">
        <v>1</v>
      </c>
      <c r="F69" s="2" t="s">
        <v>9</v>
      </c>
      <c r="G69" s="2" t="s">
        <v>9</v>
      </c>
      <c r="H69" s="2" t="s">
        <v>9</v>
      </c>
      <c r="I69" s="2">
        <v>28.931000000000001</v>
      </c>
      <c r="J69" s="2">
        <v>-80.831282999999999</v>
      </c>
      <c r="K69" s="2" t="s">
        <v>37</v>
      </c>
      <c r="L69" s="2" t="s">
        <v>37</v>
      </c>
      <c r="M69" s="3" t="s">
        <v>33</v>
      </c>
      <c r="N69" s="3" t="s">
        <v>37</v>
      </c>
      <c r="O69" s="2" t="s">
        <v>33</v>
      </c>
      <c r="P69" s="3" t="s">
        <v>33</v>
      </c>
      <c r="Q69" s="3" t="s">
        <v>33</v>
      </c>
      <c r="R69" s="2" t="s">
        <v>33</v>
      </c>
      <c r="S69" s="3">
        <v>38377</v>
      </c>
      <c r="T69" s="3">
        <v>39485</v>
      </c>
      <c r="U69" s="2" t="s">
        <v>540</v>
      </c>
      <c r="V69" s="2" t="s">
        <v>9</v>
      </c>
      <c r="W69" s="2" t="s">
        <v>9</v>
      </c>
      <c r="X69" s="2" t="s">
        <v>9</v>
      </c>
      <c r="Y69" s="2" t="s">
        <v>9</v>
      </c>
      <c r="Z69" s="2" t="s">
        <v>9</v>
      </c>
      <c r="AA69" s="2" t="s">
        <v>9</v>
      </c>
      <c r="AB69" s="2" t="s">
        <v>9</v>
      </c>
      <c r="AC69" s="2" t="s">
        <v>9</v>
      </c>
      <c r="AD69" s="2" t="s">
        <v>187</v>
      </c>
      <c r="AE69" s="2" t="s">
        <v>188</v>
      </c>
      <c r="AF69" s="2" t="s">
        <v>9</v>
      </c>
    </row>
    <row r="70" spans="1:32" x14ac:dyDescent="0.25">
      <c r="A70" s="2" t="s">
        <v>430</v>
      </c>
      <c r="B70" s="2" t="s">
        <v>184</v>
      </c>
      <c r="C70" s="2" t="s">
        <v>185</v>
      </c>
      <c r="D70" s="2" t="s">
        <v>186</v>
      </c>
      <c r="E70" s="2">
        <v>2</v>
      </c>
      <c r="F70" s="2" t="s">
        <v>9</v>
      </c>
      <c r="G70" s="2" t="s">
        <v>9</v>
      </c>
      <c r="H70" s="2" t="s">
        <v>9</v>
      </c>
      <c r="I70" s="2">
        <v>28.942066000000001</v>
      </c>
      <c r="J70" s="2">
        <v>-80.845500000000001</v>
      </c>
      <c r="K70" s="2" t="s">
        <v>37</v>
      </c>
      <c r="L70" s="2" t="s">
        <v>37</v>
      </c>
      <c r="M70" s="3" t="s">
        <v>33</v>
      </c>
      <c r="N70" s="3" t="s">
        <v>37</v>
      </c>
      <c r="O70" s="2" t="s">
        <v>33</v>
      </c>
      <c r="P70" s="3" t="s">
        <v>33</v>
      </c>
      <c r="Q70" s="3" t="s">
        <v>33</v>
      </c>
      <c r="R70" s="2" t="s">
        <v>33</v>
      </c>
      <c r="S70" s="3">
        <v>38377</v>
      </c>
      <c r="T70" s="3">
        <v>38418</v>
      </c>
      <c r="U70" s="2" t="s">
        <v>540</v>
      </c>
      <c r="V70" s="2" t="s">
        <v>9</v>
      </c>
      <c r="W70" s="2" t="s">
        <v>9</v>
      </c>
      <c r="X70" s="2" t="s">
        <v>9</v>
      </c>
      <c r="Y70" s="2" t="s">
        <v>9</v>
      </c>
      <c r="Z70" s="2" t="s">
        <v>9</v>
      </c>
      <c r="AA70" s="2" t="s">
        <v>9</v>
      </c>
      <c r="AB70" s="2" t="s">
        <v>9</v>
      </c>
      <c r="AC70" s="2" t="s">
        <v>9</v>
      </c>
      <c r="AD70" s="2" t="s">
        <v>189</v>
      </c>
      <c r="AE70" s="2" t="s">
        <v>188</v>
      </c>
      <c r="AF70" s="2" t="s">
        <v>9</v>
      </c>
    </row>
    <row r="71" spans="1:32" x14ac:dyDescent="0.25">
      <c r="A71" s="2" t="s">
        <v>431</v>
      </c>
      <c r="B71" s="2" t="s">
        <v>184</v>
      </c>
      <c r="C71" s="2" t="s">
        <v>185</v>
      </c>
      <c r="D71" s="2" t="s">
        <v>186</v>
      </c>
      <c r="E71" s="2">
        <v>2</v>
      </c>
      <c r="F71" s="2" t="s">
        <v>9</v>
      </c>
      <c r="G71" s="2" t="s">
        <v>9</v>
      </c>
      <c r="H71" s="2" t="s">
        <v>9</v>
      </c>
      <c r="I71" s="2">
        <v>28.939965999999998</v>
      </c>
      <c r="J71" s="2">
        <v>-80.847465999999997</v>
      </c>
      <c r="K71" s="2" t="s">
        <v>37</v>
      </c>
      <c r="L71" s="2" t="s">
        <v>37</v>
      </c>
      <c r="M71" s="3" t="s">
        <v>33</v>
      </c>
      <c r="N71" s="3" t="s">
        <v>37</v>
      </c>
      <c r="O71" s="2" t="s">
        <v>33</v>
      </c>
      <c r="P71" s="3" t="s">
        <v>33</v>
      </c>
      <c r="Q71" s="3" t="s">
        <v>33</v>
      </c>
      <c r="R71" s="2" t="s">
        <v>33</v>
      </c>
      <c r="S71" s="3">
        <v>38418</v>
      </c>
      <c r="T71" s="3">
        <v>39485</v>
      </c>
      <c r="U71" s="2" t="s">
        <v>540</v>
      </c>
      <c r="V71" s="2" t="s">
        <v>9</v>
      </c>
      <c r="W71" s="2" t="s">
        <v>9</v>
      </c>
      <c r="X71" s="2" t="s">
        <v>9</v>
      </c>
      <c r="Y71" s="2" t="s">
        <v>9</v>
      </c>
      <c r="Z71" s="2" t="s">
        <v>9</v>
      </c>
      <c r="AA71" s="2" t="s">
        <v>9</v>
      </c>
      <c r="AB71" s="2" t="s">
        <v>9</v>
      </c>
      <c r="AC71" s="2" t="s">
        <v>9</v>
      </c>
      <c r="AD71" s="2" t="s">
        <v>189</v>
      </c>
      <c r="AE71" s="2" t="s">
        <v>188</v>
      </c>
      <c r="AF71" s="2" t="s">
        <v>9</v>
      </c>
    </row>
    <row r="72" spans="1:32" x14ac:dyDescent="0.25">
      <c r="A72" s="2" t="s">
        <v>432</v>
      </c>
      <c r="B72" s="2" t="s">
        <v>184</v>
      </c>
      <c r="C72" s="2" t="s">
        <v>185</v>
      </c>
      <c r="D72" s="2" t="s">
        <v>186</v>
      </c>
      <c r="E72" s="2">
        <v>3</v>
      </c>
      <c r="F72" s="2" t="s">
        <v>9</v>
      </c>
      <c r="G72" s="2" t="s">
        <v>9</v>
      </c>
      <c r="H72" s="2" t="s">
        <v>9</v>
      </c>
      <c r="I72" s="2">
        <v>28.937733000000001</v>
      </c>
      <c r="J72" s="2">
        <v>-80.846000000000004</v>
      </c>
      <c r="K72" s="2" t="s">
        <v>37</v>
      </c>
      <c r="L72" s="2" t="s">
        <v>37</v>
      </c>
      <c r="M72" s="3" t="s">
        <v>33</v>
      </c>
      <c r="N72" s="3" t="s">
        <v>37</v>
      </c>
      <c r="O72" s="2" t="s">
        <v>33</v>
      </c>
      <c r="P72" s="3" t="s">
        <v>33</v>
      </c>
      <c r="Q72" s="3" t="s">
        <v>33</v>
      </c>
      <c r="R72" s="2" t="s">
        <v>33</v>
      </c>
      <c r="S72" s="3">
        <v>38377</v>
      </c>
      <c r="T72" s="3">
        <v>38418</v>
      </c>
      <c r="U72" s="2" t="s">
        <v>540</v>
      </c>
      <c r="V72" s="2" t="s">
        <v>9</v>
      </c>
      <c r="W72" s="2" t="s">
        <v>9</v>
      </c>
      <c r="X72" s="2" t="s">
        <v>9</v>
      </c>
      <c r="Y72" s="2" t="s">
        <v>9</v>
      </c>
      <c r="Z72" s="2" t="s">
        <v>9</v>
      </c>
      <c r="AA72" s="2" t="s">
        <v>9</v>
      </c>
      <c r="AB72" s="2" t="s">
        <v>9</v>
      </c>
      <c r="AC72" s="2" t="s">
        <v>9</v>
      </c>
      <c r="AD72" s="2" t="s">
        <v>190</v>
      </c>
      <c r="AE72" s="2" t="s">
        <v>188</v>
      </c>
      <c r="AF72" s="2" t="s">
        <v>9</v>
      </c>
    </row>
    <row r="73" spans="1:32" x14ac:dyDescent="0.25">
      <c r="A73" s="2" t="s">
        <v>433</v>
      </c>
      <c r="B73" s="2" t="s">
        <v>184</v>
      </c>
      <c r="C73" s="2" t="s">
        <v>185</v>
      </c>
      <c r="D73" s="2" t="s">
        <v>186</v>
      </c>
      <c r="E73" s="2">
        <v>3</v>
      </c>
      <c r="F73" s="2" t="s">
        <v>9</v>
      </c>
      <c r="G73" s="2" t="s">
        <v>9</v>
      </c>
      <c r="H73" s="2" t="s">
        <v>9</v>
      </c>
      <c r="I73" s="2">
        <v>28.937816000000002</v>
      </c>
      <c r="J73" s="2">
        <v>-80.845916000000003</v>
      </c>
      <c r="K73" s="2" t="s">
        <v>37</v>
      </c>
      <c r="L73" s="2" t="s">
        <v>37</v>
      </c>
      <c r="M73" s="3" t="s">
        <v>33</v>
      </c>
      <c r="N73" s="3" t="s">
        <v>37</v>
      </c>
      <c r="O73" s="2" t="s">
        <v>33</v>
      </c>
      <c r="P73" s="3" t="s">
        <v>33</v>
      </c>
      <c r="Q73" s="3" t="s">
        <v>33</v>
      </c>
      <c r="R73" s="2" t="s">
        <v>33</v>
      </c>
      <c r="S73" s="3">
        <v>38418</v>
      </c>
      <c r="T73" s="3">
        <v>39485</v>
      </c>
      <c r="U73" s="2" t="s">
        <v>540</v>
      </c>
      <c r="V73" s="2" t="s">
        <v>9</v>
      </c>
      <c r="W73" s="2" t="s">
        <v>9</v>
      </c>
      <c r="X73" s="2" t="s">
        <v>9</v>
      </c>
      <c r="Y73" s="2" t="s">
        <v>9</v>
      </c>
      <c r="Z73" s="2" t="s">
        <v>9</v>
      </c>
      <c r="AA73" s="2" t="s">
        <v>9</v>
      </c>
      <c r="AB73" s="2" t="s">
        <v>9</v>
      </c>
      <c r="AC73" s="2" t="s">
        <v>9</v>
      </c>
      <c r="AD73" s="2" t="s">
        <v>190</v>
      </c>
      <c r="AE73" s="2" t="s">
        <v>188</v>
      </c>
      <c r="AF73" s="2" t="s">
        <v>9</v>
      </c>
    </row>
    <row r="74" spans="1:32" x14ac:dyDescent="0.25">
      <c r="A74" s="2" t="s">
        <v>434</v>
      </c>
      <c r="B74" s="2" t="s">
        <v>191</v>
      </c>
      <c r="C74" s="2" t="s">
        <v>55</v>
      </c>
      <c r="D74" s="2" t="s">
        <v>192</v>
      </c>
      <c r="E74" s="2">
        <v>1</v>
      </c>
      <c r="F74" s="2" t="s">
        <v>9</v>
      </c>
      <c r="G74" s="2" t="s">
        <v>9</v>
      </c>
      <c r="H74" s="2" t="s">
        <v>9</v>
      </c>
      <c r="I74" s="2">
        <v>27.212382999999999</v>
      </c>
      <c r="J74" s="2">
        <v>-80.243315999999993</v>
      </c>
      <c r="K74" s="2" t="s">
        <v>37</v>
      </c>
      <c r="L74" s="2" t="s">
        <v>37</v>
      </c>
      <c r="M74" s="3" t="s">
        <v>33</v>
      </c>
      <c r="N74" s="3" t="s">
        <v>37</v>
      </c>
      <c r="O74" s="2" t="s">
        <v>33</v>
      </c>
      <c r="P74" s="3" t="s">
        <v>33</v>
      </c>
      <c r="Q74" s="3" t="s">
        <v>37</v>
      </c>
      <c r="R74" s="2" t="s">
        <v>33</v>
      </c>
      <c r="S74" s="3">
        <v>38353</v>
      </c>
      <c r="T74" s="3">
        <v>73050</v>
      </c>
      <c r="U74" s="2" t="s">
        <v>540</v>
      </c>
      <c r="V74" s="2" t="s">
        <v>9</v>
      </c>
      <c r="W74" s="2" t="s">
        <v>9</v>
      </c>
      <c r="X74" s="2" t="s">
        <v>9</v>
      </c>
      <c r="Y74" s="2" t="s">
        <v>9</v>
      </c>
      <c r="Z74" s="2" t="s">
        <v>9</v>
      </c>
      <c r="AA74" s="2" t="s">
        <v>9</v>
      </c>
      <c r="AB74" s="2" t="s">
        <v>9</v>
      </c>
      <c r="AC74" s="2" t="s">
        <v>9</v>
      </c>
      <c r="AD74" s="2" t="s">
        <v>193</v>
      </c>
      <c r="AE74" s="2" t="s">
        <v>194</v>
      </c>
      <c r="AF74" s="2" t="s">
        <v>9</v>
      </c>
    </row>
    <row r="75" spans="1:32" x14ac:dyDescent="0.25">
      <c r="A75" s="2" t="s">
        <v>435</v>
      </c>
      <c r="B75" s="2" t="s">
        <v>191</v>
      </c>
      <c r="C75" s="2" t="s">
        <v>55</v>
      </c>
      <c r="D75" s="2" t="s">
        <v>195</v>
      </c>
      <c r="E75" s="2">
        <v>2</v>
      </c>
      <c r="F75" s="2" t="s">
        <v>9</v>
      </c>
      <c r="G75" s="2" t="s">
        <v>9</v>
      </c>
      <c r="H75" s="2" t="s">
        <v>9</v>
      </c>
      <c r="I75" s="2">
        <v>27.201450000000001</v>
      </c>
      <c r="J75" s="2">
        <v>-80.241550000000004</v>
      </c>
      <c r="K75" s="2" t="s">
        <v>37</v>
      </c>
      <c r="L75" s="2" t="s">
        <v>37</v>
      </c>
      <c r="M75" s="3" t="s">
        <v>33</v>
      </c>
      <c r="N75" s="3" t="s">
        <v>37</v>
      </c>
      <c r="O75" s="2" t="s">
        <v>33</v>
      </c>
      <c r="P75" s="3" t="s">
        <v>33</v>
      </c>
      <c r="Q75" s="3" t="s">
        <v>33</v>
      </c>
      <c r="R75" s="2" t="s">
        <v>33</v>
      </c>
      <c r="S75" s="3">
        <v>38353</v>
      </c>
      <c r="T75" s="3">
        <v>73050</v>
      </c>
      <c r="U75" s="2" t="s">
        <v>540</v>
      </c>
      <c r="V75" s="2" t="s">
        <v>9</v>
      </c>
      <c r="W75" s="2" t="s">
        <v>9</v>
      </c>
      <c r="X75" s="2" t="s">
        <v>9</v>
      </c>
      <c r="Y75" s="2" t="s">
        <v>9</v>
      </c>
      <c r="Z75" s="2" t="s">
        <v>9</v>
      </c>
      <c r="AA75" s="2" t="s">
        <v>9</v>
      </c>
      <c r="AB75" s="2" t="s">
        <v>9</v>
      </c>
      <c r="AC75" s="2" t="s">
        <v>9</v>
      </c>
      <c r="AD75" s="2" t="s">
        <v>196</v>
      </c>
      <c r="AE75" s="2" t="s">
        <v>194</v>
      </c>
      <c r="AF75" s="2" t="s">
        <v>9</v>
      </c>
    </row>
    <row r="76" spans="1:32" x14ac:dyDescent="0.25">
      <c r="A76" s="2" t="s">
        <v>436</v>
      </c>
      <c r="B76" s="2" t="s">
        <v>191</v>
      </c>
      <c r="C76" s="2" t="s">
        <v>55</v>
      </c>
      <c r="D76" s="2" t="s">
        <v>197</v>
      </c>
      <c r="E76" s="2">
        <v>3</v>
      </c>
      <c r="F76" s="2" t="s">
        <v>9</v>
      </c>
      <c r="G76" s="2" t="s">
        <v>9</v>
      </c>
      <c r="H76" s="2" t="s">
        <v>9</v>
      </c>
      <c r="I76" s="2">
        <v>27.201599999999999</v>
      </c>
      <c r="J76" s="2">
        <v>-80.2547</v>
      </c>
      <c r="K76" s="2" t="s">
        <v>37</v>
      </c>
      <c r="L76" s="2" t="s">
        <v>37</v>
      </c>
      <c r="M76" s="3" t="s">
        <v>33</v>
      </c>
      <c r="N76" s="3" t="s">
        <v>37</v>
      </c>
      <c r="O76" s="2" t="s">
        <v>33</v>
      </c>
      <c r="P76" s="3" t="s">
        <v>33</v>
      </c>
      <c r="Q76" s="3" t="s">
        <v>33</v>
      </c>
      <c r="R76" s="2" t="s">
        <v>33</v>
      </c>
      <c r="S76" s="3">
        <v>38353</v>
      </c>
      <c r="T76" s="3">
        <v>73050</v>
      </c>
      <c r="U76" s="2" t="s">
        <v>540</v>
      </c>
      <c r="V76" s="2" t="s">
        <v>9</v>
      </c>
      <c r="W76" s="2" t="s">
        <v>9</v>
      </c>
      <c r="X76" s="2" t="s">
        <v>9</v>
      </c>
      <c r="Y76" s="2" t="s">
        <v>9</v>
      </c>
      <c r="Z76" s="2" t="s">
        <v>9</v>
      </c>
      <c r="AA76" s="2" t="s">
        <v>9</v>
      </c>
      <c r="AB76" s="2" t="s">
        <v>9</v>
      </c>
      <c r="AC76" s="2" t="s">
        <v>9</v>
      </c>
      <c r="AD76" s="2" t="s">
        <v>198</v>
      </c>
      <c r="AE76" s="2" t="s">
        <v>194</v>
      </c>
      <c r="AF76" s="2" t="s">
        <v>9</v>
      </c>
    </row>
    <row r="77" spans="1:32" x14ac:dyDescent="0.25">
      <c r="A77" s="2" t="s">
        <v>437</v>
      </c>
      <c r="B77" s="2" t="s">
        <v>191</v>
      </c>
      <c r="C77" s="2" t="s">
        <v>90</v>
      </c>
      <c r="D77" s="2" t="s">
        <v>199</v>
      </c>
      <c r="E77" s="2">
        <v>1</v>
      </c>
      <c r="F77" s="2" t="s">
        <v>9</v>
      </c>
      <c r="G77" s="2" t="s">
        <v>9</v>
      </c>
      <c r="H77" s="2" t="s">
        <v>9</v>
      </c>
      <c r="I77" s="2">
        <v>27.203749999999999</v>
      </c>
      <c r="J77" s="2">
        <v>-80.227549999999994</v>
      </c>
      <c r="K77" s="2" t="s">
        <v>37</v>
      </c>
      <c r="L77" s="2" t="s">
        <v>37</v>
      </c>
      <c r="M77" s="3" t="s">
        <v>33</v>
      </c>
      <c r="N77" s="3" t="s">
        <v>37</v>
      </c>
      <c r="O77" s="2" t="s">
        <v>33</v>
      </c>
      <c r="P77" s="3" t="s">
        <v>33</v>
      </c>
      <c r="Q77" s="3" t="s">
        <v>33</v>
      </c>
      <c r="R77" s="2" t="s">
        <v>33</v>
      </c>
      <c r="S77" s="3">
        <v>40051</v>
      </c>
      <c r="T77" s="3">
        <v>40821</v>
      </c>
      <c r="U77" s="2" t="s">
        <v>540</v>
      </c>
      <c r="V77" s="2" t="s">
        <v>9</v>
      </c>
      <c r="W77" s="2" t="s">
        <v>9</v>
      </c>
      <c r="X77" s="2" t="s">
        <v>9</v>
      </c>
      <c r="Y77" s="2" t="s">
        <v>9</v>
      </c>
      <c r="Z77" s="2" t="s">
        <v>9</v>
      </c>
      <c r="AA77" s="2" t="s">
        <v>9</v>
      </c>
      <c r="AB77" s="2" t="s">
        <v>571</v>
      </c>
      <c r="AC77" s="2" t="s">
        <v>572</v>
      </c>
      <c r="AD77" s="2" t="s">
        <v>200</v>
      </c>
      <c r="AE77" s="2" t="s">
        <v>194</v>
      </c>
      <c r="AF77" s="2" t="s">
        <v>9</v>
      </c>
    </row>
    <row r="78" spans="1:32" x14ac:dyDescent="0.25">
      <c r="A78" s="2" t="s">
        <v>438</v>
      </c>
      <c r="B78" s="2" t="s">
        <v>191</v>
      </c>
      <c r="C78" s="2" t="s">
        <v>90</v>
      </c>
      <c r="D78" s="2" t="s">
        <v>201</v>
      </c>
      <c r="E78" s="2">
        <v>2</v>
      </c>
      <c r="F78" s="2" t="s">
        <v>9</v>
      </c>
      <c r="G78" s="2" t="s">
        <v>9</v>
      </c>
      <c r="H78" s="2" t="s">
        <v>9</v>
      </c>
      <c r="I78" s="2">
        <v>27.170815999999999</v>
      </c>
      <c r="J78" s="2">
        <v>-80.20205</v>
      </c>
      <c r="K78" s="2" t="s">
        <v>37</v>
      </c>
      <c r="L78" s="2" t="s">
        <v>37</v>
      </c>
      <c r="M78" s="3" t="s">
        <v>33</v>
      </c>
      <c r="N78" s="3" t="s">
        <v>37</v>
      </c>
      <c r="O78" s="2" t="s">
        <v>33</v>
      </c>
      <c r="P78" s="3" t="s">
        <v>33</v>
      </c>
      <c r="Q78" s="3" t="s">
        <v>33</v>
      </c>
      <c r="R78" s="2" t="s">
        <v>33</v>
      </c>
      <c r="S78" s="3">
        <v>40051</v>
      </c>
      <c r="T78" s="3">
        <v>40821</v>
      </c>
      <c r="U78" s="2" t="s">
        <v>540</v>
      </c>
      <c r="V78" s="2" t="s">
        <v>9</v>
      </c>
      <c r="W78" s="2" t="s">
        <v>9</v>
      </c>
      <c r="X78" s="2" t="s">
        <v>9</v>
      </c>
      <c r="Y78" s="2" t="s">
        <v>9</v>
      </c>
      <c r="Z78" s="2" t="s">
        <v>9</v>
      </c>
      <c r="AA78" s="2" t="s">
        <v>9</v>
      </c>
      <c r="AB78" s="2" t="s">
        <v>573</v>
      </c>
      <c r="AC78" s="2" t="s">
        <v>572</v>
      </c>
      <c r="AD78" s="2" t="s">
        <v>202</v>
      </c>
      <c r="AE78" s="2" t="s">
        <v>194</v>
      </c>
      <c r="AF78" s="2" t="s">
        <v>9</v>
      </c>
    </row>
    <row r="79" spans="1:32" x14ac:dyDescent="0.25">
      <c r="A79" s="2" t="s">
        <v>439</v>
      </c>
      <c r="B79" s="2" t="s">
        <v>191</v>
      </c>
      <c r="C79" s="2" t="s">
        <v>87</v>
      </c>
      <c r="D79" s="2" t="s">
        <v>203</v>
      </c>
      <c r="E79" s="2">
        <v>1</v>
      </c>
      <c r="F79" s="2" t="s">
        <v>9</v>
      </c>
      <c r="G79" s="2" t="s">
        <v>9</v>
      </c>
      <c r="H79" s="2" t="s">
        <v>9</v>
      </c>
      <c r="I79" s="2">
        <v>27.201466</v>
      </c>
      <c r="J79" s="2">
        <v>-80.234966</v>
      </c>
      <c r="K79" s="2" t="s">
        <v>37</v>
      </c>
      <c r="L79" s="2" t="s">
        <v>37</v>
      </c>
      <c r="M79" s="3" t="s">
        <v>33</v>
      </c>
      <c r="N79" s="3" t="s">
        <v>37</v>
      </c>
      <c r="O79" s="2" t="s">
        <v>33</v>
      </c>
      <c r="P79" s="3" t="s">
        <v>33</v>
      </c>
      <c r="Q79" s="3" t="s">
        <v>33</v>
      </c>
      <c r="R79" s="2" t="s">
        <v>33</v>
      </c>
      <c r="S79" s="3">
        <v>41275</v>
      </c>
      <c r="T79" s="3">
        <v>43465</v>
      </c>
      <c r="U79" s="2" t="s">
        <v>540</v>
      </c>
      <c r="V79" s="2" t="s">
        <v>9</v>
      </c>
      <c r="W79" s="2" t="s">
        <v>9</v>
      </c>
      <c r="X79" s="2" t="s">
        <v>9</v>
      </c>
      <c r="Y79" s="2" t="s">
        <v>9</v>
      </c>
      <c r="Z79" s="2" t="s">
        <v>9</v>
      </c>
      <c r="AA79" s="2" t="s">
        <v>9</v>
      </c>
      <c r="AB79" s="2" t="s">
        <v>9</v>
      </c>
      <c r="AC79" s="2" t="s">
        <v>574</v>
      </c>
      <c r="AD79" s="2" t="s">
        <v>204</v>
      </c>
      <c r="AE79" s="2" t="s">
        <v>194</v>
      </c>
      <c r="AF79" s="2" t="s">
        <v>9</v>
      </c>
    </row>
    <row r="80" spans="1:32" x14ac:dyDescent="0.25">
      <c r="A80" s="2" t="s">
        <v>440</v>
      </c>
      <c r="B80" s="2" t="s">
        <v>191</v>
      </c>
      <c r="C80" s="2" t="s">
        <v>33</v>
      </c>
      <c r="D80" s="2" t="s">
        <v>205</v>
      </c>
      <c r="E80" s="2">
        <v>1</v>
      </c>
      <c r="F80" s="2" t="s">
        <v>9</v>
      </c>
      <c r="G80" s="2" t="s">
        <v>9</v>
      </c>
      <c r="H80" s="2" t="s">
        <v>9</v>
      </c>
      <c r="I80" s="2">
        <v>27.220533</v>
      </c>
      <c r="J80" s="2">
        <v>-80.278949999999995</v>
      </c>
      <c r="K80" s="2" t="s">
        <v>37</v>
      </c>
      <c r="L80" s="2" t="s">
        <v>37</v>
      </c>
      <c r="M80" s="3" t="s">
        <v>33</v>
      </c>
      <c r="N80" s="3" t="s">
        <v>37</v>
      </c>
      <c r="O80" s="2" t="s">
        <v>33</v>
      </c>
      <c r="P80" s="3" t="s">
        <v>33</v>
      </c>
      <c r="Q80" s="3" t="s">
        <v>33</v>
      </c>
      <c r="R80" s="2" t="s">
        <v>33</v>
      </c>
      <c r="S80" s="3">
        <v>38353</v>
      </c>
      <c r="T80" s="3">
        <v>73050</v>
      </c>
      <c r="U80" s="2" t="s">
        <v>540</v>
      </c>
      <c r="V80" s="2" t="s">
        <v>9</v>
      </c>
      <c r="W80" s="2" t="s">
        <v>9</v>
      </c>
      <c r="X80" s="2" t="s">
        <v>9</v>
      </c>
      <c r="Y80" s="2" t="s">
        <v>9</v>
      </c>
      <c r="Z80" s="2" t="s">
        <v>9</v>
      </c>
      <c r="AA80" s="2" t="s">
        <v>9</v>
      </c>
      <c r="AB80" s="2" t="s">
        <v>9</v>
      </c>
      <c r="AC80" s="2" t="s">
        <v>9</v>
      </c>
      <c r="AD80" s="2" t="s">
        <v>206</v>
      </c>
      <c r="AE80" s="2" t="s">
        <v>194</v>
      </c>
      <c r="AF80" s="2" t="s">
        <v>9</v>
      </c>
    </row>
    <row r="81" spans="1:32" x14ac:dyDescent="0.25">
      <c r="A81" s="2" t="s">
        <v>441</v>
      </c>
      <c r="B81" s="2" t="s">
        <v>191</v>
      </c>
      <c r="C81" s="2" t="s">
        <v>33</v>
      </c>
      <c r="D81" s="2" t="s">
        <v>207</v>
      </c>
      <c r="E81" s="2">
        <v>2</v>
      </c>
      <c r="F81" s="2" t="s">
        <v>9</v>
      </c>
      <c r="G81" s="2" t="s">
        <v>9</v>
      </c>
      <c r="H81" s="2" t="s">
        <v>9</v>
      </c>
      <c r="I81" s="2">
        <v>27.211433</v>
      </c>
      <c r="J81" s="2">
        <v>-80.264099999999999</v>
      </c>
      <c r="K81" s="2" t="s">
        <v>37</v>
      </c>
      <c r="L81" s="2" t="s">
        <v>37</v>
      </c>
      <c r="M81" s="3" t="s">
        <v>33</v>
      </c>
      <c r="N81" s="3" t="s">
        <v>37</v>
      </c>
      <c r="O81" s="2" t="s">
        <v>33</v>
      </c>
      <c r="P81" s="3" t="s">
        <v>33</v>
      </c>
      <c r="Q81" s="3" t="s">
        <v>33</v>
      </c>
      <c r="R81" s="2" t="s">
        <v>33</v>
      </c>
      <c r="S81" s="3">
        <v>38353</v>
      </c>
      <c r="T81" s="3">
        <v>73050</v>
      </c>
      <c r="U81" s="2" t="s">
        <v>540</v>
      </c>
      <c r="V81" s="2" t="s">
        <v>9</v>
      </c>
      <c r="W81" s="2" t="s">
        <v>9</v>
      </c>
      <c r="X81" s="2" t="s">
        <v>9</v>
      </c>
      <c r="Y81" s="2" t="s">
        <v>9</v>
      </c>
      <c r="Z81" s="2" t="s">
        <v>9</v>
      </c>
      <c r="AA81" s="2" t="s">
        <v>9</v>
      </c>
      <c r="AB81" s="2" t="s">
        <v>9</v>
      </c>
      <c r="AC81" s="2" t="s">
        <v>9</v>
      </c>
      <c r="AD81" s="2" t="s">
        <v>208</v>
      </c>
      <c r="AE81" s="2" t="s">
        <v>194</v>
      </c>
      <c r="AF81" s="2" t="s">
        <v>9</v>
      </c>
    </row>
    <row r="82" spans="1:32" x14ac:dyDescent="0.25">
      <c r="A82" s="2" t="s">
        <v>442</v>
      </c>
      <c r="B82" s="2" t="s">
        <v>191</v>
      </c>
      <c r="C82" s="2" t="s">
        <v>33</v>
      </c>
      <c r="D82" s="2" t="s">
        <v>209</v>
      </c>
      <c r="E82" s="2">
        <v>3</v>
      </c>
      <c r="F82" s="2" t="s">
        <v>9</v>
      </c>
      <c r="G82" s="2" t="s">
        <v>9</v>
      </c>
      <c r="H82" s="2" t="s">
        <v>9</v>
      </c>
      <c r="I82" s="2">
        <v>27.206199999999999</v>
      </c>
      <c r="J82" s="2">
        <v>-80.275733000000002</v>
      </c>
      <c r="K82" s="2" t="s">
        <v>37</v>
      </c>
      <c r="L82" s="2" t="s">
        <v>37</v>
      </c>
      <c r="M82" s="3" t="s">
        <v>33</v>
      </c>
      <c r="N82" s="3" t="s">
        <v>37</v>
      </c>
      <c r="O82" s="2" t="s">
        <v>33</v>
      </c>
      <c r="P82" s="3" t="s">
        <v>33</v>
      </c>
      <c r="Q82" s="3" t="s">
        <v>33</v>
      </c>
      <c r="R82" s="2" t="s">
        <v>33</v>
      </c>
      <c r="S82" s="3">
        <v>38406</v>
      </c>
      <c r="T82" s="3">
        <v>38657</v>
      </c>
      <c r="U82" s="2" t="s">
        <v>540</v>
      </c>
      <c r="V82" s="2" t="s">
        <v>9</v>
      </c>
      <c r="W82" s="2" t="s">
        <v>9</v>
      </c>
      <c r="X82" s="2" t="s">
        <v>9</v>
      </c>
      <c r="Y82" s="2" t="s">
        <v>9</v>
      </c>
      <c r="Z82" s="2" t="s">
        <v>9</v>
      </c>
      <c r="AA82" s="2" t="s">
        <v>9</v>
      </c>
      <c r="AB82" s="2" t="s">
        <v>9</v>
      </c>
      <c r="AC82" s="2" t="s">
        <v>9</v>
      </c>
      <c r="AD82" s="2" t="s">
        <v>210</v>
      </c>
      <c r="AE82" s="2" t="s">
        <v>194</v>
      </c>
      <c r="AF82" s="2" t="s">
        <v>9</v>
      </c>
    </row>
    <row r="83" spans="1:32" x14ac:dyDescent="0.25">
      <c r="A83" s="2" t="s">
        <v>443</v>
      </c>
      <c r="B83" s="2" t="s">
        <v>191</v>
      </c>
      <c r="C83" s="2" t="s">
        <v>33</v>
      </c>
      <c r="D83" s="2" t="s">
        <v>209</v>
      </c>
      <c r="E83" s="2">
        <v>3</v>
      </c>
      <c r="F83" s="2" t="s">
        <v>9</v>
      </c>
      <c r="G83" s="2" t="s">
        <v>9</v>
      </c>
      <c r="H83" s="2" t="s">
        <v>9</v>
      </c>
      <c r="I83" s="2">
        <v>27.207650000000001</v>
      </c>
      <c r="J83" s="2">
        <v>-80.284532999999996</v>
      </c>
      <c r="K83" s="2" t="s">
        <v>37</v>
      </c>
      <c r="L83" s="2" t="s">
        <v>37</v>
      </c>
      <c r="M83" s="3" t="s">
        <v>33</v>
      </c>
      <c r="N83" s="3" t="s">
        <v>37</v>
      </c>
      <c r="O83" s="2" t="s">
        <v>33</v>
      </c>
      <c r="P83" s="3" t="s">
        <v>33</v>
      </c>
      <c r="Q83" s="3" t="s">
        <v>33</v>
      </c>
      <c r="R83" s="2" t="s">
        <v>33</v>
      </c>
      <c r="S83" s="3">
        <v>38657</v>
      </c>
      <c r="T83" s="3">
        <v>73050</v>
      </c>
      <c r="U83" s="2" t="s">
        <v>540</v>
      </c>
      <c r="V83" s="2" t="s">
        <v>9</v>
      </c>
      <c r="W83" s="2" t="s">
        <v>9</v>
      </c>
      <c r="X83" s="2" t="s">
        <v>9</v>
      </c>
      <c r="Y83" s="2" t="s">
        <v>9</v>
      </c>
      <c r="Z83" s="2" t="s">
        <v>9</v>
      </c>
      <c r="AA83" s="2" t="s">
        <v>9</v>
      </c>
      <c r="AB83" s="2" t="s">
        <v>9</v>
      </c>
      <c r="AC83" s="2" t="s">
        <v>9</v>
      </c>
      <c r="AD83" s="2" t="s">
        <v>210</v>
      </c>
      <c r="AE83" s="2" t="s">
        <v>194</v>
      </c>
      <c r="AF83" s="2" t="s">
        <v>9</v>
      </c>
    </row>
    <row r="84" spans="1:32" x14ac:dyDescent="0.25">
      <c r="A84" s="2" t="s">
        <v>444</v>
      </c>
      <c r="B84" s="2" t="s">
        <v>191</v>
      </c>
      <c r="C84" s="2" t="s">
        <v>88</v>
      </c>
      <c r="D84" s="2" t="s">
        <v>211</v>
      </c>
      <c r="E84" s="2">
        <v>1</v>
      </c>
      <c r="F84" s="2" t="s">
        <v>9</v>
      </c>
      <c r="G84" s="2" t="s">
        <v>9</v>
      </c>
      <c r="H84" s="2" t="s">
        <v>9</v>
      </c>
      <c r="I84" s="2">
        <v>27.215699999999998</v>
      </c>
      <c r="J84" s="2">
        <v>-80.232399999999998</v>
      </c>
      <c r="K84" s="2" t="s">
        <v>37</v>
      </c>
      <c r="L84" s="2" t="s">
        <v>37</v>
      </c>
      <c r="M84" s="3" t="s">
        <v>33</v>
      </c>
      <c r="N84" s="3" t="s">
        <v>37</v>
      </c>
      <c r="O84" s="2" t="s">
        <v>33</v>
      </c>
      <c r="P84" s="3" t="s">
        <v>33</v>
      </c>
      <c r="Q84" s="3" t="s">
        <v>33</v>
      </c>
      <c r="R84" s="2" t="s">
        <v>33</v>
      </c>
      <c r="S84" s="3">
        <v>40127</v>
      </c>
      <c r="T84" s="3">
        <v>40821</v>
      </c>
      <c r="U84" s="2" t="s">
        <v>540</v>
      </c>
      <c r="V84" s="2" t="s">
        <v>9</v>
      </c>
      <c r="W84" s="2" t="s">
        <v>9</v>
      </c>
      <c r="X84" s="2" t="s">
        <v>9</v>
      </c>
      <c r="Y84" s="2" t="s">
        <v>9</v>
      </c>
      <c r="Z84" s="2" t="s">
        <v>9</v>
      </c>
      <c r="AA84" s="2" t="s">
        <v>9</v>
      </c>
      <c r="AB84" s="2" t="s">
        <v>575</v>
      </c>
      <c r="AC84" s="2" t="s">
        <v>570</v>
      </c>
      <c r="AD84" s="2" t="s">
        <v>212</v>
      </c>
      <c r="AE84" s="2" t="s">
        <v>194</v>
      </c>
      <c r="AF84" s="2" t="s">
        <v>9</v>
      </c>
    </row>
    <row r="85" spans="1:32" x14ac:dyDescent="0.25">
      <c r="A85" s="2" t="s">
        <v>445</v>
      </c>
      <c r="B85" s="2" t="s">
        <v>191</v>
      </c>
      <c r="C85" s="2" t="s">
        <v>88</v>
      </c>
      <c r="D85" s="2" t="s">
        <v>213</v>
      </c>
      <c r="E85" s="2">
        <v>2</v>
      </c>
      <c r="F85" s="2" t="s">
        <v>9</v>
      </c>
      <c r="G85" s="2" t="s">
        <v>9</v>
      </c>
      <c r="H85" s="2" t="s">
        <v>9</v>
      </c>
      <c r="I85" s="2">
        <v>27.202383000000001</v>
      </c>
      <c r="J85" s="2">
        <v>-80.252350000000007</v>
      </c>
      <c r="K85" s="2" t="s">
        <v>37</v>
      </c>
      <c r="L85" s="2" t="s">
        <v>37</v>
      </c>
      <c r="M85" s="3" t="s">
        <v>33</v>
      </c>
      <c r="N85" s="3" t="s">
        <v>37</v>
      </c>
      <c r="O85" s="2" t="s">
        <v>33</v>
      </c>
      <c r="P85" s="3" t="s">
        <v>33</v>
      </c>
      <c r="Q85" s="3" t="s">
        <v>33</v>
      </c>
      <c r="R85" s="2" t="s">
        <v>33</v>
      </c>
      <c r="S85" s="3">
        <v>40127</v>
      </c>
      <c r="T85" s="3">
        <v>40821</v>
      </c>
      <c r="U85" s="2" t="s">
        <v>540</v>
      </c>
      <c r="V85" s="2" t="s">
        <v>9</v>
      </c>
      <c r="W85" s="2" t="s">
        <v>9</v>
      </c>
      <c r="X85" s="2" t="s">
        <v>9</v>
      </c>
      <c r="Y85" s="2" t="s">
        <v>9</v>
      </c>
      <c r="Z85" s="2" t="s">
        <v>9</v>
      </c>
      <c r="AA85" s="2" t="s">
        <v>9</v>
      </c>
      <c r="AB85" s="2" t="s">
        <v>576</v>
      </c>
      <c r="AC85" s="2" t="s">
        <v>570</v>
      </c>
      <c r="AD85" s="2" t="s">
        <v>214</v>
      </c>
      <c r="AE85" s="2" t="s">
        <v>194</v>
      </c>
      <c r="AF85" s="2" t="s">
        <v>9</v>
      </c>
    </row>
    <row r="86" spans="1:32" x14ac:dyDescent="0.25">
      <c r="A86" s="2" t="s">
        <v>446</v>
      </c>
      <c r="B86" s="2" t="s">
        <v>191</v>
      </c>
      <c r="C86" s="2" t="s">
        <v>88</v>
      </c>
      <c r="D86" s="2" t="s">
        <v>215</v>
      </c>
      <c r="E86" s="2">
        <v>3</v>
      </c>
      <c r="F86" s="2" t="s">
        <v>9</v>
      </c>
      <c r="G86" s="2" t="s">
        <v>9</v>
      </c>
      <c r="H86" s="2" t="s">
        <v>9</v>
      </c>
      <c r="I86" s="2">
        <v>27.181616000000002</v>
      </c>
      <c r="J86" s="2">
        <v>-80.197965999999994</v>
      </c>
      <c r="K86" s="2" t="s">
        <v>37</v>
      </c>
      <c r="L86" s="2" t="s">
        <v>37</v>
      </c>
      <c r="M86" s="3" t="s">
        <v>33</v>
      </c>
      <c r="N86" s="3" t="s">
        <v>37</v>
      </c>
      <c r="O86" s="2" t="s">
        <v>33</v>
      </c>
      <c r="P86" s="3" t="s">
        <v>33</v>
      </c>
      <c r="Q86" s="3" t="s">
        <v>33</v>
      </c>
      <c r="R86" s="2" t="s">
        <v>33</v>
      </c>
      <c r="S86" s="3">
        <v>40211</v>
      </c>
      <c r="T86" s="3">
        <v>40821</v>
      </c>
      <c r="U86" s="2" t="s">
        <v>540</v>
      </c>
      <c r="V86" s="2" t="s">
        <v>9</v>
      </c>
      <c r="W86" s="2" t="s">
        <v>9</v>
      </c>
      <c r="X86" s="2" t="s">
        <v>9</v>
      </c>
      <c r="Y86" s="2" t="s">
        <v>9</v>
      </c>
      <c r="Z86" s="2" t="s">
        <v>9</v>
      </c>
      <c r="AA86" s="2" t="s">
        <v>9</v>
      </c>
      <c r="AB86" s="2" t="s">
        <v>577</v>
      </c>
      <c r="AC86" s="2" t="s">
        <v>570</v>
      </c>
      <c r="AD86" s="2" t="s">
        <v>216</v>
      </c>
      <c r="AE86" s="2" t="s">
        <v>194</v>
      </c>
      <c r="AF86" s="2" t="s">
        <v>9</v>
      </c>
    </row>
    <row r="87" spans="1:32" x14ac:dyDescent="0.25">
      <c r="A87" s="2" t="s">
        <v>447</v>
      </c>
      <c r="B87" s="2" t="s">
        <v>191</v>
      </c>
      <c r="C87" s="2" t="s">
        <v>88</v>
      </c>
      <c r="D87" s="2" t="s">
        <v>217</v>
      </c>
      <c r="E87" s="2">
        <v>4</v>
      </c>
      <c r="F87" s="2" t="s">
        <v>9</v>
      </c>
      <c r="G87" s="2" t="s">
        <v>9</v>
      </c>
      <c r="H87" s="2" t="s">
        <v>9</v>
      </c>
      <c r="I87" s="2">
        <v>27.209700000000002</v>
      </c>
      <c r="J87" s="2">
        <v>-80.283133000000007</v>
      </c>
      <c r="K87" s="2" t="s">
        <v>37</v>
      </c>
      <c r="L87" s="2" t="s">
        <v>37</v>
      </c>
      <c r="M87" s="3" t="s">
        <v>33</v>
      </c>
      <c r="N87" s="3" t="s">
        <v>37</v>
      </c>
      <c r="O87" s="2" t="s">
        <v>33</v>
      </c>
      <c r="P87" s="3" t="s">
        <v>33</v>
      </c>
      <c r="Q87" s="3" t="s">
        <v>33</v>
      </c>
      <c r="R87" s="2" t="s">
        <v>33</v>
      </c>
      <c r="S87" s="3">
        <v>40211</v>
      </c>
      <c r="T87" s="3">
        <v>40822</v>
      </c>
      <c r="U87" s="2" t="s">
        <v>540</v>
      </c>
      <c r="V87" s="2" t="s">
        <v>9</v>
      </c>
      <c r="W87" s="2" t="s">
        <v>9</v>
      </c>
      <c r="X87" s="2" t="s">
        <v>9</v>
      </c>
      <c r="Y87" s="2" t="s">
        <v>9</v>
      </c>
      <c r="Z87" s="2" t="s">
        <v>9</v>
      </c>
      <c r="AA87" s="2" t="s">
        <v>9</v>
      </c>
      <c r="AB87" s="2" t="s">
        <v>578</v>
      </c>
      <c r="AC87" s="2" t="s">
        <v>570</v>
      </c>
      <c r="AD87" s="2" t="s">
        <v>218</v>
      </c>
      <c r="AE87" s="2" t="s">
        <v>194</v>
      </c>
      <c r="AF87" s="2" t="s">
        <v>9</v>
      </c>
    </row>
    <row r="88" spans="1:32" x14ac:dyDescent="0.25">
      <c r="A88" s="2" t="s">
        <v>448</v>
      </c>
      <c r="B88" s="2" t="s">
        <v>191</v>
      </c>
      <c r="C88" s="2" t="s">
        <v>64</v>
      </c>
      <c r="D88" s="2" t="s">
        <v>219</v>
      </c>
      <c r="E88" s="2">
        <v>1</v>
      </c>
      <c r="F88" s="2" t="s">
        <v>9</v>
      </c>
      <c r="G88" s="2" t="s">
        <v>9</v>
      </c>
      <c r="H88" s="2" t="s">
        <v>9</v>
      </c>
      <c r="I88" s="2">
        <v>27.194849999999999</v>
      </c>
      <c r="J88" s="2">
        <v>-80.260599999999997</v>
      </c>
      <c r="K88" s="2" t="s">
        <v>37</v>
      </c>
      <c r="L88" s="2" t="s">
        <v>37</v>
      </c>
      <c r="M88" s="3" t="s">
        <v>33</v>
      </c>
      <c r="N88" s="3" t="s">
        <v>37</v>
      </c>
      <c r="O88" s="2" t="s">
        <v>33</v>
      </c>
      <c r="P88" s="3" t="s">
        <v>33</v>
      </c>
      <c r="Q88" s="3" t="s">
        <v>33</v>
      </c>
      <c r="R88" s="2" t="s">
        <v>33</v>
      </c>
      <c r="S88" s="3">
        <v>38353</v>
      </c>
      <c r="T88" s="3">
        <v>73050</v>
      </c>
      <c r="U88" s="2" t="s">
        <v>540</v>
      </c>
      <c r="V88" s="2" t="s">
        <v>9</v>
      </c>
      <c r="W88" s="2" t="s">
        <v>9</v>
      </c>
      <c r="X88" s="2" t="s">
        <v>9</v>
      </c>
      <c r="Y88" s="2" t="s">
        <v>9</v>
      </c>
      <c r="Z88" s="2" t="s">
        <v>9</v>
      </c>
      <c r="AA88" s="2" t="s">
        <v>9</v>
      </c>
      <c r="AB88" s="2" t="s">
        <v>9</v>
      </c>
      <c r="AC88" s="2" t="s">
        <v>9</v>
      </c>
      <c r="AD88" s="2" t="s">
        <v>220</v>
      </c>
      <c r="AE88" s="2" t="s">
        <v>194</v>
      </c>
      <c r="AF88" s="2" t="s">
        <v>9</v>
      </c>
    </row>
    <row r="89" spans="1:32" x14ac:dyDescent="0.25">
      <c r="A89" s="2" t="s">
        <v>449</v>
      </c>
      <c r="B89" s="2" t="s">
        <v>191</v>
      </c>
      <c r="C89" s="2" t="s">
        <v>64</v>
      </c>
      <c r="D89" s="2" t="s">
        <v>221</v>
      </c>
      <c r="E89" s="2">
        <v>2</v>
      </c>
      <c r="F89" s="2" t="s">
        <v>9</v>
      </c>
      <c r="G89" s="2" t="s">
        <v>9</v>
      </c>
      <c r="H89" s="2" t="s">
        <v>9</v>
      </c>
      <c r="I89" s="2">
        <v>27.187132999999999</v>
      </c>
      <c r="J89" s="2">
        <v>-80.269149999999996</v>
      </c>
      <c r="K89" s="2" t="s">
        <v>37</v>
      </c>
      <c r="L89" s="2" t="s">
        <v>37</v>
      </c>
      <c r="M89" s="3" t="s">
        <v>33</v>
      </c>
      <c r="N89" s="3" t="s">
        <v>37</v>
      </c>
      <c r="O89" s="2" t="s">
        <v>33</v>
      </c>
      <c r="P89" s="3" t="s">
        <v>33</v>
      </c>
      <c r="Q89" s="3" t="s">
        <v>33</v>
      </c>
      <c r="R89" s="2" t="s">
        <v>33</v>
      </c>
      <c r="S89" s="3">
        <v>38353</v>
      </c>
      <c r="T89" s="3">
        <v>73050</v>
      </c>
      <c r="U89" s="2" t="s">
        <v>540</v>
      </c>
      <c r="V89" s="2" t="s">
        <v>9</v>
      </c>
      <c r="W89" s="2" t="s">
        <v>9</v>
      </c>
      <c r="X89" s="2" t="s">
        <v>9</v>
      </c>
      <c r="Y89" s="2" t="s">
        <v>9</v>
      </c>
      <c r="Z89" s="2" t="s">
        <v>9</v>
      </c>
      <c r="AA89" s="2" t="s">
        <v>9</v>
      </c>
      <c r="AB89" s="2" t="s">
        <v>9</v>
      </c>
      <c r="AC89" s="2" t="s">
        <v>9</v>
      </c>
      <c r="AD89" s="2" t="s">
        <v>222</v>
      </c>
      <c r="AE89" s="2" t="s">
        <v>194</v>
      </c>
      <c r="AF89" s="2" t="s">
        <v>9</v>
      </c>
    </row>
    <row r="90" spans="1:32" x14ac:dyDescent="0.25">
      <c r="A90" s="2" t="s">
        <v>450</v>
      </c>
      <c r="B90" s="2" t="s">
        <v>191</v>
      </c>
      <c r="C90" s="2" t="s">
        <v>64</v>
      </c>
      <c r="D90" s="2" t="s">
        <v>223</v>
      </c>
      <c r="E90" s="2">
        <v>3</v>
      </c>
      <c r="F90" s="2" t="s">
        <v>9</v>
      </c>
      <c r="G90" s="2" t="s">
        <v>9</v>
      </c>
      <c r="H90" s="2" t="s">
        <v>9</v>
      </c>
      <c r="I90" s="2">
        <v>27.165816</v>
      </c>
      <c r="J90" s="2">
        <v>-80.261216000000005</v>
      </c>
      <c r="K90" s="2" t="s">
        <v>37</v>
      </c>
      <c r="L90" s="2" t="s">
        <v>37</v>
      </c>
      <c r="M90" s="3" t="s">
        <v>33</v>
      </c>
      <c r="N90" s="3" t="s">
        <v>37</v>
      </c>
      <c r="O90" s="2" t="s">
        <v>33</v>
      </c>
      <c r="P90" s="3" t="s">
        <v>33</v>
      </c>
      <c r="Q90" s="3" t="s">
        <v>33</v>
      </c>
      <c r="R90" s="2" t="s">
        <v>33</v>
      </c>
      <c r="S90" s="3">
        <v>38353</v>
      </c>
      <c r="T90" s="3">
        <v>73050</v>
      </c>
      <c r="U90" s="2" t="s">
        <v>540</v>
      </c>
      <c r="V90" s="2" t="s">
        <v>9</v>
      </c>
      <c r="W90" s="2" t="s">
        <v>9</v>
      </c>
      <c r="X90" s="2" t="s">
        <v>9</v>
      </c>
      <c r="Y90" s="2" t="s">
        <v>9</v>
      </c>
      <c r="Z90" s="2" t="s">
        <v>9</v>
      </c>
      <c r="AA90" s="2" t="s">
        <v>9</v>
      </c>
      <c r="AB90" s="2" t="s">
        <v>9</v>
      </c>
      <c r="AC90" s="2" t="s">
        <v>9</v>
      </c>
      <c r="AD90" s="2" t="s">
        <v>224</v>
      </c>
      <c r="AE90" s="2" t="s">
        <v>194</v>
      </c>
      <c r="AF90" s="2" t="s">
        <v>9</v>
      </c>
    </row>
    <row r="91" spans="1:32" x14ac:dyDescent="0.25">
      <c r="A91" s="2" t="s">
        <v>451</v>
      </c>
      <c r="B91" s="2" t="s">
        <v>225</v>
      </c>
      <c r="C91" s="2" t="s">
        <v>87</v>
      </c>
      <c r="D91" s="2" t="s">
        <v>226</v>
      </c>
      <c r="E91" s="2">
        <v>1</v>
      </c>
      <c r="F91" s="2" t="s">
        <v>9</v>
      </c>
      <c r="G91" s="2" t="s">
        <v>9</v>
      </c>
      <c r="H91" s="2" t="s">
        <v>9</v>
      </c>
      <c r="I91" s="2">
        <v>27.840032999999998</v>
      </c>
      <c r="J91" s="2">
        <v>-80.498482999999993</v>
      </c>
      <c r="K91" s="2" t="s">
        <v>37</v>
      </c>
      <c r="L91" s="2" t="s">
        <v>37</v>
      </c>
      <c r="M91" s="3" t="s">
        <v>33</v>
      </c>
      <c r="N91" s="3" t="s">
        <v>37</v>
      </c>
      <c r="O91" s="2" t="s">
        <v>33</v>
      </c>
      <c r="P91" s="3" t="s">
        <v>33</v>
      </c>
      <c r="Q91" s="3" t="s">
        <v>33</v>
      </c>
      <c r="R91" s="2" t="s">
        <v>33</v>
      </c>
      <c r="S91" s="3">
        <v>38383</v>
      </c>
      <c r="T91" s="3">
        <v>38944</v>
      </c>
      <c r="U91" s="2" t="s">
        <v>540</v>
      </c>
      <c r="V91" s="2" t="s">
        <v>9</v>
      </c>
      <c r="W91" s="2" t="s">
        <v>9</v>
      </c>
      <c r="X91" s="2" t="s">
        <v>9</v>
      </c>
      <c r="Y91" s="2" t="s">
        <v>9</v>
      </c>
      <c r="Z91" s="2" t="s">
        <v>9</v>
      </c>
      <c r="AA91" s="2" t="s">
        <v>9</v>
      </c>
      <c r="AB91" s="2" t="s">
        <v>9</v>
      </c>
      <c r="AC91" s="2" t="s">
        <v>9</v>
      </c>
      <c r="AD91" s="2" t="s">
        <v>227</v>
      </c>
      <c r="AE91" s="2" t="s">
        <v>228</v>
      </c>
      <c r="AF91" s="2" t="s">
        <v>9</v>
      </c>
    </row>
    <row r="92" spans="1:32" x14ac:dyDescent="0.25">
      <c r="A92" s="2" t="s">
        <v>452</v>
      </c>
      <c r="B92" s="2" t="s">
        <v>225</v>
      </c>
      <c r="C92" s="2" t="s">
        <v>87</v>
      </c>
      <c r="D92" s="2" t="s">
        <v>226</v>
      </c>
      <c r="E92" s="2">
        <v>1</v>
      </c>
      <c r="F92" s="2" t="s">
        <v>9</v>
      </c>
      <c r="G92" s="2" t="s">
        <v>9</v>
      </c>
      <c r="H92" s="2" t="s">
        <v>9</v>
      </c>
      <c r="I92" s="2">
        <v>27.850916000000002</v>
      </c>
      <c r="J92" s="2">
        <v>-80.493049999999997</v>
      </c>
      <c r="K92" s="2" t="s">
        <v>37</v>
      </c>
      <c r="L92" s="2" t="s">
        <v>37</v>
      </c>
      <c r="M92" s="3" t="s">
        <v>33</v>
      </c>
      <c r="N92" s="3" t="s">
        <v>37</v>
      </c>
      <c r="O92" s="2" t="s">
        <v>33</v>
      </c>
      <c r="P92" s="3" t="s">
        <v>33</v>
      </c>
      <c r="Q92" s="3" t="s">
        <v>33</v>
      </c>
      <c r="R92" s="2" t="s">
        <v>33</v>
      </c>
      <c r="S92" s="3">
        <v>38944</v>
      </c>
      <c r="T92" s="3">
        <v>39484</v>
      </c>
      <c r="U92" s="2" t="s">
        <v>540</v>
      </c>
      <c r="V92" s="2" t="s">
        <v>9</v>
      </c>
      <c r="W92" s="2" t="s">
        <v>9</v>
      </c>
      <c r="X92" s="2" t="s">
        <v>9</v>
      </c>
      <c r="Y92" s="2" t="s">
        <v>9</v>
      </c>
      <c r="Z92" s="2" t="s">
        <v>9</v>
      </c>
      <c r="AA92" s="2" t="s">
        <v>9</v>
      </c>
      <c r="AB92" s="2" t="s">
        <v>9</v>
      </c>
      <c r="AC92" s="2" t="s">
        <v>9</v>
      </c>
      <c r="AD92" s="2" t="s">
        <v>227</v>
      </c>
      <c r="AE92" s="2" t="s">
        <v>228</v>
      </c>
      <c r="AF92" s="2" t="s">
        <v>9</v>
      </c>
    </row>
    <row r="93" spans="1:32" x14ac:dyDescent="0.25">
      <c r="A93" s="2" t="s">
        <v>453</v>
      </c>
      <c r="B93" s="2" t="s">
        <v>225</v>
      </c>
      <c r="C93" s="2" t="s">
        <v>87</v>
      </c>
      <c r="D93" s="2" t="s">
        <v>226</v>
      </c>
      <c r="E93" s="2">
        <v>2</v>
      </c>
      <c r="F93" s="2" t="s">
        <v>9</v>
      </c>
      <c r="G93" s="2" t="s">
        <v>9</v>
      </c>
      <c r="H93" s="2" t="s">
        <v>9</v>
      </c>
      <c r="I93" s="2">
        <v>27.839065999999999</v>
      </c>
      <c r="J93" s="2">
        <v>-80.498783000000003</v>
      </c>
      <c r="K93" s="2" t="s">
        <v>37</v>
      </c>
      <c r="L93" s="2" t="s">
        <v>37</v>
      </c>
      <c r="M93" s="3" t="s">
        <v>33</v>
      </c>
      <c r="N93" s="3" t="s">
        <v>37</v>
      </c>
      <c r="O93" s="2" t="s">
        <v>33</v>
      </c>
      <c r="P93" s="3" t="s">
        <v>33</v>
      </c>
      <c r="Q93" s="3" t="s">
        <v>33</v>
      </c>
      <c r="R93" s="2" t="s">
        <v>33</v>
      </c>
      <c r="S93" s="3">
        <v>38383</v>
      </c>
      <c r="T93" s="3">
        <v>38944</v>
      </c>
      <c r="U93" s="2" t="s">
        <v>540</v>
      </c>
      <c r="V93" s="2" t="s">
        <v>9</v>
      </c>
      <c r="W93" s="2" t="s">
        <v>9</v>
      </c>
      <c r="X93" s="2" t="s">
        <v>9</v>
      </c>
      <c r="Y93" s="2" t="s">
        <v>9</v>
      </c>
      <c r="Z93" s="2" t="s">
        <v>9</v>
      </c>
      <c r="AA93" s="2" t="s">
        <v>9</v>
      </c>
      <c r="AB93" s="2" t="s">
        <v>9</v>
      </c>
      <c r="AC93" s="2" t="s">
        <v>9</v>
      </c>
      <c r="AD93" s="2" t="s">
        <v>229</v>
      </c>
      <c r="AE93" s="2" t="s">
        <v>228</v>
      </c>
      <c r="AF93" s="2" t="s">
        <v>9</v>
      </c>
    </row>
    <row r="94" spans="1:32" x14ac:dyDescent="0.25">
      <c r="A94" s="2" t="s">
        <v>454</v>
      </c>
      <c r="B94" s="2" t="s">
        <v>225</v>
      </c>
      <c r="C94" s="2" t="s">
        <v>87</v>
      </c>
      <c r="D94" s="2" t="s">
        <v>226</v>
      </c>
      <c r="E94" s="2">
        <v>2</v>
      </c>
      <c r="F94" s="2" t="s">
        <v>9</v>
      </c>
      <c r="G94" s="2" t="s">
        <v>9</v>
      </c>
      <c r="H94" s="2" t="s">
        <v>9</v>
      </c>
      <c r="I94" s="2">
        <v>27.8474</v>
      </c>
      <c r="J94" s="2">
        <v>-80.496283000000005</v>
      </c>
      <c r="K94" s="2" t="s">
        <v>37</v>
      </c>
      <c r="L94" s="2" t="s">
        <v>37</v>
      </c>
      <c r="M94" s="3" t="s">
        <v>33</v>
      </c>
      <c r="N94" s="3" t="s">
        <v>37</v>
      </c>
      <c r="O94" s="2" t="s">
        <v>33</v>
      </c>
      <c r="P94" s="3" t="s">
        <v>33</v>
      </c>
      <c r="Q94" s="3" t="s">
        <v>33</v>
      </c>
      <c r="R94" s="2" t="s">
        <v>33</v>
      </c>
      <c r="S94" s="3">
        <v>38944</v>
      </c>
      <c r="T94" s="3">
        <v>39484</v>
      </c>
      <c r="U94" s="2" t="s">
        <v>540</v>
      </c>
      <c r="V94" s="2" t="s">
        <v>9</v>
      </c>
      <c r="W94" s="2" t="s">
        <v>9</v>
      </c>
      <c r="X94" s="2" t="s">
        <v>9</v>
      </c>
      <c r="Y94" s="2" t="s">
        <v>9</v>
      </c>
      <c r="Z94" s="2" t="s">
        <v>9</v>
      </c>
      <c r="AA94" s="2" t="s">
        <v>9</v>
      </c>
      <c r="AB94" s="2" t="s">
        <v>9</v>
      </c>
      <c r="AC94" s="2" t="s">
        <v>9</v>
      </c>
      <c r="AD94" s="2" t="s">
        <v>229</v>
      </c>
      <c r="AE94" s="2" t="s">
        <v>228</v>
      </c>
      <c r="AF94" s="2" t="s">
        <v>9</v>
      </c>
    </row>
    <row r="95" spans="1:32" x14ac:dyDescent="0.25">
      <c r="A95" s="2" t="s">
        <v>455</v>
      </c>
      <c r="B95" s="2" t="s">
        <v>225</v>
      </c>
      <c r="C95" s="2" t="s">
        <v>87</v>
      </c>
      <c r="D95" s="2" t="s">
        <v>226</v>
      </c>
      <c r="E95" s="2">
        <v>3</v>
      </c>
      <c r="F95" s="2" t="s">
        <v>9</v>
      </c>
      <c r="G95" s="2" t="s">
        <v>9</v>
      </c>
      <c r="H95" s="2" t="s">
        <v>9</v>
      </c>
      <c r="I95" s="2">
        <v>27.837866000000002</v>
      </c>
      <c r="J95" s="2">
        <v>-80.496015999999997</v>
      </c>
      <c r="K95" s="2" t="s">
        <v>37</v>
      </c>
      <c r="L95" s="2" t="s">
        <v>37</v>
      </c>
      <c r="M95" s="3" t="s">
        <v>33</v>
      </c>
      <c r="N95" s="3" t="s">
        <v>37</v>
      </c>
      <c r="O95" s="2" t="s">
        <v>33</v>
      </c>
      <c r="P95" s="3" t="s">
        <v>33</v>
      </c>
      <c r="Q95" s="3" t="s">
        <v>33</v>
      </c>
      <c r="R95" s="2" t="s">
        <v>33</v>
      </c>
      <c r="S95" s="3">
        <v>38383</v>
      </c>
      <c r="T95" s="3">
        <v>39484</v>
      </c>
      <c r="U95" s="2" t="s">
        <v>540</v>
      </c>
      <c r="V95" s="2" t="s">
        <v>9</v>
      </c>
      <c r="W95" s="2" t="s">
        <v>9</v>
      </c>
      <c r="X95" s="2" t="s">
        <v>9</v>
      </c>
      <c r="Y95" s="2" t="s">
        <v>9</v>
      </c>
      <c r="Z95" s="2" t="s">
        <v>9</v>
      </c>
      <c r="AA95" s="2" t="s">
        <v>9</v>
      </c>
      <c r="AB95" s="2" t="s">
        <v>9</v>
      </c>
      <c r="AC95" s="2" t="s">
        <v>9</v>
      </c>
      <c r="AD95" s="2" t="s">
        <v>230</v>
      </c>
      <c r="AE95" s="2" t="s">
        <v>228</v>
      </c>
      <c r="AF95" s="2" t="s">
        <v>9</v>
      </c>
    </row>
    <row r="96" spans="1:32" x14ac:dyDescent="0.25">
      <c r="A96" s="2" t="s">
        <v>456</v>
      </c>
      <c r="B96" s="2" t="s">
        <v>39</v>
      </c>
      <c r="C96" s="2" t="s">
        <v>40</v>
      </c>
      <c r="D96" s="2" t="s">
        <v>231</v>
      </c>
      <c r="E96" s="2">
        <v>4</v>
      </c>
      <c r="F96" s="2" t="s">
        <v>9</v>
      </c>
      <c r="G96" s="2" t="s">
        <v>9</v>
      </c>
      <c r="H96" s="2" t="s">
        <v>9</v>
      </c>
      <c r="I96" s="2">
        <v>27.736833000000001</v>
      </c>
      <c r="J96" s="2">
        <v>-82.692750000000004</v>
      </c>
      <c r="K96" s="2" t="s">
        <v>37</v>
      </c>
      <c r="L96" s="2" t="s">
        <v>37</v>
      </c>
      <c r="M96" s="3" t="s">
        <v>37</v>
      </c>
      <c r="N96" s="3" t="s">
        <v>37</v>
      </c>
      <c r="O96" s="2" t="s">
        <v>37</v>
      </c>
      <c r="P96" s="3" t="s">
        <v>33</v>
      </c>
      <c r="Q96" s="3" t="s">
        <v>33</v>
      </c>
      <c r="R96" s="2" t="s">
        <v>37</v>
      </c>
      <c r="S96" s="3">
        <v>42370</v>
      </c>
      <c r="T96" s="3">
        <v>73050</v>
      </c>
      <c r="U96" s="2" t="s">
        <v>540</v>
      </c>
      <c r="V96" s="2" t="s">
        <v>9</v>
      </c>
      <c r="W96" s="2" t="s">
        <v>9</v>
      </c>
      <c r="X96" s="2" t="s">
        <v>9</v>
      </c>
      <c r="Y96" s="2" t="s">
        <v>9</v>
      </c>
      <c r="Z96" s="2" t="s">
        <v>9</v>
      </c>
      <c r="AA96" s="2" t="s">
        <v>9</v>
      </c>
      <c r="AB96" s="2" t="s">
        <v>9</v>
      </c>
      <c r="AC96" s="2" t="s">
        <v>567</v>
      </c>
      <c r="AD96" s="2" t="s">
        <v>232</v>
      </c>
      <c r="AE96" s="2" t="s">
        <v>41</v>
      </c>
      <c r="AF96" s="2" t="s">
        <v>9</v>
      </c>
    </row>
    <row r="97" spans="1:32" x14ac:dyDescent="0.25">
      <c r="A97" s="2" t="s">
        <v>457</v>
      </c>
      <c r="B97" s="2" t="s">
        <v>39</v>
      </c>
      <c r="C97" s="2" t="s">
        <v>90</v>
      </c>
      <c r="D97" s="2" t="s">
        <v>233</v>
      </c>
      <c r="E97" s="2">
        <v>1</v>
      </c>
      <c r="F97" s="2" t="s">
        <v>9</v>
      </c>
      <c r="G97" s="2" t="s">
        <v>9</v>
      </c>
      <c r="H97" s="2" t="s">
        <v>9</v>
      </c>
      <c r="I97" s="2">
        <v>27.701215999999999</v>
      </c>
      <c r="J97" s="2">
        <v>-82.662766000000005</v>
      </c>
      <c r="K97" s="2" t="s">
        <v>37</v>
      </c>
      <c r="L97" s="2" t="s">
        <v>37</v>
      </c>
      <c r="M97" s="3" t="s">
        <v>37</v>
      </c>
      <c r="N97" s="3" t="s">
        <v>37</v>
      </c>
      <c r="O97" s="2" t="s">
        <v>37</v>
      </c>
      <c r="P97" s="3" t="s">
        <v>33</v>
      </c>
      <c r="Q97" s="3" t="s">
        <v>33</v>
      </c>
      <c r="R97" s="2" t="s">
        <v>37</v>
      </c>
      <c r="S97" s="3">
        <v>38353</v>
      </c>
      <c r="T97" s="3">
        <v>73050</v>
      </c>
      <c r="U97" s="2" t="s">
        <v>540</v>
      </c>
      <c r="V97" s="2" t="s">
        <v>9</v>
      </c>
      <c r="W97" s="2" t="s">
        <v>9</v>
      </c>
      <c r="X97" s="2" t="s">
        <v>9</v>
      </c>
      <c r="Y97" s="2" t="s">
        <v>9</v>
      </c>
      <c r="Z97" s="2" t="s">
        <v>9</v>
      </c>
      <c r="AA97" s="2" t="s">
        <v>9</v>
      </c>
      <c r="AB97" s="2" t="s">
        <v>9</v>
      </c>
      <c r="AC97" s="2" t="s">
        <v>567</v>
      </c>
      <c r="AD97" s="2" t="s">
        <v>234</v>
      </c>
      <c r="AE97" s="2" t="s">
        <v>41</v>
      </c>
      <c r="AF97" s="2" t="s">
        <v>9</v>
      </c>
    </row>
    <row r="98" spans="1:32" x14ac:dyDescent="0.25">
      <c r="A98" s="2" t="s">
        <v>458</v>
      </c>
      <c r="B98" s="2" t="s">
        <v>39</v>
      </c>
      <c r="C98" s="2" t="s">
        <v>90</v>
      </c>
      <c r="D98" s="2" t="s">
        <v>233</v>
      </c>
      <c r="E98" s="2">
        <v>2</v>
      </c>
      <c r="F98" s="2" t="s">
        <v>9</v>
      </c>
      <c r="G98" s="2" t="s">
        <v>9</v>
      </c>
      <c r="H98" s="2" t="s">
        <v>9</v>
      </c>
      <c r="I98" s="2">
        <v>27.700816</v>
      </c>
      <c r="J98" s="2">
        <v>-82.661150000000006</v>
      </c>
      <c r="K98" s="2" t="s">
        <v>37</v>
      </c>
      <c r="L98" s="2" t="s">
        <v>37</v>
      </c>
      <c r="M98" s="3" t="s">
        <v>33</v>
      </c>
      <c r="N98" s="3" t="s">
        <v>37</v>
      </c>
      <c r="O98" s="2" t="s">
        <v>37</v>
      </c>
      <c r="P98" s="3" t="s">
        <v>33</v>
      </c>
      <c r="Q98" s="3" t="s">
        <v>33</v>
      </c>
      <c r="R98" s="2" t="s">
        <v>33</v>
      </c>
      <c r="S98" s="3">
        <v>38353</v>
      </c>
      <c r="T98" s="3">
        <v>38965</v>
      </c>
      <c r="U98" s="2" t="s">
        <v>540</v>
      </c>
      <c r="V98" s="2" t="s">
        <v>9</v>
      </c>
      <c r="W98" s="2" t="s">
        <v>9</v>
      </c>
      <c r="X98" s="2" t="s">
        <v>9</v>
      </c>
      <c r="Y98" s="2" t="s">
        <v>9</v>
      </c>
      <c r="Z98" s="2" t="s">
        <v>9</v>
      </c>
      <c r="AA98" s="2" t="s">
        <v>9</v>
      </c>
      <c r="AB98" s="2" t="s">
        <v>9</v>
      </c>
      <c r="AC98" s="2" t="s">
        <v>9</v>
      </c>
      <c r="AD98" s="2" t="s">
        <v>235</v>
      </c>
      <c r="AE98" s="2" t="s">
        <v>41</v>
      </c>
      <c r="AF98" s="2" t="s">
        <v>9</v>
      </c>
    </row>
    <row r="99" spans="1:32" x14ac:dyDescent="0.25">
      <c r="A99" s="2" t="s">
        <v>459</v>
      </c>
      <c r="B99" s="2" t="s">
        <v>39</v>
      </c>
      <c r="C99" s="2" t="s">
        <v>90</v>
      </c>
      <c r="D99" s="2" t="s">
        <v>236</v>
      </c>
      <c r="E99" s="2">
        <v>2</v>
      </c>
      <c r="F99" s="2" t="s">
        <v>9</v>
      </c>
      <c r="G99" s="2" t="s">
        <v>9</v>
      </c>
      <c r="H99" s="2" t="s">
        <v>9</v>
      </c>
      <c r="I99" s="2">
        <v>27.653583000000001</v>
      </c>
      <c r="J99" s="2">
        <v>-82.680815999999993</v>
      </c>
      <c r="K99" s="2" t="s">
        <v>37</v>
      </c>
      <c r="L99" s="2" t="s">
        <v>37</v>
      </c>
      <c r="M99" s="3" t="s">
        <v>33</v>
      </c>
      <c r="N99" s="3" t="s">
        <v>37</v>
      </c>
      <c r="O99" s="2" t="s">
        <v>37</v>
      </c>
      <c r="P99" s="3" t="s">
        <v>33</v>
      </c>
      <c r="Q99" s="3" t="s">
        <v>33</v>
      </c>
      <c r="R99" s="2" t="s">
        <v>33</v>
      </c>
      <c r="S99" s="3">
        <v>38353</v>
      </c>
      <c r="T99" s="3">
        <v>73050</v>
      </c>
      <c r="U99" s="2" t="s">
        <v>540</v>
      </c>
      <c r="V99" s="2" t="s">
        <v>9</v>
      </c>
      <c r="W99" s="2" t="s">
        <v>9</v>
      </c>
      <c r="X99" s="2" t="s">
        <v>9</v>
      </c>
      <c r="Y99" s="2" t="s">
        <v>9</v>
      </c>
      <c r="Z99" s="2" t="s">
        <v>9</v>
      </c>
      <c r="AA99" s="2" t="s">
        <v>9</v>
      </c>
      <c r="AB99" s="2" t="s">
        <v>9</v>
      </c>
      <c r="AC99" s="2" t="s">
        <v>9</v>
      </c>
      <c r="AD99" s="2" t="s">
        <v>237</v>
      </c>
      <c r="AE99" s="2" t="s">
        <v>41</v>
      </c>
      <c r="AF99" s="2" t="s">
        <v>9</v>
      </c>
    </row>
    <row r="100" spans="1:32" x14ac:dyDescent="0.25">
      <c r="A100" s="2" t="s">
        <v>460</v>
      </c>
      <c r="B100" s="2" t="s">
        <v>39</v>
      </c>
      <c r="C100" s="2" t="s">
        <v>90</v>
      </c>
      <c r="D100" s="2" t="s">
        <v>233</v>
      </c>
      <c r="E100" s="2">
        <v>3</v>
      </c>
      <c r="F100" s="2" t="s">
        <v>9</v>
      </c>
      <c r="G100" s="2" t="s">
        <v>9</v>
      </c>
      <c r="H100" s="2" t="s">
        <v>9</v>
      </c>
      <c r="I100" s="2">
        <v>27.700050000000001</v>
      </c>
      <c r="J100" s="2">
        <v>-82.654415999999998</v>
      </c>
      <c r="K100" s="2" t="s">
        <v>37</v>
      </c>
      <c r="L100" s="2" t="s">
        <v>37</v>
      </c>
      <c r="M100" s="3" t="s">
        <v>33</v>
      </c>
      <c r="N100" s="3" t="s">
        <v>37</v>
      </c>
      <c r="O100" s="2" t="s">
        <v>37</v>
      </c>
      <c r="P100" s="3" t="s">
        <v>33</v>
      </c>
      <c r="Q100" s="3" t="s">
        <v>33</v>
      </c>
      <c r="R100" s="2" t="s">
        <v>33</v>
      </c>
      <c r="S100" s="3">
        <v>38353</v>
      </c>
      <c r="T100" s="3">
        <v>38965</v>
      </c>
      <c r="U100" s="2" t="s">
        <v>540</v>
      </c>
      <c r="V100" s="2" t="s">
        <v>9</v>
      </c>
      <c r="W100" s="2" t="s">
        <v>9</v>
      </c>
      <c r="X100" s="2" t="s">
        <v>9</v>
      </c>
      <c r="Y100" s="2" t="s">
        <v>9</v>
      </c>
      <c r="Z100" s="2" t="s">
        <v>9</v>
      </c>
      <c r="AA100" s="2" t="s">
        <v>9</v>
      </c>
      <c r="AB100" s="2" t="s">
        <v>9</v>
      </c>
      <c r="AC100" s="2" t="s">
        <v>9</v>
      </c>
      <c r="AD100" s="2" t="s">
        <v>238</v>
      </c>
      <c r="AE100" s="2" t="s">
        <v>41</v>
      </c>
      <c r="AF100" s="2" t="s">
        <v>9</v>
      </c>
    </row>
    <row r="101" spans="1:32" x14ac:dyDescent="0.25">
      <c r="A101" s="2" t="s">
        <v>461</v>
      </c>
      <c r="B101" s="2" t="s">
        <v>39</v>
      </c>
      <c r="C101" s="2" t="s">
        <v>90</v>
      </c>
      <c r="D101" s="2" t="s">
        <v>239</v>
      </c>
      <c r="E101" s="2">
        <v>3</v>
      </c>
      <c r="F101" s="2" t="s">
        <v>9</v>
      </c>
      <c r="G101" s="2" t="s">
        <v>9</v>
      </c>
      <c r="H101" s="2" t="s">
        <v>9</v>
      </c>
      <c r="I101" s="2">
        <v>27.646066000000001</v>
      </c>
      <c r="J101" s="2">
        <v>-82.713233000000002</v>
      </c>
      <c r="K101" s="2" t="s">
        <v>37</v>
      </c>
      <c r="L101" s="2" t="s">
        <v>37</v>
      </c>
      <c r="M101" s="3" t="s">
        <v>33</v>
      </c>
      <c r="N101" s="3" t="s">
        <v>37</v>
      </c>
      <c r="O101" s="2" t="s">
        <v>37</v>
      </c>
      <c r="P101" s="3" t="s">
        <v>33</v>
      </c>
      <c r="Q101" s="3" t="s">
        <v>33</v>
      </c>
      <c r="R101" s="2" t="s">
        <v>33</v>
      </c>
      <c r="S101" s="3">
        <v>38965</v>
      </c>
      <c r="T101" s="3">
        <v>73050</v>
      </c>
      <c r="U101" s="2" t="s">
        <v>540</v>
      </c>
      <c r="V101" s="2" t="s">
        <v>9</v>
      </c>
      <c r="W101" s="2" t="s">
        <v>9</v>
      </c>
      <c r="X101" s="2" t="s">
        <v>9</v>
      </c>
      <c r="Y101" s="2" t="s">
        <v>9</v>
      </c>
      <c r="Z101" s="2" t="s">
        <v>9</v>
      </c>
      <c r="AA101" s="2" t="s">
        <v>9</v>
      </c>
      <c r="AB101" s="2" t="s">
        <v>9</v>
      </c>
      <c r="AC101" s="2" t="s">
        <v>9</v>
      </c>
      <c r="AD101" s="2" t="s">
        <v>240</v>
      </c>
      <c r="AE101" s="2" t="s">
        <v>41</v>
      </c>
      <c r="AF101" s="2" t="s">
        <v>9</v>
      </c>
    </row>
    <row r="102" spans="1:32" x14ac:dyDescent="0.25">
      <c r="A102" s="2" t="s">
        <v>462</v>
      </c>
      <c r="B102" s="2" t="s">
        <v>39</v>
      </c>
      <c r="C102" s="2" t="s">
        <v>90</v>
      </c>
      <c r="D102" s="2" t="s">
        <v>241</v>
      </c>
      <c r="E102" s="2" t="s">
        <v>9</v>
      </c>
      <c r="F102" s="2" t="s">
        <v>9</v>
      </c>
      <c r="G102" s="2" t="s">
        <v>9</v>
      </c>
      <c r="H102" s="2" t="s">
        <v>9</v>
      </c>
      <c r="I102" s="2">
        <v>27.723316000000001</v>
      </c>
      <c r="J102" s="2">
        <v>-82.737915999999998</v>
      </c>
      <c r="K102" s="2" t="s">
        <v>37</v>
      </c>
      <c r="L102" s="2" t="s">
        <v>37</v>
      </c>
      <c r="M102" s="3" t="s">
        <v>33</v>
      </c>
      <c r="N102" s="3" t="s">
        <v>37</v>
      </c>
      <c r="O102" s="2" t="s">
        <v>33</v>
      </c>
      <c r="P102" s="3" t="s">
        <v>33</v>
      </c>
      <c r="Q102" s="3" t="s">
        <v>33</v>
      </c>
      <c r="R102" s="2" t="s">
        <v>33</v>
      </c>
      <c r="S102" s="3">
        <v>39722</v>
      </c>
      <c r="T102" s="3">
        <v>40179</v>
      </c>
      <c r="U102" s="2" t="s">
        <v>540</v>
      </c>
      <c r="V102" s="2" t="s">
        <v>9</v>
      </c>
      <c r="W102" s="2" t="s">
        <v>9</v>
      </c>
      <c r="X102" s="2" t="s">
        <v>9</v>
      </c>
      <c r="Y102" s="2" t="s">
        <v>9</v>
      </c>
      <c r="Z102" s="2" t="s">
        <v>9</v>
      </c>
      <c r="AA102" s="2" t="s">
        <v>9</v>
      </c>
      <c r="AB102" s="2" t="s">
        <v>579</v>
      </c>
      <c r="AC102" s="2" t="s">
        <v>9</v>
      </c>
      <c r="AD102" s="2" t="s">
        <v>241</v>
      </c>
      <c r="AE102" s="2" t="s">
        <v>41</v>
      </c>
      <c r="AF102" s="2" t="s">
        <v>9</v>
      </c>
    </row>
    <row r="103" spans="1:32" x14ac:dyDescent="0.25">
      <c r="A103" s="2" t="s">
        <v>463</v>
      </c>
      <c r="B103" s="2" t="s">
        <v>39</v>
      </c>
      <c r="C103" s="2" t="s">
        <v>90</v>
      </c>
      <c r="D103" s="2" t="s">
        <v>242</v>
      </c>
      <c r="E103" s="2" t="s">
        <v>9</v>
      </c>
      <c r="F103" s="2" t="s">
        <v>9</v>
      </c>
      <c r="G103" s="2" t="s">
        <v>9</v>
      </c>
      <c r="H103" s="2" t="s">
        <v>9</v>
      </c>
      <c r="I103" s="2">
        <v>27.738099999999999</v>
      </c>
      <c r="J103" s="2">
        <v>-82.693916000000002</v>
      </c>
      <c r="K103" s="2" t="s">
        <v>37</v>
      </c>
      <c r="L103" s="2" t="s">
        <v>37</v>
      </c>
      <c r="M103" s="3" t="s">
        <v>33</v>
      </c>
      <c r="N103" s="3" t="s">
        <v>37</v>
      </c>
      <c r="O103" s="2" t="s">
        <v>33</v>
      </c>
      <c r="P103" s="3" t="s">
        <v>33</v>
      </c>
      <c r="Q103" s="3" t="s">
        <v>33</v>
      </c>
      <c r="R103" s="2" t="s">
        <v>33</v>
      </c>
      <c r="S103" s="3">
        <v>39722</v>
      </c>
      <c r="T103" s="3">
        <v>40179</v>
      </c>
      <c r="U103" s="2" t="s">
        <v>540</v>
      </c>
      <c r="V103" s="2" t="s">
        <v>9</v>
      </c>
      <c r="W103" s="2" t="s">
        <v>9</v>
      </c>
      <c r="X103" s="2" t="s">
        <v>9</v>
      </c>
      <c r="Y103" s="2" t="s">
        <v>9</v>
      </c>
      <c r="Z103" s="2" t="s">
        <v>9</v>
      </c>
      <c r="AA103" s="2" t="s">
        <v>9</v>
      </c>
      <c r="AB103" s="2" t="s">
        <v>580</v>
      </c>
      <c r="AC103" s="2" t="s">
        <v>9</v>
      </c>
      <c r="AD103" s="2" t="s">
        <v>242</v>
      </c>
      <c r="AE103" s="2" t="s">
        <v>41</v>
      </c>
      <c r="AF103" s="2" t="s">
        <v>9</v>
      </c>
    </row>
    <row r="104" spans="1:32" x14ac:dyDescent="0.25">
      <c r="A104" s="2" t="s">
        <v>464</v>
      </c>
      <c r="B104" s="2" t="s">
        <v>39</v>
      </c>
      <c r="C104" s="2" t="s">
        <v>90</v>
      </c>
      <c r="D104" s="2" t="s">
        <v>243</v>
      </c>
      <c r="E104" s="2" t="s">
        <v>9</v>
      </c>
      <c r="F104" s="2" t="s">
        <v>9</v>
      </c>
      <c r="G104" s="2" t="s">
        <v>9</v>
      </c>
      <c r="H104" s="2" t="s">
        <v>9</v>
      </c>
      <c r="I104" s="2">
        <v>27.737283000000001</v>
      </c>
      <c r="J104" s="2">
        <v>-82.693466000000001</v>
      </c>
      <c r="K104" s="2" t="s">
        <v>37</v>
      </c>
      <c r="L104" s="2" t="s">
        <v>37</v>
      </c>
      <c r="M104" s="3" t="s">
        <v>33</v>
      </c>
      <c r="N104" s="3" t="s">
        <v>37</v>
      </c>
      <c r="O104" s="2" t="s">
        <v>33</v>
      </c>
      <c r="P104" s="3" t="s">
        <v>33</v>
      </c>
      <c r="Q104" s="3" t="s">
        <v>33</v>
      </c>
      <c r="R104" s="2" t="s">
        <v>33</v>
      </c>
      <c r="S104" s="3">
        <v>39722</v>
      </c>
      <c r="T104" s="3">
        <v>40179</v>
      </c>
      <c r="U104" s="2" t="s">
        <v>540</v>
      </c>
      <c r="V104" s="2" t="s">
        <v>9</v>
      </c>
      <c r="W104" s="2" t="s">
        <v>9</v>
      </c>
      <c r="X104" s="2" t="s">
        <v>9</v>
      </c>
      <c r="Y104" s="2" t="s">
        <v>9</v>
      </c>
      <c r="Z104" s="2" t="s">
        <v>9</v>
      </c>
      <c r="AA104" s="2" t="s">
        <v>9</v>
      </c>
      <c r="AB104" s="2" t="s">
        <v>581</v>
      </c>
      <c r="AC104" s="2" t="s">
        <v>9</v>
      </c>
      <c r="AD104" s="2" t="s">
        <v>243</v>
      </c>
      <c r="AE104" s="2" t="s">
        <v>41</v>
      </c>
      <c r="AF104" s="2" t="s">
        <v>9</v>
      </c>
    </row>
    <row r="105" spans="1:32" x14ac:dyDescent="0.25">
      <c r="A105" s="2" t="s">
        <v>465</v>
      </c>
      <c r="B105" s="2" t="s">
        <v>39</v>
      </c>
      <c r="C105" s="2" t="s">
        <v>90</v>
      </c>
      <c r="D105" s="2" t="s">
        <v>244</v>
      </c>
      <c r="E105" s="2" t="s">
        <v>9</v>
      </c>
      <c r="F105" s="2" t="s">
        <v>9</v>
      </c>
      <c r="G105" s="2" t="s">
        <v>9</v>
      </c>
      <c r="H105" s="2" t="s">
        <v>9</v>
      </c>
      <c r="I105" s="2">
        <v>27.723316000000001</v>
      </c>
      <c r="J105" s="2">
        <v>-82.737915999999998</v>
      </c>
      <c r="K105" s="2" t="s">
        <v>37</v>
      </c>
      <c r="L105" s="2" t="s">
        <v>37</v>
      </c>
      <c r="M105" s="3" t="s">
        <v>33</v>
      </c>
      <c r="N105" s="3" t="s">
        <v>37</v>
      </c>
      <c r="O105" s="2" t="s">
        <v>33</v>
      </c>
      <c r="P105" s="3" t="s">
        <v>33</v>
      </c>
      <c r="Q105" s="3" t="s">
        <v>33</v>
      </c>
      <c r="R105" s="2" t="s">
        <v>33</v>
      </c>
      <c r="S105" s="3">
        <v>39722</v>
      </c>
      <c r="T105" s="3">
        <v>40179</v>
      </c>
      <c r="U105" s="2" t="s">
        <v>540</v>
      </c>
      <c r="V105" s="2" t="s">
        <v>9</v>
      </c>
      <c r="W105" s="2" t="s">
        <v>9</v>
      </c>
      <c r="X105" s="2" t="s">
        <v>9</v>
      </c>
      <c r="Y105" s="2" t="s">
        <v>9</v>
      </c>
      <c r="Z105" s="2" t="s">
        <v>9</v>
      </c>
      <c r="AA105" s="2" t="s">
        <v>9</v>
      </c>
      <c r="AB105" s="2" t="s">
        <v>582</v>
      </c>
      <c r="AC105" s="2" t="s">
        <v>9</v>
      </c>
      <c r="AD105" s="2" t="s">
        <v>244</v>
      </c>
      <c r="AE105" s="2" t="s">
        <v>41</v>
      </c>
      <c r="AF105" s="2" t="s">
        <v>9</v>
      </c>
    </row>
    <row r="106" spans="1:32" x14ac:dyDescent="0.25">
      <c r="A106" s="2" t="s">
        <v>466</v>
      </c>
      <c r="B106" s="2" t="s">
        <v>39</v>
      </c>
      <c r="C106" s="2" t="s">
        <v>90</v>
      </c>
      <c r="D106" s="2" t="s">
        <v>245</v>
      </c>
      <c r="E106" s="2" t="s">
        <v>9</v>
      </c>
      <c r="F106" s="2" t="s">
        <v>9</v>
      </c>
      <c r="G106" s="2" t="s">
        <v>9</v>
      </c>
      <c r="H106" s="2" t="s">
        <v>9</v>
      </c>
      <c r="I106" s="2">
        <v>27.685983</v>
      </c>
      <c r="J106" s="2">
        <v>-82.718850000000003</v>
      </c>
      <c r="K106" s="2" t="s">
        <v>37</v>
      </c>
      <c r="L106" s="2" t="s">
        <v>37</v>
      </c>
      <c r="M106" s="3" t="s">
        <v>33</v>
      </c>
      <c r="N106" s="3" t="s">
        <v>37</v>
      </c>
      <c r="O106" s="2" t="s">
        <v>33</v>
      </c>
      <c r="P106" s="3" t="s">
        <v>33</v>
      </c>
      <c r="Q106" s="3" t="s">
        <v>33</v>
      </c>
      <c r="R106" s="2" t="s">
        <v>33</v>
      </c>
      <c r="S106" s="3">
        <v>39722</v>
      </c>
      <c r="T106" s="3">
        <v>40179</v>
      </c>
      <c r="U106" s="2" t="s">
        <v>540</v>
      </c>
      <c r="V106" s="2" t="s">
        <v>9</v>
      </c>
      <c r="W106" s="2" t="s">
        <v>9</v>
      </c>
      <c r="X106" s="2" t="s">
        <v>9</v>
      </c>
      <c r="Y106" s="2" t="s">
        <v>9</v>
      </c>
      <c r="Z106" s="2" t="s">
        <v>9</v>
      </c>
      <c r="AA106" s="2" t="s">
        <v>9</v>
      </c>
      <c r="AB106" s="2" t="s">
        <v>583</v>
      </c>
      <c r="AC106" s="2" t="s">
        <v>9</v>
      </c>
      <c r="AD106" s="2" t="s">
        <v>245</v>
      </c>
      <c r="AE106" s="2" t="s">
        <v>41</v>
      </c>
      <c r="AF106" s="2" t="s">
        <v>9</v>
      </c>
    </row>
    <row r="107" spans="1:32" x14ac:dyDescent="0.25">
      <c r="A107" s="2" t="s">
        <v>467</v>
      </c>
      <c r="B107" s="2" t="s">
        <v>39</v>
      </c>
      <c r="C107" s="2" t="s">
        <v>90</v>
      </c>
      <c r="D107" s="2" t="s">
        <v>246</v>
      </c>
      <c r="E107" s="2" t="s">
        <v>9</v>
      </c>
      <c r="F107" s="2" t="s">
        <v>9</v>
      </c>
      <c r="G107" s="2" t="s">
        <v>9</v>
      </c>
      <c r="H107" s="2" t="s">
        <v>9</v>
      </c>
      <c r="I107" s="2">
        <v>27.685333</v>
      </c>
      <c r="J107" s="2">
        <v>-82.717349999999996</v>
      </c>
      <c r="K107" s="2" t="s">
        <v>37</v>
      </c>
      <c r="L107" s="2" t="s">
        <v>37</v>
      </c>
      <c r="M107" s="3" t="s">
        <v>33</v>
      </c>
      <c r="N107" s="3" t="s">
        <v>37</v>
      </c>
      <c r="O107" s="2" t="s">
        <v>33</v>
      </c>
      <c r="P107" s="3" t="s">
        <v>33</v>
      </c>
      <c r="Q107" s="3" t="s">
        <v>33</v>
      </c>
      <c r="R107" s="2" t="s">
        <v>33</v>
      </c>
      <c r="S107" s="3">
        <v>39722</v>
      </c>
      <c r="T107" s="3">
        <v>40179</v>
      </c>
      <c r="U107" s="2" t="s">
        <v>540</v>
      </c>
      <c r="V107" s="2" t="s">
        <v>9</v>
      </c>
      <c r="W107" s="2" t="s">
        <v>9</v>
      </c>
      <c r="X107" s="2" t="s">
        <v>9</v>
      </c>
      <c r="Y107" s="2" t="s">
        <v>9</v>
      </c>
      <c r="Z107" s="2" t="s">
        <v>9</v>
      </c>
      <c r="AA107" s="2" t="s">
        <v>9</v>
      </c>
      <c r="AB107" s="2" t="s">
        <v>584</v>
      </c>
      <c r="AC107" s="2" t="s">
        <v>9</v>
      </c>
      <c r="AD107" s="2" t="s">
        <v>246</v>
      </c>
      <c r="AE107" s="2" t="s">
        <v>41</v>
      </c>
      <c r="AF107" s="2" t="s">
        <v>9</v>
      </c>
    </row>
    <row r="108" spans="1:32" x14ac:dyDescent="0.25">
      <c r="A108" s="2" t="s">
        <v>468</v>
      </c>
      <c r="B108" s="2" t="s">
        <v>39</v>
      </c>
      <c r="C108" s="2" t="s">
        <v>90</v>
      </c>
      <c r="D108" s="2" t="s">
        <v>247</v>
      </c>
      <c r="E108" s="2" t="s">
        <v>9</v>
      </c>
      <c r="F108" s="2" t="s">
        <v>9</v>
      </c>
      <c r="G108" s="2" t="s">
        <v>9</v>
      </c>
      <c r="H108" s="2" t="s">
        <v>9</v>
      </c>
      <c r="I108" s="2">
        <v>27.685516</v>
      </c>
      <c r="J108" s="2">
        <v>-82.716965999999999</v>
      </c>
      <c r="K108" s="2" t="s">
        <v>37</v>
      </c>
      <c r="L108" s="2" t="s">
        <v>37</v>
      </c>
      <c r="M108" s="3" t="s">
        <v>33</v>
      </c>
      <c r="N108" s="3" t="s">
        <v>37</v>
      </c>
      <c r="O108" s="2" t="s">
        <v>33</v>
      </c>
      <c r="P108" s="3" t="s">
        <v>33</v>
      </c>
      <c r="Q108" s="3" t="s">
        <v>33</v>
      </c>
      <c r="R108" s="2" t="s">
        <v>33</v>
      </c>
      <c r="S108" s="3">
        <v>39722</v>
      </c>
      <c r="T108" s="3">
        <v>40179</v>
      </c>
      <c r="U108" s="2" t="s">
        <v>540</v>
      </c>
      <c r="V108" s="2" t="s">
        <v>9</v>
      </c>
      <c r="W108" s="2" t="s">
        <v>9</v>
      </c>
      <c r="X108" s="2" t="s">
        <v>9</v>
      </c>
      <c r="Y108" s="2" t="s">
        <v>9</v>
      </c>
      <c r="Z108" s="2" t="s">
        <v>9</v>
      </c>
      <c r="AA108" s="2" t="s">
        <v>9</v>
      </c>
      <c r="AB108" s="2" t="s">
        <v>585</v>
      </c>
      <c r="AC108" s="2" t="s">
        <v>9</v>
      </c>
      <c r="AD108" s="2" t="s">
        <v>247</v>
      </c>
      <c r="AE108" s="2" t="s">
        <v>41</v>
      </c>
      <c r="AF108" s="2" t="s">
        <v>9</v>
      </c>
    </row>
    <row r="109" spans="1:32" x14ac:dyDescent="0.25">
      <c r="A109" s="2" t="s">
        <v>469</v>
      </c>
      <c r="B109" s="2" t="s">
        <v>39</v>
      </c>
      <c r="C109" s="2" t="s">
        <v>90</v>
      </c>
      <c r="D109" s="2" t="s">
        <v>248</v>
      </c>
      <c r="E109" s="2" t="s">
        <v>9</v>
      </c>
      <c r="F109" s="2" t="s">
        <v>9</v>
      </c>
      <c r="G109" s="2" t="s">
        <v>9</v>
      </c>
      <c r="H109" s="2" t="s">
        <v>9</v>
      </c>
      <c r="I109" s="2">
        <v>27.685516</v>
      </c>
      <c r="J109" s="2">
        <v>-82.716965999999999</v>
      </c>
      <c r="K109" s="2" t="s">
        <v>37</v>
      </c>
      <c r="L109" s="2" t="s">
        <v>37</v>
      </c>
      <c r="M109" s="3" t="s">
        <v>33</v>
      </c>
      <c r="N109" s="3" t="s">
        <v>37</v>
      </c>
      <c r="O109" s="2" t="s">
        <v>33</v>
      </c>
      <c r="P109" s="3" t="s">
        <v>33</v>
      </c>
      <c r="Q109" s="3" t="s">
        <v>33</v>
      </c>
      <c r="R109" s="2" t="s">
        <v>33</v>
      </c>
      <c r="S109" s="3">
        <v>39722</v>
      </c>
      <c r="T109" s="3">
        <v>40179</v>
      </c>
      <c r="U109" s="2" t="s">
        <v>540</v>
      </c>
      <c r="V109" s="2" t="s">
        <v>9</v>
      </c>
      <c r="W109" s="2" t="s">
        <v>9</v>
      </c>
      <c r="X109" s="2" t="s">
        <v>9</v>
      </c>
      <c r="Y109" s="2" t="s">
        <v>9</v>
      </c>
      <c r="Z109" s="2" t="s">
        <v>9</v>
      </c>
      <c r="AA109" s="2" t="s">
        <v>9</v>
      </c>
      <c r="AB109" s="2" t="s">
        <v>586</v>
      </c>
      <c r="AC109" s="2" t="s">
        <v>9</v>
      </c>
      <c r="AD109" s="2" t="s">
        <v>248</v>
      </c>
      <c r="AE109" s="2" t="s">
        <v>41</v>
      </c>
      <c r="AF109" s="2" t="s">
        <v>9</v>
      </c>
    </row>
    <row r="110" spans="1:32" x14ac:dyDescent="0.25">
      <c r="A110" s="2" t="s">
        <v>470</v>
      </c>
      <c r="B110" s="2" t="s">
        <v>39</v>
      </c>
      <c r="C110" s="2" t="s">
        <v>87</v>
      </c>
      <c r="D110" s="2" t="s">
        <v>249</v>
      </c>
      <c r="E110" s="2">
        <v>5</v>
      </c>
      <c r="F110" s="2" t="s">
        <v>9</v>
      </c>
      <c r="G110" s="2" t="s">
        <v>9</v>
      </c>
      <c r="H110" s="2" t="s">
        <v>9</v>
      </c>
      <c r="I110" s="2">
        <v>27.84225</v>
      </c>
      <c r="J110" s="2">
        <v>-82.609583000000001</v>
      </c>
      <c r="K110" s="2" t="s">
        <v>37</v>
      </c>
      <c r="L110" s="2" t="s">
        <v>37</v>
      </c>
      <c r="M110" s="3" t="s">
        <v>37</v>
      </c>
      <c r="N110" s="3" t="s">
        <v>37</v>
      </c>
      <c r="O110" s="2" t="s">
        <v>33</v>
      </c>
      <c r="P110" s="3" t="s">
        <v>33</v>
      </c>
      <c r="Q110" s="3" t="s">
        <v>33</v>
      </c>
      <c r="R110" s="2" t="s">
        <v>37</v>
      </c>
      <c r="S110" s="3">
        <v>42370</v>
      </c>
      <c r="T110" s="3">
        <v>73050</v>
      </c>
      <c r="U110" s="2" t="s">
        <v>540</v>
      </c>
      <c r="V110" s="2" t="s">
        <v>9</v>
      </c>
      <c r="W110" s="2" t="s">
        <v>9</v>
      </c>
      <c r="X110" s="2" t="s">
        <v>9</v>
      </c>
      <c r="Y110" s="2" t="s">
        <v>9</v>
      </c>
      <c r="Z110" s="2" t="s">
        <v>9</v>
      </c>
      <c r="AA110" s="2" t="s">
        <v>9</v>
      </c>
      <c r="AB110" s="2" t="s">
        <v>9</v>
      </c>
      <c r="AC110" s="2" t="s">
        <v>567</v>
      </c>
      <c r="AD110" s="2" t="s">
        <v>250</v>
      </c>
      <c r="AE110" s="2" t="s">
        <v>41</v>
      </c>
      <c r="AF110" s="2" t="s">
        <v>9</v>
      </c>
    </row>
    <row r="111" spans="1:32" x14ac:dyDescent="0.25">
      <c r="A111" s="2" t="s">
        <v>471</v>
      </c>
      <c r="B111" s="2" t="s">
        <v>39</v>
      </c>
      <c r="C111" s="2" t="s">
        <v>87</v>
      </c>
      <c r="D111" s="2" t="s">
        <v>251</v>
      </c>
      <c r="E111" s="2" t="s">
        <v>9</v>
      </c>
      <c r="F111" s="2" t="s">
        <v>9</v>
      </c>
      <c r="G111" s="2" t="s">
        <v>9</v>
      </c>
      <c r="H111" s="2" t="s">
        <v>9</v>
      </c>
      <c r="I111" s="2">
        <v>27.799716</v>
      </c>
      <c r="J111" s="2">
        <v>-82.633415999999997</v>
      </c>
      <c r="K111" s="2" t="s">
        <v>37</v>
      </c>
      <c r="L111" s="2" t="s">
        <v>37</v>
      </c>
      <c r="M111" s="3" t="s">
        <v>33</v>
      </c>
      <c r="N111" s="3" t="s">
        <v>37</v>
      </c>
      <c r="O111" s="2" t="s">
        <v>33</v>
      </c>
      <c r="P111" s="3" t="s">
        <v>33</v>
      </c>
      <c r="Q111" s="3" t="s">
        <v>33</v>
      </c>
      <c r="R111" s="2" t="s">
        <v>33</v>
      </c>
      <c r="S111" s="3">
        <v>39722</v>
      </c>
      <c r="T111" s="3">
        <v>40179</v>
      </c>
      <c r="U111" s="2" t="s">
        <v>540</v>
      </c>
      <c r="V111" s="2" t="s">
        <v>9</v>
      </c>
      <c r="W111" s="2" t="s">
        <v>9</v>
      </c>
      <c r="X111" s="2" t="s">
        <v>9</v>
      </c>
      <c r="Y111" s="2" t="s">
        <v>9</v>
      </c>
      <c r="Z111" s="2" t="s">
        <v>9</v>
      </c>
      <c r="AA111" s="2" t="s">
        <v>9</v>
      </c>
      <c r="AB111" s="2" t="s">
        <v>587</v>
      </c>
      <c r="AC111" s="2" t="s">
        <v>9</v>
      </c>
      <c r="AD111" s="2" t="s">
        <v>251</v>
      </c>
      <c r="AE111" s="2" t="s">
        <v>41</v>
      </c>
      <c r="AF111" s="2" t="s">
        <v>9</v>
      </c>
    </row>
    <row r="112" spans="1:32" x14ac:dyDescent="0.25">
      <c r="A112" s="2" t="s">
        <v>472</v>
      </c>
      <c r="B112" s="2" t="s">
        <v>39</v>
      </c>
      <c r="C112" s="2" t="s">
        <v>87</v>
      </c>
      <c r="D112" s="2" t="s">
        <v>252</v>
      </c>
      <c r="E112" s="2" t="s">
        <v>9</v>
      </c>
      <c r="F112" s="2" t="s">
        <v>9</v>
      </c>
      <c r="G112" s="2" t="s">
        <v>9</v>
      </c>
      <c r="H112" s="2" t="s">
        <v>9</v>
      </c>
      <c r="I112" s="2">
        <v>27.795783</v>
      </c>
      <c r="J112" s="2">
        <v>-82.630915999999999</v>
      </c>
      <c r="K112" s="2" t="s">
        <v>37</v>
      </c>
      <c r="L112" s="2" t="s">
        <v>37</v>
      </c>
      <c r="M112" s="3" t="s">
        <v>33</v>
      </c>
      <c r="N112" s="3" t="s">
        <v>37</v>
      </c>
      <c r="O112" s="2" t="s">
        <v>33</v>
      </c>
      <c r="P112" s="3" t="s">
        <v>33</v>
      </c>
      <c r="Q112" s="3" t="s">
        <v>33</v>
      </c>
      <c r="R112" s="2" t="s">
        <v>33</v>
      </c>
      <c r="S112" s="3">
        <v>39722</v>
      </c>
      <c r="T112" s="3">
        <v>40179</v>
      </c>
      <c r="U112" s="2" t="s">
        <v>540</v>
      </c>
      <c r="V112" s="2" t="s">
        <v>9</v>
      </c>
      <c r="W112" s="2" t="s">
        <v>9</v>
      </c>
      <c r="X112" s="2" t="s">
        <v>9</v>
      </c>
      <c r="Y112" s="2" t="s">
        <v>9</v>
      </c>
      <c r="Z112" s="2" t="s">
        <v>9</v>
      </c>
      <c r="AA112" s="2" t="s">
        <v>9</v>
      </c>
      <c r="AB112" s="2" t="s">
        <v>588</v>
      </c>
      <c r="AC112" s="2" t="s">
        <v>9</v>
      </c>
      <c r="AD112" s="2" t="s">
        <v>252</v>
      </c>
      <c r="AE112" s="2" t="s">
        <v>41</v>
      </c>
      <c r="AF112" s="2" t="s">
        <v>9</v>
      </c>
    </row>
    <row r="113" spans="1:32" x14ac:dyDescent="0.25">
      <c r="A113" s="2" t="s">
        <v>473</v>
      </c>
      <c r="B113" s="2" t="s">
        <v>39</v>
      </c>
      <c r="C113" s="2" t="s">
        <v>87</v>
      </c>
      <c r="D113" s="2" t="s">
        <v>253</v>
      </c>
      <c r="E113" s="2" t="s">
        <v>9</v>
      </c>
      <c r="F113" s="2" t="s">
        <v>9</v>
      </c>
      <c r="G113" s="2" t="s">
        <v>9</v>
      </c>
      <c r="H113" s="2" t="s">
        <v>9</v>
      </c>
      <c r="I113" s="2">
        <v>27.7959</v>
      </c>
      <c r="J113" s="2">
        <v>-82.631315999999998</v>
      </c>
      <c r="K113" s="2" t="s">
        <v>37</v>
      </c>
      <c r="L113" s="2" t="s">
        <v>37</v>
      </c>
      <c r="M113" s="3" t="s">
        <v>33</v>
      </c>
      <c r="N113" s="3" t="s">
        <v>37</v>
      </c>
      <c r="O113" s="2" t="s">
        <v>33</v>
      </c>
      <c r="P113" s="3" t="s">
        <v>33</v>
      </c>
      <c r="Q113" s="3" t="s">
        <v>33</v>
      </c>
      <c r="R113" s="2" t="s">
        <v>33</v>
      </c>
      <c r="S113" s="3">
        <v>39722</v>
      </c>
      <c r="T113" s="3">
        <v>40179</v>
      </c>
      <c r="U113" s="2" t="s">
        <v>540</v>
      </c>
      <c r="V113" s="2" t="s">
        <v>9</v>
      </c>
      <c r="W113" s="2" t="s">
        <v>9</v>
      </c>
      <c r="X113" s="2" t="s">
        <v>9</v>
      </c>
      <c r="Y113" s="2" t="s">
        <v>9</v>
      </c>
      <c r="Z113" s="2" t="s">
        <v>9</v>
      </c>
      <c r="AA113" s="2" t="s">
        <v>9</v>
      </c>
      <c r="AB113" s="2" t="s">
        <v>589</v>
      </c>
      <c r="AC113" s="2" t="s">
        <v>9</v>
      </c>
      <c r="AD113" s="2" t="s">
        <v>253</v>
      </c>
      <c r="AE113" s="2" t="s">
        <v>41</v>
      </c>
      <c r="AF113" s="2" t="s">
        <v>9</v>
      </c>
    </row>
    <row r="114" spans="1:32" x14ac:dyDescent="0.25">
      <c r="A114" s="2" t="s">
        <v>474</v>
      </c>
      <c r="B114" s="2" t="s">
        <v>39</v>
      </c>
      <c r="C114" s="2" t="s">
        <v>87</v>
      </c>
      <c r="D114" s="2" t="s">
        <v>254</v>
      </c>
      <c r="E114" s="2" t="s">
        <v>9</v>
      </c>
      <c r="F114" s="2" t="s">
        <v>9</v>
      </c>
      <c r="G114" s="2" t="s">
        <v>9</v>
      </c>
      <c r="H114" s="2" t="s">
        <v>9</v>
      </c>
      <c r="I114" s="2">
        <v>27.799716</v>
      </c>
      <c r="J114" s="2">
        <v>-82.633415999999997</v>
      </c>
      <c r="K114" s="2" t="s">
        <v>37</v>
      </c>
      <c r="L114" s="2" t="s">
        <v>37</v>
      </c>
      <c r="M114" s="3" t="s">
        <v>33</v>
      </c>
      <c r="N114" s="3" t="s">
        <v>37</v>
      </c>
      <c r="O114" s="2" t="s">
        <v>33</v>
      </c>
      <c r="P114" s="3" t="s">
        <v>33</v>
      </c>
      <c r="Q114" s="3" t="s">
        <v>33</v>
      </c>
      <c r="R114" s="2" t="s">
        <v>33</v>
      </c>
      <c r="S114" s="3">
        <v>39722</v>
      </c>
      <c r="T114" s="3">
        <v>40179</v>
      </c>
      <c r="U114" s="2" t="s">
        <v>540</v>
      </c>
      <c r="V114" s="2" t="s">
        <v>9</v>
      </c>
      <c r="W114" s="2" t="s">
        <v>9</v>
      </c>
      <c r="X114" s="2" t="s">
        <v>9</v>
      </c>
      <c r="Y114" s="2" t="s">
        <v>9</v>
      </c>
      <c r="Z114" s="2" t="s">
        <v>9</v>
      </c>
      <c r="AA114" s="2" t="s">
        <v>9</v>
      </c>
      <c r="AB114" s="2" t="s">
        <v>590</v>
      </c>
      <c r="AC114" s="2" t="s">
        <v>9</v>
      </c>
      <c r="AD114" s="2" t="s">
        <v>254</v>
      </c>
      <c r="AE114" s="2" t="s">
        <v>41</v>
      </c>
      <c r="AF114" s="2" t="s">
        <v>9</v>
      </c>
    </row>
    <row r="115" spans="1:32" x14ac:dyDescent="0.25">
      <c r="A115" s="2" t="s">
        <v>475</v>
      </c>
      <c r="B115" s="2" t="s">
        <v>39</v>
      </c>
      <c r="C115" s="2" t="s">
        <v>87</v>
      </c>
      <c r="D115" s="2" t="s">
        <v>255</v>
      </c>
      <c r="E115" s="2" t="s">
        <v>9</v>
      </c>
      <c r="F115" s="2" t="s">
        <v>9</v>
      </c>
      <c r="G115" s="2" t="s">
        <v>9</v>
      </c>
      <c r="H115" s="2" t="s">
        <v>9</v>
      </c>
      <c r="I115" s="2">
        <v>27.806315999999999</v>
      </c>
      <c r="J115" s="2">
        <v>-82.411533000000006</v>
      </c>
      <c r="K115" s="2" t="s">
        <v>37</v>
      </c>
      <c r="L115" s="2" t="s">
        <v>37</v>
      </c>
      <c r="M115" s="3" t="s">
        <v>33</v>
      </c>
      <c r="N115" s="3" t="s">
        <v>37</v>
      </c>
      <c r="O115" s="2" t="s">
        <v>33</v>
      </c>
      <c r="P115" s="3" t="s">
        <v>33</v>
      </c>
      <c r="Q115" s="3" t="s">
        <v>33</v>
      </c>
      <c r="R115" s="2" t="s">
        <v>33</v>
      </c>
      <c r="S115" s="3">
        <v>39722</v>
      </c>
      <c r="T115" s="3">
        <v>40179</v>
      </c>
      <c r="U115" s="2" t="s">
        <v>540</v>
      </c>
      <c r="V115" s="2" t="s">
        <v>9</v>
      </c>
      <c r="W115" s="2" t="s">
        <v>9</v>
      </c>
      <c r="X115" s="2" t="s">
        <v>9</v>
      </c>
      <c r="Y115" s="2" t="s">
        <v>9</v>
      </c>
      <c r="Z115" s="2" t="s">
        <v>9</v>
      </c>
      <c r="AA115" s="2" t="s">
        <v>9</v>
      </c>
      <c r="AB115" s="2" t="s">
        <v>591</v>
      </c>
      <c r="AC115" s="2" t="s">
        <v>9</v>
      </c>
      <c r="AD115" s="2" t="s">
        <v>255</v>
      </c>
      <c r="AE115" s="2" t="s">
        <v>41</v>
      </c>
      <c r="AF115" s="2" t="s">
        <v>9</v>
      </c>
    </row>
    <row r="116" spans="1:32" x14ac:dyDescent="0.25">
      <c r="A116" s="2" t="s">
        <v>476</v>
      </c>
      <c r="B116" s="2" t="s">
        <v>39</v>
      </c>
      <c r="C116" s="2" t="s">
        <v>87</v>
      </c>
      <c r="D116" s="2" t="s">
        <v>256</v>
      </c>
      <c r="E116" s="2" t="s">
        <v>9</v>
      </c>
      <c r="F116" s="2" t="s">
        <v>9</v>
      </c>
      <c r="G116" s="2" t="s">
        <v>9</v>
      </c>
      <c r="H116" s="2" t="s">
        <v>9</v>
      </c>
      <c r="I116" s="2">
        <v>27.817215999999998</v>
      </c>
      <c r="J116" s="2">
        <v>-82.398250000000004</v>
      </c>
      <c r="K116" s="2" t="s">
        <v>37</v>
      </c>
      <c r="L116" s="2" t="s">
        <v>37</v>
      </c>
      <c r="M116" s="3" t="s">
        <v>33</v>
      </c>
      <c r="N116" s="3" t="s">
        <v>37</v>
      </c>
      <c r="O116" s="2" t="s">
        <v>33</v>
      </c>
      <c r="P116" s="3" t="s">
        <v>33</v>
      </c>
      <c r="Q116" s="3" t="s">
        <v>33</v>
      </c>
      <c r="R116" s="2" t="s">
        <v>33</v>
      </c>
      <c r="S116" s="3">
        <v>39722</v>
      </c>
      <c r="T116" s="3">
        <v>40179</v>
      </c>
      <c r="U116" s="2" t="s">
        <v>540</v>
      </c>
      <c r="V116" s="2" t="s">
        <v>9</v>
      </c>
      <c r="W116" s="2" t="s">
        <v>9</v>
      </c>
      <c r="X116" s="2" t="s">
        <v>9</v>
      </c>
      <c r="Y116" s="2" t="s">
        <v>9</v>
      </c>
      <c r="Z116" s="2" t="s">
        <v>9</v>
      </c>
      <c r="AA116" s="2" t="s">
        <v>9</v>
      </c>
      <c r="AB116" s="2" t="s">
        <v>592</v>
      </c>
      <c r="AC116" s="2" t="s">
        <v>9</v>
      </c>
      <c r="AD116" s="2" t="s">
        <v>256</v>
      </c>
      <c r="AE116" s="2" t="s">
        <v>41</v>
      </c>
      <c r="AF116" s="2" t="s">
        <v>9</v>
      </c>
    </row>
    <row r="117" spans="1:32" x14ac:dyDescent="0.25">
      <c r="A117" s="2" t="s">
        <v>477</v>
      </c>
      <c r="B117" s="2" t="s">
        <v>39</v>
      </c>
      <c r="C117" s="2" t="s">
        <v>87</v>
      </c>
      <c r="D117" s="2" t="s">
        <v>257</v>
      </c>
      <c r="E117" s="2" t="s">
        <v>9</v>
      </c>
      <c r="F117" s="2" t="s">
        <v>9</v>
      </c>
      <c r="G117" s="2" t="s">
        <v>9</v>
      </c>
      <c r="H117" s="2" t="s">
        <v>9</v>
      </c>
      <c r="I117" s="2">
        <v>27.817482999999999</v>
      </c>
      <c r="J117" s="2">
        <v>-82.3977</v>
      </c>
      <c r="K117" s="2" t="s">
        <v>37</v>
      </c>
      <c r="L117" s="2" t="s">
        <v>37</v>
      </c>
      <c r="M117" s="3" t="s">
        <v>33</v>
      </c>
      <c r="N117" s="3" t="s">
        <v>37</v>
      </c>
      <c r="O117" s="2" t="s">
        <v>33</v>
      </c>
      <c r="P117" s="3" t="s">
        <v>33</v>
      </c>
      <c r="Q117" s="3" t="s">
        <v>33</v>
      </c>
      <c r="R117" s="2" t="s">
        <v>33</v>
      </c>
      <c r="S117" s="3">
        <v>39722</v>
      </c>
      <c r="T117" s="3">
        <v>40179</v>
      </c>
      <c r="U117" s="2" t="s">
        <v>540</v>
      </c>
      <c r="V117" s="2" t="s">
        <v>9</v>
      </c>
      <c r="W117" s="2" t="s">
        <v>9</v>
      </c>
      <c r="X117" s="2" t="s">
        <v>9</v>
      </c>
      <c r="Y117" s="2" t="s">
        <v>9</v>
      </c>
      <c r="Z117" s="2" t="s">
        <v>9</v>
      </c>
      <c r="AA117" s="2" t="s">
        <v>9</v>
      </c>
      <c r="AB117" s="2" t="s">
        <v>593</v>
      </c>
      <c r="AC117" s="2" t="s">
        <v>9</v>
      </c>
      <c r="AD117" s="2" t="s">
        <v>257</v>
      </c>
      <c r="AE117" s="2" t="s">
        <v>41</v>
      </c>
      <c r="AF117" s="2" t="s">
        <v>9</v>
      </c>
    </row>
    <row r="118" spans="1:32" x14ac:dyDescent="0.25">
      <c r="A118" s="2" t="s">
        <v>478</v>
      </c>
      <c r="B118" s="2" t="s">
        <v>39</v>
      </c>
      <c r="C118" s="2" t="s">
        <v>87</v>
      </c>
      <c r="D118" s="2" t="s">
        <v>258</v>
      </c>
      <c r="E118" s="2" t="s">
        <v>9</v>
      </c>
      <c r="F118" s="2" t="s">
        <v>9</v>
      </c>
      <c r="G118" s="2" t="s">
        <v>9</v>
      </c>
      <c r="H118" s="2" t="s">
        <v>9</v>
      </c>
      <c r="I118" s="2">
        <v>27.814933</v>
      </c>
      <c r="J118" s="2">
        <v>-82.402033000000003</v>
      </c>
      <c r="K118" s="2" t="s">
        <v>37</v>
      </c>
      <c r="L118" s="2" t="s">
        <v>37</v>
      </c>
      <c r="M118" s="3" t="s">
        <v>33</v>
      </c>
      <c r="N118" s="3" t="s">
        <v>37</v>
      </c>
      <c r="O118" s="2" t="s">
        <v>33</v>
      </c>
      <c r="P118" s="3" t="s">
        <v>33</v>
      </c>
      <c r="Q118" s="3" t="s">
        <v>33</v>
      </c>
      <c r="R118" s="2" t="s">
        <v>33</v>
      </c>
      <c r="S118" s="3">
        <v>39722</v>
      </c>
      <c r="T118" s="3">
        <v>40179</v>
      </c>
      <c r="U118" s="2" t="s">
        <v>540</v>
      </c>
      <c r="V118" s="2" t="s">
        <v>9</v>
      </c>
      <c r="W118" s="2" t="s">
        <v>9</v>
      </c>
      <c r="X118" s="2" t="s">
        <v>9</v>
      </c>
      <c r="Y118" s="2" t="s">
        <v>9</v>
      </c>
      <c r="Z118" s="2" t="s">
        <v>9</v>
      </c>
      <c r="AA118" s="2" t="s">
        <v>9</v>
      </c>
      <c r="AB118" s="2" t="s">
        <v>594</v>
      </c>
      <c r="AC118" s="2" t="s">
        <v>9</v>
      </c>
      <c r="AD118" s="2" t="s">
        <v>258</v>
      </c>
      <c r="AE118" s="2" t="s">
        <v>41</v>
      </c>
      <c r="AF118" s="2" t="s">
        <v>9</v>
      </c>
    </row>
    <row r="119" spans="1:32" x14ac:dyDescent="0.25">
      <c r="A119" s="2" t="s">
        <v>479</v>
      </c>
      <c r="B119" s="2" t="s">
        <v>39</v>
      </c>
      <c r="C119" s="2" t="s">
        <v>259</v>
      </c>
      <c r="D119" s="2" t="s">
        <v>260</v>
      </c>
      <c r="E119" s="2" t="s">
        <v>9</v>
      </c>
      <c r="F119" s="2" t="s">
        <v>9</v>
      </c>
      <c r="G119" s="2" t="s">
        <v>9</v>
      </c>
      <c r="H119" s="2" t="s">
        <v>9</v>
      </c>
      <c r="I119" s="2">
        <v>27.895083</v>
      </c>
      <c r="J119" s="2">
        <v>-82.487166000000002</v>
      </c>
      <c r="K119" s="2" t="s">
        <v>37</v>
      </c>
      <c r="L119" s="2" t="s">
        <v>37</v>
      </c>
      <c r="M119" s="3" t="s">
        <v>33</v>
      </c>
      <c r="N119" s="3" t="s">
        <v>37</v>
      </c>
      <c r="O119" s="2" t="s">
        <v>33</v>
      </c>
      <c r="P119" s="3" t="s">
        <v>33</v>
      </c>
      <c r="Q119" s="3" t="s">
        <v>33</v>
      </c>
      <c r="R119" s="2" t="s">
        <v>33</v>
      </c>
      <c r="S119" s="3">
        <v>39722</v>
      </c>
      <c r="T119" s="3">
        <v>40179</v>
      </c>
      <c r="U119" s="2" t="s">
        <v>540</v>
      </c>
      <c r="V119" s="2" t="s">
        <v>9</v>
      </c>
      <c r="W119" s="2" t="s">
        <v>9</v>
      </c>
      <c r="X119" s="2" t="s">
        <v>9</v>
      </c>
      <c r="Y119" s="2" t="s">
        <v>9</v>
      </c>
      <c r="Z119" s="2" t="s">
        <v>9</v>
      </c>
      <c r="AA119" s="2" t="s">
        <v>9</v>
      </c>
      <c r="AB119" s="2" t="s">
        <v>595</v>
      </c>
      <c r="AC119" s="2" t="s">
        <v>9</v>
      </c>
      <c r="AD119" s="2" t="s">
        <v>260</v>
      </c>
      <c r="AE119" s="2" t="s">
        <v>41</v>
      </c>
      <c r="AF119" s="2" t="s">
        <v>9</v>
      </c>
    </row>
    <row r="120" spans="1:32" x14ac:dyDescent="0.25">
      <c r="A120" s="2" t="s">
        <v>480</v>
      </c>
      <c r="B120" s="2" t="s">
        <v>39</v>
      </c>
      <c r="C120" s="2" t="s">
        <v>259</v>
      </c>
      <c r="D120" s="2" t="s">
        <v>261</v>
      </c>
      <c r="E120" s="2" t="s">
        <v>9</v>
      </c>
      <c r="F120" s="2" t="s">
        <v>9</v>
      </c>
      <c r="G120" s="2" t="s">
        <v>9</v>
      </c>
      <c r="H120" s="2" t="s">
        <v>9</v>
      </c>
      <c r="I120" s="2">
        <v>27.897400000000001</v>
      </c>
      <c r="J120" s="2">
        <v>-82.434200000000004</v>
      </c>
      <c r="K120" s="2" t="s">
        <v>37</v>
      </c>
      <c r="L120" s="2" t="s">
        <v>37</v>
      </c>
      <c r="M120" s="3" t="s">
        <v>33</v>
      </c>
      <c r="N120" s="3" t="s">
        <v>37</v>
      </c>
      <c r="O120" s="2" t="s">
        <v>33</v>
      </c>
      <c r="P120" s="3" t="s">
        <v>33</v>
      </c>
      <c r="Q120" s="3" t="s">
        <v>33</v>
      </c>
      <c r="R120" s="2" t="s">
        <v>33</v>
      </c>
      <c r="S120" s="3">
        <v>39722</v>
      </c>
      <c r="T120" s="3">
        <v>40179</v>
      </c>
      <c r="U120" s="2" t="s">
        <v>540</v>
      </c>
      <c r="V120" s="2" t="s">
        <v>9</v>
      </c>
      <c r="W120" s="2" t="s">
        <v>9</v>
      </c>
      <c r="X120" s="2" t="s">
        <v>9</v>
      </c>
      <c r="Y120" s="2" t="s">
        <v>9</v>
      </c>
      <c r="Z120" s="2" t="s">
        <v>9</v>
      </c>
      <c r="AA120" s="2" t="s">
        <v>9</v>
      </c>
      <c r="AB120" s="2" t="s">
        <v>596</v>
      </c>
      <c r="AC120" s="2" t="s">
        <v>9</v>
      </c>
      <c r="AD120" s="2" t="s">
        <v>261</v>
      </c>
      <c r="AE120" s="2" t="s">
        <v>41</v>
      </c>
      <c r="AF120" s="2" t="s">
        <v>9</v>
      </c>
    </row>
    <row r="121" spans="1:32" x14ac:dyDescent="0.25">
      <c r="A121" s="2" t="s">
        <v>481</v>
      </c>
      <c r="B121" s="2" t="s">
        <v>39</v>
      </c>
      <c r="C121" s="2" t="s">
        <v>259</v>
      </c>
      <c r="D121" s="2" t="s">
        <v>262</v>
      </c>
      <c r="E121" s="2" t="s">
        <v>9</v>
      </c>
      <c r="F121" s="2" t="s">
        <v>9</v>
      </c>
      <c r="G121" s="2" t="s">
        <v>9</v>
      </c>
      <c r="H121" s="2" t="s">
        <v>9</v>
      </c>
      <c r="I121" s="2">
        <v>27.897400000000001</v>
      </c>
      <c r="J121" s="2">
        <v>-82.434200000000004</v>
      </c>
      <c r="K121" s="2" t="s">
        <v>37</v>
      </c>
      <c r="L121" s="2" t="s">
        <v>37</v>
      </c>
      <c r="M121" s="3" t="s">
        <v>33</v>
      </c>
      <c r="N121" s="3" t="s">
        <v>37</v>
      </c>
      <c r="O121" s="2" t="s">
        <v>33</v>
      </c>
      <c r="P121" s="3" t="s">
        <v>33</v>
      </c>
      <c r="Q121" s="3" t="s">
        <v>33</v>
      </c>
      <c r="R121" s="2" t="s">
        <v>33</v>
      </c>
      <c r="S121" s="3">
        <v>39722</v>
      </c>
      <c r="T121" s="3">
        <v>40179</v>
      </c>
      <c r="U121" s="2" t="s">
        <v>540</v>
      </c>
      <c r="V121" s="2" t="s">
        <v>9</v>
      </c>
      <c r="W121" s="2" t="s">
        <v>9</v>
      </c>
      <c r="X121" s="2" t="s">
        <v>9</v>
      </c>
      <c r="Y121" s="2" t="s">
        <v>9</v>
      </c>
      <c r="Z121" s="2" t="s">
        <v>9</v>
      </c>
      <c r="AA121" s="2" t="s">
        <v>9</v>
      </c>
      <c r="AB121" s="2" t="s">
        <v>597</v>
      </c>
      <c r="AC121" s="2" t="s">
        <v>9</v>
      </c>
      <c r="AD121" s="2" t="s">
        <v>262</v>
      </c>
      <c r="AE121" s="2" t="s">
        <v>41</v>
      </c>
      <c r="AF121" s="2" t="s">
        <v>9</v>
      </c>
    </row>
    <row r="122" spans="1:32" x14ac:dyDescent="0.25">
      <c r="A122" s="2" t="s">
        <v>482</v>
      </c>
      <c r="B122" s="2" t="s">
        <v>39</v>
      </c>
      <c r="C122" s="2" t="s">
        <v>259</v>
      </c>
      <c r="D122" s="2" t="s">
        <v>263</v>
      </c>
      <c r="E122" s="2" t="s">
        <v>9</v>
      </c>
      <c r="F122" s="2" t="s">
        <v>9</v>
      </c>
      <c r="G122" s="2" t="s">
        <v>9</v>
      </c>
      <c r="H122" s="2" t="s">
        <v>9</v>
      </c>
      <c r="I122" s="2">
        <v>27.895083</v>
      </c>
      <c r="J122" s="2">
        <v>-82.487166000000002</v>
      </c>
      <c r="K122" s="2" t="s">
        <v>37</v>
      </c>
      <c r="L122" s="2" t="s">
        <v>37</v>
      </c>
      <c r="M122" s="3" t="s">
        <v>33</v>
      </c>
      <c r="N122" s="3" t="s">
        <v>37</v>
      </c>
      <c r="O122" s="2" t="s">
        <v>33</v>
      </c>
      <c r="P122" s="3" t="s">
        <v>33</v>
      </c>
      <c r="Q122" s="3" t="s">
        <v>33</v>
      </c>
      <c r="R122" s="2" t="s">
        <v>33</v>
      </c>
      <c r="S122" s="3">
        <v>39722</v>
      </c>
      <c r="T122" s="3">
        <v>40179</v>
      </c>
      <c r="U122" s="2" t="s">
        <v>540</v>
      </c>
      <c r="V122" s="2" t="s">
        <v>9</v>
      </c>
      <c r="W122" s="2" t="s">
        <v>9</v>
      </c>
      <c r="X122" s="2" t="s">
        <v>9</v>
      </c>
      <c r="Y122" s="2" t="s">
        <v>9</v>
      </c>
      <c r="Z122" s="2" t="s">
        <v>9</v>
      </c>
      <c r="AA122" s="2" t="s">
        <v>9</v>
      </c>
      <c r="AB122" s="2" t="s">
        <v>598</v>
      </c>
      <c r="AC122" s="2" t="s">
        <v>9</v>
      </c>
      <c r="AD122" s="2" t="s">
        <v>263</v>
      </c>
      <c r="AE122" s="2" t="s">
        <v>41</v>
      </c>
      <c r="AF122" s="2" t="s">
        <v>9</v>
      </c>
    </row>
    <row r="123" spans="1:32" x14ac:dyDescent="0.25">
      <c r="A123" s="2" t="s">
        <v>483</v>
      </c>
      <c r="B123" s="2" t="s">
        <v>39</v>
      </c>
      <c r="C123" s="2" t="s">
        <v>259</v>
      </c>
      <c r="D123" s="2" t="s">
        <v>264</v>
      </c>
      <c r="E123" s="2" t="s">
        <v>9</v>
      </c>
      <c r="F123" s="2" t="s">
        <v>9</v>
      </c>
      <c r="G123" s="2" t="s">
        <v>9</v>
      </c>
      <c r="H123" s="2" t="s">
        <v>9</v>
      </c>
      <c r="I123" s="2">
        <v>27.89255</v>
      </c>
      <c r="J123" s="2">
        <v>-82.541066000000001</v>
      </c>
      <c r="K123" s="2" t="s">
        <v>37</v>
      </c>
      <c r="L123" s="2" t="s">
        <v>37</v>
      </c>
      <c r="M123" s="3" t="s">
        <v>33</v>
      </c>
      <c r="N123" s="3" t="s">
        <v>37</v>
      </c>
      <c r="O123" s="2" t="s">
        <v>33</v>
      </c>
      <c r="P123" s="3" t="s">
        <v>33</v>
      </c>
      <c r="Q123" s="3" t="s">
        <v>33</v>
      </c>
      <c r="R123" s="2" t="s">
        <v>33</v>
      </c>
      <c r="S123" s="3">
        <v>39722</v>
      </c>
      <c r="T123" s="3">
        <v>40179</v>
      </c>
      <c r="U123" s="2" t="s">
        <v>540</v>
      </c>
      <c r="V123" s="2" t="s">
        <v>9</v>
      </c>
      <c r="W123" s="2" t="s">
        <v>9</v>
      </c>
      <c r="X123" s="2" t="s">
        <v>9</v>
      </c>
      <c r="Y123" s="2" t="s">
        <v>9</v>
      </c>
      <c r="Z123" s="2" t="s">
        <v>9</v>
      </c>
      <c r="AA123" s="2" t="s">
        <v>9</v>
      </c>
      <c r="AB123" s="2" t="s">
        <v>599</v>
      </c>
      <c r="AC123" s="2" t="s">
        <v>9</v>
      </c>
      <c r="AD123" s="2" t="s">
        <v>264</v>
      </c>
      <c r="AE123" s="2" t="s">
        <v>41</v>
      </c>
      <c r="AF123" s="2" t="s">
        <v>9</v>
      </c>
    </row>
    <row r="124" spans="1:32" x14ac:dyDescent="0.25">
      <c r="A124" s="2" t="s">
        <v>484</v>
      </c>
      <c r="B124" s="2" t="s">
        <v>39</v>
      </c>
      <c r="C124" s="2" t="s">
        <v>259</v>
      </c>
      <c r="D124" s="2" t="s">
        <v>265</v>
      </c>
      <c r="E124" s="2" t="s">
        <v>9</v>
      </c>
      <c r="F124" s="2" t="s">
        <v>9</v>
      </c>
      <c r="G124" s="2" t="s">
        <v>9</v>
      </c>
      <c r="H124" s="2" t="s">
        <v>9</v>
      </c>
      <c r="I124" s="2">
        <v>27.89255</v>
      </c>
      <c r="J124" s="2">
        <v>-82.541066000000001</v>
      </c>
      <c r="K124" s="2" t="s">
        <v>37</v>
      </c>
      <c r="L124" s="2" t="s">
        <v>37</v>
      </c>
      <c r="M124" s="3" t="s">
        <v>33</v>
      </c>
      <c r="N124" s="3" t="s">
        <v>37</v>
      </c>
      <c r="O124" s="2" t="s">
        <v>33</v>
      </c>
      <c r="P124" s="3" t="s">
        <v>33</v>
      </c>
      <c r="Q124" s="3" t="s">
        <v>33</v>
      </c>
      <c r="R124" s="2" t="s">
        <v>33</v>
      </c>
      <c r="S124" s="3">
        <v>39722</v>
      </c>
      <c r="T124" s="3">
        <v>40179</v>
      </c>
      <c r="U124" s="2" t="s">
        <v>540</v>
      </c>
      <c r="V124" s="2" t="s">
        <v>9</v>
      </c>
      <c r="W124" s="2" t="s">
        <v>9</v>
      </c>
      <c r="X124" s="2" t="s">
        <v>9</v>
      </c>
      <c r="Y124" s="2" t="s">
        <v>9</v>
      </c>
      <c r="Z124" s="2" t="s">
        <v>9</v>
      </c>
      <c r="AA124" s="2" t="s">
        <v>9</v>
      </c>
      <c r="AB124" s="2" t="s">
        <v>600</v>
      </c>
      <c r="AC124" s="2" t="s">
        <v>9</v>
      </c>
      <c r="AD124" s="2" t="s">
        <v>265</v>
      </c>
      <c r="AE124" s="2" t="s">
        <v>41</v>
      </c>
      <c r="AF124" s="2" t="s">
        <v>9</v>
      </c>
    </row>
    <row r="125" spans="1:32" x14ac:dyDescent="0.25">
      <c r="A125" s="2" t="s">
        <v>485</v>
      </c>
      <c r="B125" s="2" t="s">
        <v>39</v>
      </c>
      <c r="C125" s="2" t="s">
        <v>259</v>
      </c>
      <c r="D125" s="2" t="s">
        <v>266</v>
      </c>
      <c r="E125" s="2" t="s">
        <v>9</v>
      </c>
      <c r="F125" s="2" t="s">
        <v>9</v>
      </c>
      <c r="G125" s="2" t="s">
        <v>9</v>
      </c>
      <c r="H125" s="2" t="s">
        <v>9</v>
      </c>
      <c r="I125" s="2">
        <v>27.89255</v>
      </c>
      <c r="J125" s="2">
        <v>-82.541066000000001</v>
      </c>
      <c r="K125" s="2" t="s">
        <v>37</v>
      </c>
      <c r="L125" s="2" t="s">
        <v>37</v>
      </c>
      <c r="M125" s="3" t="s">
        <v>33</v>
      </c>
      <c r="N125" s="3" t="s">
        <v>37</v>
      </c>
      <c r="O125" s="2" t="s">
        <v>33</v>
      </c>
      <c r="P125" s="3" t="s">
        <v>33</v>
      </c>
      <c r="Q125" s="3" t="s">
        <v>33</v>
      </c>
      <c r="R125" s="2" t="s">
        <v>33</v>
      </c>
      <c r="S125" s="3">
        <v>39722</v>
      </c>
      <c r="T125" s="3">
        <v>40179</v>
      </c>
      <c r="U125" s="2" t="s">
        <v>540</v>
      </c>
      <c r="V125" s="2" t="s">
        <v>9</v>
      </c>
      <c r="W125" s="2" t="s">
        <v>9</v>
      </c>
      <c r="X125" s="2" t="s">
        <v>9</v>
      </c>
      <c r="Y125" s="2" t="s">
        <v>9</v>
      </c>
      <c r="Z125" s="2" t="s">
        <v>9</v>
      </c>
      <c r="AA125" s="2" t="s">
        <v>9</v>
      </c>
      <c r="AB125" s="2" t="s">
        <v>601</v>
      </c>
      <c r="AC125" s="2" t="s">
        <v>9</v>
      </c>
      <c r="AD125" s="2" t="s">
        <v>266</v>
      </c>
      <c r="AE125" s="2" t="s">
        <v>41</v>
      </c>
      <c r="AF125" s="2" t="s">
        <v>9</v>
      </c>
    </row>
    <row r="126" spans="1:32" x14ac:dyDescent="0.25">
      <c r="A126" s="2" t="s">
        <v>486</v>
      </c>
      <c r="B126" s="2" t="s">
        <v>39</v>
      </c>
      <c r="C126" s="2" t="s">
        <v>259</v>
      </c>
      <c r="D126" s="2" t="s">
        <v>267</v>
      </c>
      <c r="E126" s="2" t="s">
        <v>9</v>
      </c>
      <c r="F126" s="2" t="s">
        <v>9</v>
      </c>
      <c r="G126" s="2" t="s">
        <v>9</v>
      </c>
      <c r="H126" s="2" t="s">
        <v>9</v>
      </c>
      <c r="I126" s="2">
        <v>27.89255</v>
      </c>
      <c r="J126" s="2">
        <v>-82.541066000000001</v>
      </c>
      <c r="K126" s="2" t="s">
        <v>37</v>
      </c>
      <c r="L126" s="2" t="s">
        <v>37</v>
      </c>
      <c r="M126" s="3" t="s">
        <v>33</v>
      </c>
      <c r="N126" s="3" t="s">
        <v>37</v>
      </c>
      <c r="O126" s="2" t="s">
        <v>33</v>
      </c>
      <c r="P126" s="3" t="s">
        <v>33</v>
      </c>
      <c r="Q126" s="3" t="s">
        <v>33</v>
      </c>
      <c r="R126" s="2" t="s">
        <v>33</v>
      </c>
      <c r="S126" s="3">
        <v>39722</v>
      </c>
      <c r="T126" s="3">
        <v>40179</v>
      </c>
      <c r="U126" s="2" t="s">
        <v>540</v>
      </c>
      <c r="V126" s="2" t="s">
        <v>9</v>
      </c>
      <c r="W126" s="2" t="s">
        <v>9</v>
      </c>
      <c r="X126" s="2" t="s">
        <v>9</v>
      </c>
      <c r="Y126" s="2" t="s">
        <v>9</v>
      </c>
      <c r="Z126" s="2" t="s">
        <v>9</v>
      </c>
      <c r="AA126" s="2" t="s">
        <v>9</v>
      </c>
      <c r="AB126" s="2" t="s">
        <v>602</v>
      </c>
      <c r="AC126" s="2" t="s">
        <v>9</v>
      </c>
      <c r="AD126" s="2" t="s">
        <v>267</v>
      </c>
      <c r="AE126" s="2" t="s">
        <v>41</v>
      </c>
      <c r="AF126" s="2" t="s">
        <v>9</v>
      </c>
    </row>
    <row r="127" spans="1:32" x14ac:dyDescent="0.25">
      <c r="A127" s="2" t="s">
        <v>487</v>
      </c>
      <c r="B127" s="2" t="s">
        <v>31</v>
      </c>
      <c r="C127" s="2" t="s">
        <v>36</v>
      </c>
      <c r="D127" s="2" t="s">
        <v>132</v>
      </c>
      <c r="E127" s="2">
        <v>3</v>
      </c>
      <c r="F127" s="2" t="s">
        <v>9</v>
      </c>
      <c r="G127" s="2" t="s">
        <v>9</v>
      </c>
      <c r="H127" s="2" t="s">
        <v>9</v>
      </c>
      <c r="I127" s="2">
        <v>29.680569999999999</v>
      </c>
      <c r="J127" s="2">
        <v>-85.058049999999994</v>
      </c>
      <c r="K127" s="2" t="s">
        <v>37</v>
      </c>
      <c r="L127" s="2" t="s">
        <v>37</v>
      </c>
      <c r="M127" s="3" t="s">
        <v>33</v>
      </c>
      <c r="N127" s="3" t="s">
        <v>37</v>
      </c>
      <c r="O127" s="2" t="s">
        <v>33</v>
      </c>
      <c r="P127" s="3" t="s">
        <v>33</v>
      </c>
      <c r="Q127" s="3" t="s">
        <v>33</v>
      </c>
      <c r="R127" s="2" t="s">
        <v>33</v>
      </c>
      <c r="S127" s="3">
        <v>44480</v>
      </c>
      <c r="T127" s="3">
        <v>73050</v>
      </c>
      <c r="U127" s="2" t="s">
        <v>540</v>
      </c>
      <c r="V127" s="2" t="s">
        <v>9</v>
      </c>
      <c r="W127" s="2" t="s">
        <v>9</v>
      </c>
      <c r="X127" s="2" t="s">
        <v>9</v>
      </c>
      <c r="Y127" s="2" t="s">
        <v>9</v>
      </c>
      <c r="Z127" s="2" t="s">
        <v>9</v>
      </c>
      <c r="AA127" s="2" t="s">
        <v>9</v>
      </c>
      <c r="AB127" s="2" t="s">
        <v>9</v>
      </c>
      <c r="AC127" s="2" t="s">
        <v>9</v>
      </c>
      <c r="AD127" s="2" t="s">
        <v>133</v>
      </c>
      <c r="AE127" s="2" t="s">
        <v>34</v>
      </c>
      <c r="AF127" s="2" t="s">
        <v>9</v>
      </c>
    </row>
    <row r="128" spans="1:32" x14ac:dyDescent="0.25">
      <c r="A128" s="2" t="s">
        <v>488</v>
      </c>
      <c r="B128" s="2" t="s">
        <v>154</v>
      </c>
      <c r="C128" s="2" t="s">
        <v>88</v>
      </c>
      <c r="D128" s="2" t="s">
        <v>268</v>
      </c>
      <c r="E128" s="2">
        <v>4</v>
      </c>
      <c r="F128" s="2" t="s">
        <v>9</v>
      </c>
      <c r="G128" s="2" t="s">
        <v>9</v>
      </c>
      <c r="H128" s="2" t="s">
        <v>9</v>
      </c>
      <c r="I128" s="2">
        <v>26</v>
      </c>
      <c r="J128" s="2">
        <v>-80</v>
      </c>
      <c r="K128" s="2" t="s">
        <v>37</v>
      </c>
      <c r="L128" s="2" t="s">
        <v>37</v>
      </c>
      <c r="M128" s="3" t="s">
        <v>37</v>
      </c>
      <c r="N128" s="3" t="s">
        <v>37</v>
      </c>
      <c r="O128" s="2" t="s">
        <v>33</v>
      </c>
      <c r="P128" s="3" t="s">
        <v>33</v>
      </c>
      <c r="Q128" s="3" t="s">
        <v>33</v>
      </c>
      <c r="R128" s="2" t="s">
        <v>33</v>
      </c>
      <c r="S128" s="3">
        <v>43831</v>
      </c>
      <c r="T128" s="3">
        <v>73050</v>
      </c>
      <c r="U128" s="2" t="s">
        <v>540</v>
      </c>
      <c r="V128" s="2" t="s">
        <v>9</v>
      </c>
      <c r="W128" s="2" t="s">
        <v>9</v>
      </c>
      <c r="X128" s="2" t="s">
        <v>9</v>
      </c>
      <c r="Y128" s="2" t="s">
        <v>9</v>
      </c>
      <c r="Z128" s="2" t="s">
        <v>9</v>
      </c>
      <c r="AA128" s="2" t="s">
        <v>9</v>
      </c>
      <c r="AB128" s="2" t="s">
        <v>9</v>
      </c>
      <c r="AC128" s="2" t="s">
        <v>9</v>
      </c>
      <c r="AD128" s="2" t="s">
        <v>269</v>
      </c>
      <c r="AE128" s="2" t="s">
        <v>157</v>
      </c>
      <c r="AF128" s="2" t="s">
        <v>9</v>
      </c>
    </row>
    <row r="129" spans="1:32" x14ac:dyDescent="0.25">
      <c r="A129" s="2" t="s">
        <v>489</v>
      </c>
      <c r="B129" s="2" t="s">
        <v>270</v>
      </c>
      <c r="C129" s="2" t="s">
        <v>33</v>
      </c>
      <c r="D129" s="2" t="s">
        <v>271</v>
      </c>
      <c r="E129" s="2">
        <v>1</v>
      </c>
      <c r="F129" s="2" t="s">
        <v>9</v>
      </c>
      <c r="G129" s="2" t="s">
        <v>9</v>
      </c>
      <c r="H129" s="2" t="s">
        <v>9</v>
      </c>
      <c r="I129" s="2">
        <v>30.483090000000001</v>
      </c>
      <c r="J129" s="2">
        <v>-87.146879999999996</v>
      </c>
      <c r="K129" s="2" t="s">
        <v>37</v>
      </c>
      <c r="L129" s="2" t="s">
        <v>33</v>
      </c>
      <c r="M129" s="3" t="s">
        <v>37</v>
      </c>
      <c r="N129" s="3" t="s">
        <v>37</v>
      </c>
      <c r="O129" s="2" t="s">
        <v>33</v>
      </c>
      <c r="P129" s="3" t="s">
        <v>33</v>
      </c>
      <c r="Q129" s="3" t="s">
        <v>33</v>
      </c>
      <c r="R129" s="2" t="s">
        <v>33</v>
      </c>
      <c r="S129" s="3">
        <v>44621</v>
      </c>
      <c r="T129" s="3">
        <v>73050</v>
      </c>
      <c r="U129" s="2" t="s">
        <v>540</v>
      </c>
      <c r="V129" s="2" t="s">
        <v>9</v>
      </c>
      <c r="W129" s="2" t="s">
        <v>9</v>
      </c>
      <c r="X129" s="2" t="s">
        <v>9</v>
      </c>
      <c r="Y129" s="2" t="s">
        <v>9</v>
      </c>
      <c r="Z129" s="2" t="s">
        <v>9</v>
      </c>
      <c r="AA129" s="2" t="s">
        <v>9</v>
      </c>
      <c r="AB129" s="2" t="s">
        <v>9</v>
      </c>
      <c r="AC129" s="2" t="s">
        <v>9</v>
      </c>
      <c r="AD129" s="2" t="s">
        <v>272</v>
      </c>
      <c r="AE129" s="2" t="s">
        <v>273</v>
      </c>
      <c r="AF129" s="2" t="s">
        <v>9</v>
      </c>
    </row>
    <row r="130" spans="1:32" x14ac:dyDescent="0.25">
      <c r="A130" s="2" t="s">
        <v>490</v>
      </c>
      <c r="B130" s="2" t="s">
        <v>270</v>
      </c>
      <c r="C130" s="2" t="s">
        <v>33</v>
      </c>
      <c r="D130" s="2" t="s">
        <v>274</v>
      </c>
      <c r="E130" s="2">
        <v>2</v>
      </c>
      <c r="F130" s="2" t="s">
        <v>9</v>
      </c>
      <c r="G130" s="2" t="s">
        <v>9</v>
      </c>
      <c r="H130" s="2" t="s">
        <v>9</v>
      </c>
      <c r="I130" s="2">
        <v>30.517029999999998</v>
      </c>
      <c r="J130" s="2">
        <v>-87.111649</v>
      </c>
      <c r="K130" s="2" t="s">
        <v>37</v>
      </c>
      <c r="L130" s="2" t="s">
        <v>33</v>
      </c>
      <c r="M130" s="3" t="s">
        <v>37</v>
      </c>
      <c r="N130" s="3" t="s">
        <v>37</v>
      </c>
      <c r="O130" s="2" t="s">
        <v>33</v>
      </c>
      <c r="P130" s="3" t="s">
        <v>37</v>
      </c>
      <c r="Q130" s="3" t="s">
        <v>33</v>
      </c>
      <c r="R130" s="2" t="s">
        <v>33</v>
      </c>
      <c r="S130" s="3">
        <v>44621</v>
      </c>
      <c r="T130" s="3">
        <v>73050</v>
      </c>
      <c r="U130" s="2" t="s">
        <v>540</v>
      </c>
      <c r="V130" s="2" t="s">
        <v>9</v>
      </c>
      <c r="W130" s="2" t="s">
        <v>9</v>
      </c>
      <c r="X130" s="2" t="s">
        <v>9</v>
      </c>
      <c r="Y130" s="2" t="s">
        <v>9</v>
      </c>
      <c r="Z130" s="2" t="s">
        <v>9</v>
      </c>
      <c r="AA130" s="2" t="s">
        <v>9</v>
      </c>
      <c r="AB130" s="2" t="s">
        <v>9</v>
      </c>
      <c r="AC130" s="2" t="s">
        <v>9</v>
      </c>
      <c r="AD130" s="2" t="s">
        <v>275</v>
      </c>
      <c r="AE130" s="2" t="s">
        <v>273</v>
      </c>
      <c r="AF130" s="2" t="s">
        <v>9</v>
      </c>
    </row>
    <row r="131" spans="1:32" x14ac:dyDescent="0.25">
      <c r="A131" s="2" t="s">
        <v>491</v>
      </c>
      <c r="B131" s="2" t="s">
        <v>270</v>
      </c>
      <c r="C131" s="2" t="s">
        <v>33</v>
      </c>
      <c r="D131" s="2" t="s">
        <v>276</v>
      </c>
      <c r="E131" s="2">
        <v>3</v>
      </c>
      <c r="F131" s="2" t="s">
        <v>9</v>
      </c>
      <c r="G131" s="2" t="s">
        <v>9</v>
      </c>
      <c r="H131" s="2" t="s">
        <v>9</v>
      </c>
      <c r="I131" s="2">
        <v>30.496138999999999</v>
      </c>
      <c r="J131" s="2">
        <v>-87.115539999999996</v>
      </c>
      <c r="K131" s="2" t="s">
        <v>37</v>
      </c>
      <c r="L131" s="2" t="s">
        <v>33</v>
      </c>
      <c r="M131" s="3" t="s">
        <v>33</v>
      </c>
      <c r="N131" s="3" t="s">
        <v>37</v>
      </c>
      <c r="O131" s="2" t="s">
        <v>33</v>
      </c>
      <c r="P131" s="3" t="s">
        <v>33</v>
      </c>
      <c r="Q131" s="3" t="s">
        <v>33</v>
      </c>
      <c r="R131" s="2" t="s">
        <v>33</v>
      </c>
      <c r="S131" s="3">
        <v>44621</v>
      </c>
      <c r="T131" s="3">
        <v>73050</v>
      </c>
      <c r="U131" s="2" t="s">
        <v>540</v>
      </c>
      <c r="V131" s="2" t="s">
        <v>9</v>
      </c>
      <c r="W131" s="2" t="s">
        <v>9</v>
      </c>
      <c r="X131" s="2" t="s">
        <v>9</v>
      </c>
      <c r="Y131" s="2" t="s">
        <v>9</v>
      </c>
      <c r="Z131" s="2" t="s">
        <v>9</v>
      </c>
      <c r="AA131" s="2" t="s">
        <v>9</v>
      </c>
      <c r="AB131" s="2" t="s">
        <v>9</v>
      </c>
      <c r="AC131" s="2" t="s">
        <v>9</v>
      </c>
      <c r="AD131" s="2" t="s">
        <v>277</v>
      </c>
      <c r="AE131" s="2" t="s">
        <v>273</v>
      </c>
      <c r="AF131" s="2" t="s">
        <v>9</v>
      </c>
    </row>
    <row r="132" spans="1:32" x14ac:dyDescent="0.25">
      <c r="A132" s="2" t="s">
        <v>492</v>
      </c>
      <c r="B132" s="2" t="s">
        <v>270</v>
      </c>
      <c r="C132" s="2" t="s">
        <v>33</v>
      </c>
      <c r="D132" s="2" t="s">
        <v>278</v>
      </c>
      <c r="E132" s="2">
        <v>4</v>
      </c>
      <c r="F132" s="2" t="s">
        <v>9</v>
      </c>
      <c r="G132" s="2" t="s">
        <v>9</v>
      </c>
      <c r="H132" s="2" t="s">
        <v>9</v>
      </c>
      <c r="I132" s="2">
        <v>30.482299000000001</v>
      </c>
      <c r="J132" s="2">
        <v>-87.113960000000006</v>
      </c>
      <c r="K132" s="2" t="s">
        <v>37</v>
      </c>
      <c r="L132" s="2" t="s">
        <v>33</v>
      </c>
      <c r="M132" s="3" t="s">
        <v>33</v>
      </c>
      <c r="N132" s="3" t="s">
        <v>37</v>
      </c>
      <c r="O132" s="2" t="s">
        <v>33</v>
      </c>
      <c r="P132" s="3" t="s">
        <v>33</v>
      </c>
      <c r="Q132" s="3" t="s">
        <v>33</v>
      </c>
      <c r="R132" s="2" t="s">
        <v>33</v>
      </c>
      <c r="S132" s="3">
        <v>44621</v>
      </c>
      <c r="T132" s="3">
        <v>73050</v>
      </c>
      <c r="U132" s="2" t="s">
        <v>540</v>
      </c>
      <c r="V132" s="2" t="s">
        <v>9</v>
      </c>
      <c r="W132" s="2" t="s">
        <v>9</v>
      </c>
      <c r="X132" s="2" t="s">
        <v>9</v>
      </c>
      <c r="Y132" s="2" t="s">
        <v>9</v>
      </c>
      <c r="Z132" s="2" t="s">
        <v>9</v>
      </c>
      <c r="AA132" s="2" t="s">
        <v>9</v>
      </c>
      <c r="AB132" s="2" t="s">
        <v>9</v>
      </c>
      <c r="AC132" s="2" t="s">
        <v>9</v>
      </c>
      <c r="AD132" s="2" t="s">
        <v>279</v>
      </c>
      <c r="AE132" s="2" t="s">
        <v>273</v>
      </c>
      <c r="AF132" s="2" t="s">
        <v>9</v>
      </c>
    </row>
    <row r="133" spans="1:32" x14ac:dyDescent="0.25">
      <c r="A133" s="2" t="s">
        <v>493</v>
      </c>
      <c r="B133" s="2" t="s">
        <v>270</v>
      </c>
      <c r="C133" s="2" t="s">
        <v>33</v>
      </c>
      <c r="D133" s="2" t="s">
        <v>280</v>
      </c>
      <c r="E133" s="2">
        <v>5</v>
      </c>
      <c r="F133" s="2" t="s">
        <v>9</v>
      </c>
      <c r="G133" s="2" t="s">
        <v>9</v>
      </c>
      <c r="H133" s="2" t="s">
        <v>9</v>
      </c>
      <c r="I133" s="2">
        <v>30.46725</v>
      </c>
      <c r="J133" s="2">
        <v>-87.100639999999999</v>
      </c>
      <c r="K133" s="2" t="s">
        <v>37</v>
      </c>
      <c r="L133" s="2" t="s">
        <v>33</v>
      </c>
      <c r="M133" s="3" t="s">
        <v>37</v>
      </c>
      <c r="N133" s="3" t="s">
        <v>37</v>
      </c>
      <c r="O133" s="2" t="s">
        <v>33</v>
      </c>
      <c r="P133" s="3" t="s">
        <v>33</v>
      </c>
      <c r="Q133" s="3" t="s">
        <v>33</v>
      </c>
      <c r="R133" s="2" t="s">
        <v>33</v>
      </c>
      <c r="S133" s="3">
        <v>44621</v>
      </c>
      <c r="T133" s="3">
        <v>73050</v>
      </c>
      <c r="U133" s="2" t="s">
        <v>540</v>
      </c>
      <c r="V133" s="2" t="s">
        <v>9</v>
      </c>
      <c r="W133" s="2" t="s">
        <v>9</v>
      </c>
      <c r="X133" s="2" t="s">
        <v>9</v>
      </c>
      <c r="Y133" s="2" t="s">
        <v>9</v>
      </c>
      <c r="Z133" s="2" t="s">
        <v>9</v>
      </c>
      <c r="AA133" s="2" t="s">
        <v>9</v>
      </c>
      <c r="AB133" s="2" t="s">
        <v>9</v>
      </c>
      <c r="AC133" s="2" t="s">
        <v>9</v>
      </c>
      <c r="AD133" s="2" t="s">
        <v>281</v>
      </c>
      <c r="AE133" s="2" t="s">
        <v>273</v>
      </c>
      <c r="AF133" s="2" t="s">
        <v>9</v>
      </c>
    </row>
    <row r="134" spans="1:32" x14ac:dyDescent="0.25">
      <c r="A134" s="2" t="s">
        <v>494</v>
      </c>
      <c r="B134" s="2" t="s">
        <v>270</v>
      </c>
      <c r="C134" s="2" t="s">
        <v>32</v>
      </c>
      <c r="D134" s="2" t="s">
        <v>282</v>
      </c>
      <c r="E134" s="2">
        <v>6</v>
      </c>
      <c r="F134" s="2" t="s">
        <v>9</v>
      </c>
      <c r="G134" s="2" t="s">
        <v>9</v>
      </c>
      <c r="H134" s="2" t="s">
        <v>9</v>
      </c>
      <c r="I134" s="2">
        <v>30.455469000000001</v>
      </c>
      <c r="J134" s="2">
        <v>-87.057749000000001</v>
      </c>
      <c r="K134" s="2" t="s">
        <v>37</v>
      </c>
      <c r="L134" s="2" t="s">
        <v>33</v>
      </c>
      <c r="M134" s="3" t="s">
        <v>33</v>
      </c>
      <c r="N134" s="3" t="s">
        <v>37</v>
      </c>
      <c r="O134" s="2" t="s">
        <v>33</v>
      </c>
      <c r="P134" s="3" t="s">
        <v>33</v>
      </c>
      <c r="Q134" s="3" t="s">
        <v>33</v>
      </c>
      <c r="R134" s="2" t="s">
        <v>33</v>
      </c>
      <c r="S134" s="3">
        <v>44621</v>
      </c>
      <c r="T134" s="3">
        <v>73050</v>
      </c>
      <c r="U134" s="2" t="s">
        <v>540</v>
      </c>
      <c r="V134" s="2" t="s">
        <v>9</v>
      </c>
      <c r="W134" s="2" t="s">
        <v>9</v>
      </c>
      <c r="X134" s="2" t="s">
        <v>9</v>
      </c>
      <c r="Y134" s="2" t="s">
        <v>9</v>
      </c>
      <c r="Z134" s="2" t="s">
        <v>9</v>
      </c>
      <c r="AA134" s="2" t="s">
        <v>9</v>
      </c>
      <c r="AB134" s="2" t="s">
        <v>9</v>
      </c>
      <c r="AC134" s="2" t="s">
        <v>9</v>
      </c>
      <c r="AD134" s="2" t="s">
        <v>283</v>
      </c>
      <c r="AE134" s="2" t="s">
        <v>273</v>
      </c>
      <c r="AF134" s="2" t="s">
        <v>9</v>
      </c>
    </row>
    <row r="135" spans="1:32" x14ac:dyDescent="0.25">
      <c r="A135" s="2" t="s">
        <v>495</v>
      </c>
      <c r="B135" s="2" t="s">
        <v>270</v>
      </c>
      <c r="C135" s="2" t="s">
        <v>32</v>
      </c>
      <c r="D135" s="2" t="s">
        <v>284</v>
      </c>
      <c r="E135" s="2">
        <v>7</v>
      </c>
      <c r="F135" s="2" t="s">
        <v>9</v>
      </c>
      <c r="G135" s="2" t="s">
        <v>9</v>
      </c>
      <c r="H135" s="2" t="s">
        <v>9</v>
      </c>
      <c r="I135" s="2">
        <v>30.485439</v>
      </c>
      <c r="J135" s="2">
        <v>-87.018328999999994</v>
      </c>
      <c r="K135" s="2" t="s">
        <v>37</v>
      </c>
      <c r="L135" s="2" t="s">
        <v>33</v>
      </c>
      <c r="M135" s="3" t="s">
        <v>37</v>
      </c>
      <c r="N135" s="3" t="s">
        <v>37</v>
      </c>
      <c r="O135" s="2" t="s">
        <v>33</v>
      </c>
      <c r="P135" s="3" t="s">
        <v>37</v>
      </c>
      <c r="Q135" s="3" t="s">
        <v>33</v>
      </c>
      <c r="R135" s="2" t="s">
        <v>33</v>
      </c>
      <c r="S135" s="3">
        <v>44621</v>
      </c>
      <c r="T135" s="3">
        <v>73050</v>
      </c>
      <c r="U135" s="2" t="s">
        <v>540</v>
      </c>
      <c r="V135" s="2" t="s">
        <v>9</v>
      </c>
      <c r="W135" s="2" t="s">
        <v>9</v>
      </c>
      <c r="X135" s="2" t="s">
        <v>9</v>
      </c>
      <c r="Y135" s="2" t="s">
        <v>9</v>
      </c>
      <c r="Z135" s="2" t="s">
        <v>9</v>
      </c>
      <c r="AA135" s="2" t="s">
        <v>9</v>
      </c>
      <c r="AB135" s="2" t="s">
        <v>9</v>
      </c>
      <c r="AC135" s="2" t="s">
        <v>9</v>
      </c>
      <c r="AD135" s="2" t="s">
        <v>285</v>
      </c>
      <c r="AE135" s="2" t="s">
        <v>273</v>
      </c>
      <c r="AF135" s="2" t="s">
        <v>9</v>
      </c>
    </row>
    <row r="136" spans="1:32" x14ac:dyDescent="0.25">
      <c r="A136" s="2" t="s">
        <v>496</v>
      </c>
      <c r="B136" s="2" t="s">
        <v>270</v>
      </c>
      <c r="C136" s="2" t="s">
        <v>32</v>
      </c>
      <c r="D136" s="2" t="s">
        <v>286</v>
      </c>
      <c r="E136" s="2">
        <v>8</v>
      </c>
      <c r="F136" s="2" t="s">
        <v>9</v>
      </c>
      <c r="G136" s="2" t="s">
        <v>9</v>
      </c>
      <c r="H136" s="2" t="s">
        <v>9</v>
      </c>
      <c r="I136" s="2">
        <v>30.433769000000002</v>
      </c>
      <c r="J136" s="2">
        <v>-87.011020000000002</v>
      </c>
      <c r="K136" s="2" t="s">
        <v>37</v>
      </c>
      <c r="L136" s="2" t="s">
        <v>33</v>
      </c>
      <c r="M136" s="3" t="s">
        <v>37</v>
      </c>
      <c r="N136" s="3" t="s">
        <v>37</v>
      </c>
      <c r="O136" s="2" t="s">
        <v>33</v>
      </c>
      <c r="P136" s="3" t="s">
        <v>33</v>
      </c>
      <c r="Q136" s="3" t="s">
        <v>33</v>
      </c>
      <c r="R136" s="2" t="s">
        <v>33</v>
      </c>
      <c r="S136" s="3">
        <v>44621</v>
      </c>
      <c r="T136" s="3">
        <v>73050</v>
      </c>
      <c r="U136" s="2" t="s">
        <v>540</v>
      </c>
      <c r="V136" s="2" t="s">
        <v>9</v>
      </c>
      <c r="W136" s="2" t="s">
        <v>9</v>
      </c>
      <c r="X136" s="2" t="s">
        <v>9</v>
      </c>
      <c r="Y136" s="2" t="s">
        <v>9</v>
      </c>
      <c r="Z136" s="2" t="s">
        <v>9</v>
      </c>
      <c r="AA136" s="2" t="s">
        <v>9</v>
      </c>
      <c r="AB136" s="2" t="s">
        <v>9</v>
      </c>
      <c r="AC136" s="2" t="s">
        <v>9</v>
      </c>
      <c r="AD136" s="2" t="s">
        <v>287</v>
      </c>
      <c r="AE136" s="2" t="s">
        <v>273</v>
      </c>
      <c r="AF136" s="2" t="s">
        <v>9</v>
      </c>
    </row>
    <row r="137" spans="1:32" x14ac:dyDescent="0.25">
      <c r="A137" s="2" t="s">
        <v>497</v>
      </c>
      <c r="B137" s="2" t="s">
        <v>270</v>
      </c>
      <c r="C137" s="2" t="s">
        <v>32</v>
      </c>
      <c r="D137" s="2" t="s">
        <v>288</v>
      </c>
      <c r="E137" s="2">
        <v>9</v>
      </c>
      <c r="F137" s="2" t="s">
        <v>9</v>
      </c>
      <c r="G137" s="2" t="s">
        <v>9</v>
      </c>
      <c r="H137" s="2" t="s">
        <v>9</v>
      </c>
      <c r="I137" s="2">
        <v>30.462389999999999</v>
      </c>
      <c r="J137" s="2">
        <v>-86.959479000000002</v>
      </c>
      <c r="K137" s="2" t="s">
        <v>37</v>
      </c>
      <c r="L137" s="2" t="s">
        <v>33</v>
      </c>
      <c r="M137" s="3" t="s">
        <v>37</v>
      </c>
      <c r="N137" s="3" t="s">
        <v>37</v>
      </c>
      <c r="O137" s="2" t="s">
        <v>33</v>
      </c>
      <c r="P137" s="3" t="s">
        <v>33</v>
      </c>
      <c r="Q137" s="3" t="s">
        <v>33</v>
      </c>
      <c r="R137" s="2" t="s">
        <v>33</v>
      </c>
      <c r="S137" s="3">
        <v>44621</v>
      </c>
      <c r="T137" s="3">
        <v>73050</v>
      </c>
      <c r="U137" s="2" t="s">
        <v>540</v>
      </c>
      <c r="V137" s="2" t="s">
        <v>9</v>
      </c>
      <c r="W137" s="2" t="s">
        <v>9</v>
      </c>
      <c r="X137" s="2" t="s">
        <v>9</v>
      </c>
      <c r="Y137" s="2" t="s">
        <v>9</v>
      </c>
      <c r="Z137" s="2" t="s">
        <v>9</v>
      </c>
      <c r="AA137" s="2" t="s">
        <v>9</v>
      </c>
      <c r="AB137" s="2" t="s">
        <v>9</v>
      </c>
      <c r="AC137" s="2" t="s">
        <v>9</v>
      </c>
      <c r="AD137" s="2" t="s">
        <v>289</v>
      </c>
      <c r="AE137" s="2" t="s">
        <v>273</v>
      </c>
      <c r="AF137" s="2" t="s">
        <v>9</v>
      </c>
    </row>
    <row r="138" spans="1:32" x14ac:dyDescent="0.25">
      <c r="A138" s="2" t="s">
        <v>498</v>
      </c>
      <c r="B138" s="2" t="s">
        <v>270</v>
      </c>
      <c r="C138" s="2" t="s">
        <v>32</v>
      </c>
      <c r="D138" s="2" t="s">
        <v>290</v>
      </c>
      <c r="E138" s="2">
        <v>10</v>
      </c>
      <c r="F138" s="2" t="s">
        <v>9</v>
      </c>
      <c r="G138" s="2" t="s">
        <v>9</v>
      </c>
      <c r="H138" s="2" t="s">
        <v>9</v>
      </c>
      <c r="I138" s="2">
        <v>30.456900000000001</v>
      </c>
      <c r="J138" s="2">
        <v>-86.927529000000007</v>
      </c>
      <c r="K138" s="2" t="s">
        <v>37</v>
      </c>
      <c r="L138" s="2" t="s">
        <v>37</v>
      </c>
      <c r="M138" s="3" t="s">
        <v>33</v>
      </c>
      <c r="N138" s="3" t="s">
        <v>37</v>
      </c>
      <c r="O138" s="2" t="s">
        <v>33</v>
      </c>
      <c r="P138" s="3" t="s">
        <v>33</v>
      </c>
      <c r="Q138" s="3" t="s">
        <v>33</v>
      </c>
      <c r="R138" s="2" t="s">
        <v>33</v>
      </c>
      <c r="S138" s="3">
        <v>44621</v>
      </c>
      <c r="T138" s="3">
        <v>73050</v>
      </c>
      <c r="U138" s="2" t="s">
        <v>540</v>
      </c>
      <c r="V138" s="2" t="s">
        <v>9</v>
      </c>
      <c r="W138" s="2" t="s">
        <v>9</v>
      </c>
      <c r="X138" s="2" t="s">
        <v>9</v>
      </c>
      <c r="Y138" s="2" t="s">
        <v>9</v>
      </c>
      <c r="Z138" s="2" t="s">
        <v>9</v>
      </c>
      <c r="AA138" s="2" t="s">
        <v>9</v>
      </c>
      <c r="AB138" s="2" t="s">
        <v>9</v>
      </c>
      <c r="AC138" s="2" t="s">
        <v>9</v>
      </c>
      <c r="AD138" s="2" t="s">
        <v>291</v>
      </c>
      <c r="AE138" s="2" t="s">
        <v>273</v>
      </c>
      <c r="AF138" s="2" t="s">
        <v>9</v>
      </c>
    </row>
    <row r="139" spans="1:32" x14ac:dyDescent="0.25">
      <c r="A139" s="2" t="s">
        <v>499</v>
      </c>
      <c r="B139" s="2" t="s">
        <v>292</v>
      </c>
      <c r="C139" s="2" t="s">
        <v>36</v>
      </c>
      <c r="D139" s="2" t="s">
        <v>294</v>
      </c>
      <c r="E139" s="2">
        <v>1</v>
      </c>
      <c r="F139" s="2" t="s">
        <v>9</v>
      </c>
      <c r="G139" s="2" t="s">
        <v>9</v>
      </c>
      <c r="H139" s="2" t="s">
        <v>9</v>
      </c>
      <c r="I139" s="2">
        <v>30.263750000000002</v>
      </c>
      <c r="J139" s="2">
        <v>-85.845600000000005</v>
      </c>
      <c r="K139" s="2" t="s">
        <v>37</v>
      </c>
      <c r="L139" s="2" t="s">
        <v>37</v>
      </c>
      <c r="M139" s="3" t="s">
        <v>37</v>
      </c>
      <c r="N139" s="3" t="s">
        <v>37</v>
      </c>
      <c r="O139" s="2" t="s">
        <v>33</v>
      </c>
      <c r="P139" s="3" t="s">
        <v>33</v>
      </c>
      <c r="Q139" s="3" t="s">
        <v>33</v>
      </c>
      <c r="R139" s="2" t="s">
        <v>33</v>
      </c>
      <c r="S139" s="3">
        <v>44927</v>
      </c>
      <c r="T139" s="3">
        <v>73050</v>
      </c>
      <c r="U139" s="2" t="s">
        <v>540</v>
      </c>
      <c r="V139" s="2" t="s">
        <v>9</v>
      </c>
      <c r="W139" s="2" t="s">
        <v>9</v>
      </c>
      <c r="X139" s="2" t="s">
        <v>9</v>
      </c>
      <c r="Y139" s="2" t="s">
        <v>9</v>
      </c>
      <c r="Z139" s="2" t="s">
        <v>9</v>
      </c>
      <c r="AA139" s="2" t="s">
        <v>9</v>
      </c>
      <c r="AB139" s="2" t="s">
        <v>9</v>
      </c>
      <c r="AC139" s="2" t="s">
        <v>9</v>
      </c>
      <c r="AD139" s="2" t="s">
        <v>295</v>
      </c>
      <c r="AE139" s="2" t="s">
        <v>293</v>
      </c>
      <c r="AF139" s="2" t="s">
        <v>9</v>
      </c>
    </row>
    <row r="140" spans="1:32" x14ac:dyDescent="0.25">
      <c r="A140" s="2" t="s">
        <v>500</v>
      </c>
      <c r="B140" s="2" t="s">
        <v>292</v>
      </c>
      <c r="C140" s="2" t="s">
        <v>36</v>
      </c>
      <c r="D140" s="2" t="s">
        <v>296</v>
      </c>
      <c r="E140" s="2">
        <v>2</v>
      </c>
      <c r="F140" s="2" t="s">
        <v>9</v>
      </c>
      <c r="G140" s="2" t="s">
        <v>9</v>
      </c>
      <c r="H140" s="2" t="s">
        <v>9</v>
      </c>
      <c r="I140" s="2">
        <v>30.26905</v>
      </c>
      <c r="J140" s="2">
        <v>-85.816817</v>
      </c>
      <c r="K140" s="2" t="s">
        <v>37</v>
      </c>
      <c r="L140" s="2" t="s">
        <v>37</v>
      </c>
      <c r="M140" s="3" t="s">
        <v>33</v>
      </c>
      <c r="N140" s="3" t="s">
        <v>37</v>
      </c>
      <c r="O140" s="2" t="s">
        <v>33</v>
      </c>
      <c r="P140" s="3" t="s">
        <v>33</v>
      </c>
      <c r="Q140" s="3" t="s">
        <v>33</v>
      </c>
      <c r="R140" s="2" t="s">
        <v>33</v>
      </c>
      <c r="S140" s="3">
        <v>44927</v>
      </c>
      <c r="T140" s="3">
        <v>73050</v>
      </c>
      <c r="U140" s="2" t="s">
        <v>540</v>
      </c>
      <c r="V140" s="2" t="s">
        <v>9</v>
      </c>
      <c r="W140" s="2" t="s">
        <v>9</v>
      </c>
      <c r="X140" s="2" t="s">
        <v>9</v>
      </c>
      <c r="Y140" s="2" t="s">
        <v>9</v>
      </c>
      <c r="Z140" s="2" t="s">
        <v>9</v>
      </c>
      <c r="AA140" s="2" t="s">
        <v>9</v>
      </c>
      <c r="AB140" s="2" t="s">
        <v>9</v>
      </c>
      <c r="AC140" s="2" t="s">
        <v>9</v>
      </c>
      <c r="AD140" s="2" t="s">
        <v>297</v>
      </c>
      <c r="AE140" s="2" t="s">
        <v>293</v>
      </c>
      <c r="AF140" s="2" t="s">
        <v>9</v>
      </c>
    </row>
    <row r="141" spans="1:32" x14ac:dyDescent="0.25">
      <c r="A141" s="2" t="s">
        <v>501</v>
      </c>
      <c r="B141" s="2" t="s">
        <v>292</v>
      </c>
      <c r="C141" s="2" t="s">
        <v>36</v>
      </c>
      <c r="D141" s="2" t="s">
        <v>298</v>
      </c>
      <c r="E141" s="2">
        <v>3</v>
      </c>
      <c r="F141" s="2" t="s">
        <v>9</v>
      </c>
      <c r="G141" s="2" t="s">
        <v>9</v>
      </c>
      <c r="H141" s="2" t="s">
        <v>9</v>
      </c>
      <c r="I141" s="2">
        <v>30.259250000000002</v>
      </c>
      <c r="J141" s="2">
        <v>-85.784767000000002</v>
      </c>
      <c r="K141" s="2" t="s">
        <v>37</v>
      </c>
      <c r="L141" s="2" t="s">
        <v>37</v>
      </c>
      <c r="M141" s="3" t="s">
        <v>33</v>
      </c>
      <c r="N141" s="3" t="s">
        <v>37</v>
      </c>
      <c r="O141" s="2" t="s">
        <v>33</v>
      </c>
      <c r="P141" s="3" t="s">
        <v>33</v>
      </c>
      <c r="Q141" s="3" t="s">
        <v>33</v>
      </c>
      <c r="R141" s="2" t="s">
        <v>33</v>
      </c>
      <c r="S141" s="3">
        <v>44927</v>
      </c>
      <c r="T141" s="3">
        <v>73050</v>
      </c>
      <c r="U141" s="2" t="s">
        <v>540</v>
      </c>
      <c r="V141" s="2" t="s">
        <v>9</v>
      </c>
      <c r="W141" s="2" t="s">
        <v>9</v>
      </c>
      <c r="X141" s="2" t="s">
        <v>9</v>
      </c>
      <c r="Y141" s="2" t="s">
        <v>9</v>
      </c>
      <c r="Z141" s="2" t="s">
        <v>9</v>
      </c>
      <c r="AA141" s="2" t="s">
        <v>9</v>
      </c>
      <c r="AB141" s="2" t="s">
        <v>9</v>
      </c>
      <c r="AC141" s="2" t="s">
        <v>9</v>
      </c>
      <c r="AD141" s="2" t="s">
        <v>299</v>
      </c>
      <c r="AE141" s="2" t="s">
        <v>293</v>
      </c>
      <c r="AF141" s="2" t="s">
        <v>9</v>
      </c>
    </row>
    <row r="142" spans="1:32" x14ac:dyDescent="0.25">
      <c r="A142" s="2" t="s">
        <v>502</v>
      </c>
      <c r="B142" s="2" t="s">
        <v>292</v>
      </c>
      <c r="C142" s="2" t="s">
        <v>36</v>
      </c>
      <c r="D142" s="2" t="s">
        <v>300</v>
      </c>
      <c r="E142" s="2">
        <v>4</v>
      </c>
      <c r="F142" s="2" t="s">
        <v>9</v>
      </c>
      <c r="G142" s="2" t="s">
        <v>9</v>
      </c>
      <c r="H142" s="2" t="s">
        <v>9</v>
      </c>
      <c r="I142" s="2">
        <v>30.2422</v>
      </c>
      <c r="J142" s="2">
        <v>-85.729382999999999</v>
      </c>
      <c r="K142" s="2" t="s">
        <v>37</v>
      </c>
      <c r="L142" s="2" t="s">
        <v>37</v>
      </c>
      <c r="M142" s="3" t="s">
        <v>37</v>
      </c>
      <c r="N142" s="3" t="s">
        <v>37</v>
      </c>
      <c r="O142" s="2" t="s">
        <v>33</v>
      </c>
      <c r="P142" s="3" t="s">
        <v>37</v>
      </c>
      <c r="Q142" s="3" t="s">
        <v>33</v>
      </c>
      <c r="R142" s="2" t="s">
        <v>33</v>
      </c>
      <c r="S142" s="3">
        <v>44927</v>
      </c>
      <c r="T142" s="3">
        <v>73050</v>
      </c>
      <c r="U142" s="2" t="s">
        <v>540</v>
      </c>
      <c r="V142" s="2" t="s">
        <v>9</v>
      </c>
      <c r="W142" s="2" t="s">
        <v>9</v>
      </c>
      <c r="X142" s="2" t="s">
        <v>9</v>
      </c>
      <c r="Y142" s="2" t="s">
        <v>9</v>
      </c>
      <c r="Z142" s="2" t="s">
        <v>9</v>
      </c>
      <c r="AA142" s="2" t="s">
        <v>9</v>
      </c>
      <c r="AB142" s="2" t="s">
        <v>9</v>
      </c>
      <c r="AC142" s="2" t="s">
        <v>9</v>
      </c>
      <c r="AD142" s="2" t="s">
        <v>301</v>
      </c>
      <c r="AE142" s="2" t="s">
        <v>293</v>
      </c>
      <c r="AF142" s="2" t="s">
        <v>9</v>
      </c>
    </row>
    <row r="143" spans="1:32" x14ac:dyDescent="0.25">
      <c r="A143" s="2" t="s">
        <v>503</v>
      </c>
      <c r="B143" s="2" t="s">
        <v>292</v>
      </c>
      <c r="C143" s="2" t="s">
        <v>33</v>
      </c>
      <c r="D143" s="2" t="s">
        <v>302</v>
      </c>
      <c r="E143" s="2">
        <v>5</v>
      </c>
      <c r="F143" s="2" t="s">
        <v>9</v>
      </c>
      <c r="G143" s="2" t="s">
        <v>9</v>
      </c>
      <c r="H143" s="2" t="s">
        <v>9</v>
      </c>
      <c r="I143" s="2">
        <v>30.238499999999998</v>
      </c>
      <c r="J143" s="2">
        <v>-85.706367</v>
      </c>
      <c r="K143" s="2" t="s">
        <v>37</v>
      </c>
      <c r="L143" s="2" t="s">
        <v>37</v>
      </c>
      <c r="M143" s="3" t="s">
        <v>37</v>
      </c>
      <c r="N143" s="3" t="s">
        <v>37</v>
      </c>
      <c r="O143" s="2" t="s">
        <v>33</v>
      </c>
      <c r="P143" s="3" t="s">
        <v>33</v>
      </c>
      <c r="Q143" s="3" t="s">
        <v>33</v>
      </c>
      <c r="R143" s="2" t="s">
        <v>33</v>
      </c>
      <c r="S143" s="3">
        <v>44927</v>
      </c>
      <c r="T143" s="3">
        <v>73050</v>
      </c>
      <c r="U143" s="2" t="s">
        <v>540</v>
      </c>
      <c r="V143" s="2" t="s">
        <v>9</v>
      </c>
      <c r="W143" s="2" t="s">
        <v>9</v>
      </c>
      <c r="X143" s="2" t="s">
        <v>9</v>
      </c>
      <c r="Y143" s="2" t="s">
        <v>9</v>
      </c>
      <c r="Z143" s="2" t="s">
        <v>9</v>
      </c>
      <c r="AA143" s="2" t="s">
        <v>9</v>
      </c>
      <c r="AB143" s="2" t="s">
        <v>9</v>
      </c>
      <c r="AC143" s="2" t="s">
        <v>9</v>
      </c>
      <c r="AD143" s="2" t="s">
        <v>303</v>
      </c>
      <c r="AE143" s="2" t="s">
        <v>293</v>
      </c>
      <c r="AF143" s="2" t="s">
        <v>9</v>
      </c>
    </row>
    <row r="144" spans="1:32" x14ac:dyDescent="0.25">
      <c r="A144" s="2" t="s">
        <v>504</v>
      </c>
      <c r="B144" s="2" t="s">
        <v>292</v>
      </c>
      <c r="C144" s="2" t="s">
        <v>33</v>
      </c>
      <c r="D144" s="2" t="s">
        <v>304</v>
      </c>
      <c r="E144" s="2">
        <v>6</v>
      </c>
      <c r="F144" s="2" t="s">
        <v>9</v>
      </c>
      <c r="G144" s="2" t="s">
        <v>9</v>
      </c>
      <c r="H144" s="2" t="s">
        <v>9</v>
      </c>
      <c r="I144" s="2">
        <v>30.265017</v>
      </c>
      <c r="J144" s="2">
        <v>-85.668383000000006</v>
      </c>
      <c r="K144" s="2" t="s">
        <v>37</v>
      </c>
      <c r="L144" s="2" t="s">
        <v>37</v>
      </c>
      <c r="M144" s="3" t="s">
        <v>33</v>
      </c>
      <c r="N144" s="3" t="s">
        <v>37</v>
      </c>
      <c r="O144" s="2" t="s">
        <v>33</v>
      </c>
      <c r="P144" s="3" t="s">
        <v>33</v>
      </c>
      <c r="Q144" s="3" t="s">
        <v>33</v>
      </c>
      <c r="R144" s="2" t="s">
        <v>33</v>
      </c>
      <c r="S144" s="3">
        <v>44927</v>
      </c>
      <c r="T144" s="3">
        <v>73050</v>
      </c>
      <c r="U144" s="2" t="s">
        <v>540</v>
      </c>
      <c r="V144" s="2" t="s">
        <v>9</v>
      </c>
      <c r="W144" s="2" t="s">
        <v>9</v>
      </c>
      <c r="X144" s="2" t="s">
        <v>9</v>
      </c>
      <c r="Y144" s="2" t="s">
        <v>9</v>
      </c>
      <c r="Z144" s="2" t="s">
        <v>9</v>
      </c>
      <c r="AA144" s="2" t="s">
        <v>9</v>
      </c>
      <c r="AB144" s="2" t="s">
        <v>9</v>
      </c>
      <c r="AC144" s="2" t="s">
        <v>9</v>
      </c>
      <c r="AD144" s="2" t="s">
        <v>305</v>
      </c>
      <c r="AE144" s="2" t="s">
        <v>293</v>
      </c>
      <c r="AF144" s="2" t="s">
        <v>9</v>
      </c>
    </row>
    <row r="145" spans="1:32" x14ac:dyDescent="0.25">
      <c r="A145" s="2" t="s">
        <v>505</v>
      </c>
      <c r="B145" s="2" t="s">
        <v>292</v>
      </c>
      <c r="C145" s="2" t="s">
        <v>33</v>
      </c>
      <c r="D145" s="2" t="s">
        <v>306</v>
      </c>
      <c r="E145" s="2">
        <v>7</v>
      </c>
      <c r="F145" s="2" t="s">
        <v>9</v>
      </c>
      <c r="G145" s="2" t="s">
        <v>9</v>
      </c>
      <c r="H145" s="2" t="s">
        <v>9</v>
      </c>
      <c r="I145" s="2">
        <v>30.263500000000001</v>
      </c>
      <c r="J145" s="2">
        <v>-85.635733000000002</v>
      </c>
      <c r="K145" s="2" t="s">
        <v>37</v>
      </c>
      <c r="L145" s="2" t="s">
        <v>37</v>
      </c>
      <c r="M145" s="3" t="s">
        <v>37</v>
      </c>
      <c r="N145" s="3" t="s">
        <v>37</v>
      </c>
      <c r="O145" s="2" t="s">
        <v>33</v>
      </c>
      <c r="P145" s="3" t="s">
        <v>33</v>
      </c>
      <c r="Q145" s="3" t="s">
        <v>33</v>
      </c>
      <c r="R145" s="2" t="s">
        <v>33</v>
      </c>
      <c r="S145" s="3">
        <v>44927</v>
      </c>
      <c r="T145" s="3">
        <v>73050</v>
      </c>
      <c r="U145" s="2" t="s">
        <v>540</v>
      </c>
      <c r="V145" s="2" t="s">
        <v>9</v>
      </c>
      <c r="W145" s="2" t="s">
        <v>9</v>
      </c>
      <c r="X145" s="2" t="s">
        <v>9</v>
      </c>
      <c r="Y145" s="2" t="s">
        <v>9</v>
      </c>
      <c r="Z145" s="2" t="s">
        <v>9</v>
      </c>
      <c r="AA145" s="2" t="s">
        <v>9</v>
      </c>
      <c r="AB145" s="2" t="s">
        <v>9</v>
      </c>
      <c r="AC145" s="2" t="s">
        <v>9</v>
      </c>
      <c r="AD145" s="2" t="s">
        <v>307</v>
      </c>
      <c r="AE145" s="2" t="s">
        <v>293</v>
      </c>
      <c r="AF145" s="2" t="s">
        <v>9</v>
      </c>
    </row>
    <row r="146" spans="1:32" x14ac:dyDescent="0.25">
      <c r="A146" s="2" t="s">
        <v>506</v>
      </c>
      <c r="B146" s="2" t="s">
        <v>292</v>
      </c>
      <c r="C146" s="2" t="s">
        <v>32</v>
      </c>
      <c r="D146" s="2" t="s">
        <v>308</v>
      </c>
      <c r="E146" s="2">
        <v>8</v>
      </c>
      <c r="F146" s="2" t="s">
        <v>9</v>
      </c>
      <c r="G146" s="2" t="s">
        <v>9</v>
      </c>
      <c r="H146" s="2" t="s">
        <v>9</v>
      </c>
      <c r="I146" s="2">
        <v>30.065909999999999</v>
      </c>
      <c r="J146" s="2">
        <v>-85.520380000000003</v>
      </c>
      <c r="K146" s="2" t="s">
        <v>37</v>
      </c>
      <c r="L146" s="2" t="s">
        <v>37</v>
      </c>
      <c r="M146" s="3" t="s">
        <v>37</v>
      </c>
      <c r="N146" s="3" t="s">
        <v>37</v>
      </c>
      <c r="O146" s="2" t="s">
        <v>33</v>
      </c>
      <c r="P146" s="3" t="s">
        <v>33</v>
      </c>
      <c r="Q146" s="3" t="s">
        <v>33</v>
      </c>
      <c r="R146" s="2" t="s">
        <v>33</v>
      </c>
      <c r="S146" s="3">
        <v>44927</v>
      </c>
      <c r="T146" s="3">
        <v>73050</v>
      </c>
      <c r="U146" s="2" t="s">
        <v>540</v>
      </c>
      <c r="V146" s="2" t="s">
        <v>9</v>
      </c>
      <c r="W146" s="2" t="s">
        <v>9</v>
      </c>
      <c r="X146" s="2" t="s">
        <v>9</v>
      </c>
      <c r="Y146" s="2" t="s">
        <v>9</v>
      </c>
      <c r="Z146" s="2" t="s">
        <v>9</v>
      </c>
      <c r="AA146" s="2" t="s">
        <v>9</v>
      </c>
      <c r="AB146" s="2" t="s">
        <v>9</v>
      </c>
      <c r="AC146" s="2" t="s">
        <v>9</v>
      </c>
      <c r="AD146" s="2" t="s">
        <v>309</v>
      </c>
      <c r="AE146" s="2" t="s">
        <v>293</v>
      </c>
      <c r="AF146" s="2" t="s">
        <v>9</v>
      </c>
    </row>
    <row r="147" spans="1:32" x14ac:dyDescent="0.25">
      <c r="A147" s="2" t="s">
        <v>507</v>
      </c>
      <c r="B147" s="2" t="s">
        <v>292</v>
      </c>
      <c r="C147" s="2" t="s">
        <v>32</v>
      </c>
      <c r="D147" s="2" t="s">
        <v>310</v>
      </c>
      <c r="E147" s="2">
        <v>9</v>
      </c>
      <c r="F147" s="2" t="s">
        <v>9</v>
      </c>
      <c r="G147" s="2" t="s">
        <v>9</v>
      </c>
      <c r="H147" s="2" t="s">
        <v>9</v>
      </c>
      <c r="I147" s="2">
        <v>30.053540000000002</v>
      </c>
      <c r="J147" s="2">
        <v>-85.505070000000003</v>
      </c>
      <c r="K147" s="2" t="s">
        <v>37</v>
      </c>
      <c r="L147" s="2" t="s">
        <v>37</v>
      </c>
      <c r="M147" s="3" t="s">
        <v>33</v>
      </c>
      <c r="N147" s="3" t="s">
        <v>37</v>
      </c>
      <c r="O147" s="2" t="s">
        <v>33</v>
      </c>
      <c r="P147" s="3" t="s">
        <v>33</v>
      </c>
      <c r="Q147" s="3" t="s">
        <v>33</v>
      </c>
      <c r="R147" s="2" t="s">
        <v>33</v>
      </c>
      <c r="S147" s="3">
        <v>44927</v>
      </c>
      <c r="T147" s="3">
        <v>73050</v>
      </c>
      <c r="U147" s="2" t="s">
        <v>540</v>
      </c>
      <c r="V147" s="2" t="s">
        <v>9</v>
      </c>
      <c r="W147" s="2" t="s">
        <v>9</v>
      </c>
      <c r="X147" s="2" t="s">
        <v>9</v>
      </c>
      <c r="Y147" s="2" t="s">
        <v>9</v>
      </c>
      <c r="Z147" s="2" t="s">
        <v>9</v>
      </c>
      <c r="AA147" s="2" t="s">
        <v>9</v>
      </c>
      <c r="AB147" s="2" t="s">
        <v>9</v>
      </c>
      <c r="AC147" s="2" t="s">
        <v>9</v>
      </c>
      <c r="AD147" s="2" t="s">
        <v>311</v>
      </c>
      <c r="AE147" s="2" t="s">
        <v>293</v>
      </c>
      <c r="AF147" s="2" t="s">
        <v>9</v>
      </c>
    </row>
    <row r="148" spans="1:32" x14ac:dyDescent="0.25">
      <c r="A148" s="2" t="s">
        <v>508</v>
      </c>
      <c r="B148" s="2" t="s">
        <v>292</v>
      </c>
      <c r="C148" s="2" t="s">
        <v>32</v>
      </c>
      <c r="D148" s="2" t="s">
        <v>312</v>
      </c>
      <c r="E148" s="2">
        <v>10</v>
      </c>
      <c r="F148" s="2" t="s">
        <v>9</v>
      </c>
      <c r="G148" s="2" t="s">
        <v>9</v>
      </c>
      <c r="H148" s="2" t="s">
        <v>9</v>
      </c>
      <c r="I148" s="2">
        <v>30.038917000000001</v>
      </c>
      <c r="J148" s="2">
        <v>-85.493650000000002</v>
      </c>
      <c r="K148" s="2" t="s">
        <v>37</v>
      </c>
      <c r="L148" s="2" t="s">
        <v>37</v>
      </c>
      <c r="M148" s="3" t="s">
        <v>33</v>
      </c>
      <c r="N148" s="3" t="s">
        <v>37</v>
      </c>
      <c r="O148" s="2" t="s">
        <v>33</v>
      </c>
      <c r="P148" s="3" t="s">
        <v>37</v>
      </c>
      <c r="Q148" s="3" t="s">
        <v>33</v>
      </c>
      <c r="R148" s="2" t="s">
        <v>33</v>
      </c>
      <c r="S148" s="3">
        <v>44927</v>
      </c>
      <c r="T148" s="3">
        <v>73050</v>
      </c>
      <c r="U148" s="2" t="s">
        <v>540</v>
      </c>
      <c r="V148" s="2" t="s">
        <v>9</v>
      </c>
      <c r="W148" s="2" t="s">
        <v>9</v>
      </c>
      <c r="X148" s="2" t="s">
        <v>9</v>
      </c>
      <c r="Y148" s="2" t="s">
        <v>9</v>
      </c>
      <c r="Z148" s="2" t="s">
        <v>9</v>
      </c>
      <c r="AA148" s="2" t="s">
        <v>9</v>
      </c>
      <c r="AB148" s="2" t="s">
        <v>9</v>
      </c>
      <c r="AC148" s="2" t="s">
        <v>9</v>
      </c>
      <c r="AD148" s="2" t="s">
        <v>313</v>
      </c>
      <c r="AE148" s="2" t="s">
        <v>293</v>
      </c>
      <c r="AF148" s="2" t="s">
        <v>9</v>
      </c>
    </row>
    <row r="149" spans="1:32" x14ac:dyDescent="0.25">
      <c r="A149" s="2" t="s">
        <v>509</v>
      </c>
      <c r="B149" s="2" t="s">
        <v>292</v>
      </c>
      <c r="C149" s="2" t="s">
        <v>32</v>
      </c>
      <c r="D149" s="2" t="s">
        <v>314</v>
      </c>
      <c r="E149" s="2">
        <v>11</v>
      </c>
      <c r="F149" s="2" t="s">
        <v>9</v>
      </c>
      <c r="G149" s="2" t="s">
        <v>9</v>
      </c>
      <c r="H149" s="2" t="s">
        <v>9</v>
      </c>
      <c r="I149" s="2">
        <v>30.026966999999999</v>
      </c>
      <c r="J149" s="2">
        <v>-85.471033000000006</v>
      </c>
      <c r="K149" s="2" t="s">
        <v>37</v>
      </c>
      <c r="L149" s="2" t="s">
        <v>37</v>
      </c>
      <c r="M149" s="3" t="s">
        <v>37</v>
      </c>
      <c r="N149" s="3" t="s">
        <v>37</v>
      </c>
      <c r="O149" s="2" t="s">
        <v>33</v>
      </c>
      <c r="P149" s="3" t="s">
        <v>33</v>
      </c>
      <c r="Q149" s="3" t="s">
        <v>33</v>
      </c>
      <c r="R149" s="2" t="s">
        <v>33</v>
      </c>
      <c r="S149" s="3">
        <v>44927</v>
      </c>
      <c r="T149" s="3">
        <v>73050</v>
      </c>
      <c r="U149" s="2" t="s">
        <v>540</v>
      </c>
      <c r="V149" s="2" t="s">
        <v>9</v>
      </c>
      <c r="W149" s="2" t="s">
        <v>9</v>
      </c>
      <c r="X149" s="2" t="s">
        <v>9</v>
      </c>
      <c r="Y149" s="2" t="s">
        <v>9</v>
      </c>
      <c r="Z149" s="2" t="s">
        <v>9</v>
      </c>
      <c r="AA149" s="2" t="s">
        <v>9</v>
      </c>
      <c r="AB149" s="2" t="s">
        <v>9</v>
      </c>
      <c r="AC149" s="2" t="s">
        <v>9</v>
      </c>
      <c r="AD149" s="2" t="s">
        <v>315</v>
      </c>
      <c r="AE149" s="2" t="s">
        <v>293</v>
      </c>
      <c r="AF149" s="2" t="s">
        <v>9</v>
      </c>
    </row>
    <row r="150" spans="1:32" x14ac:dyDescent="0.25">
      <c r="A150" s="2" t="s">
        <v>516</v>
      </c>
      <c r="B150" s="2" t="s">
        <v>191</v>
      </c>
      <c r="C150" s="2" t="s">
        <v>33</v>
      </c>
      <c r="D150" s="2" t="s">
        <v>316</v>
      </c>
      <c r="E150" s="2">
        <v>4</v>
      </c>
      <c r="F150" s="2" t="s">
        <v>9</v>
      </c>
      <c r="G150" s="2" t="s">
        <v>9</v>
      </c>
      <c r="H150" s="2" t="s">
        <v>9</v>
      </c>
      <c r="I150" s="2">
        <v>27.16516</v>
      </c>
      <c r="J150" s="2">
        <v>-80.256399999999999</v>
      </c>
      <c r="K150" s="2" t="s">
        <v>37</v>
      </c>
      <c r="L150" s="2" t="s">
        <v>37</v>
      </c>
      <c r="M150" s="3" t="s">
        <v>33</v>
      </c>
      <c r="N150" s="3" t="s">
        <v>37</v>
      </c>
      <c r="O150" s="2" t="s">
        <v>33</v>
      </c>
      <c r="P150" s="3" t="s">
        <v>33</v>
      </c>
      <c r="Q150" s="3" t="s">
        <v>33</v>
      </c>
      <c r="R150" s="2" t="s">
        <v>33</v>
      </c>
      <c r="S150" s="3">
        <v>44927</v>
      </c>
      <c r="T150" s="3">
        <v>73050</v>
      </c>
      <c r="U150" s="2" t="s">
        <v>540</v>
      </c>
      <c r="V150" s="2" t="s">
        <v>9</v>
      </c>
      <c r="W150" s="2" t="s">
        <v>9</v>
      </c>
      <c r="X150" s="2" t="s">
        <v>9</v>
      </c>
      <c r="Y150" s="2" t="s">
        <v>9</v>
      </c>
      <c r="Z150" s="2" t="s">
        <v>9</v>
      </c>
      <c r="AA150" s="2" t="s">
        <v>9</v>
      </c>
      <c r="AB150" s="2" t="s">
        <v>9</v>
      </c>
      <c r="AC150" s="2" t="s">
        <v>9</v>
      </c>
      <c r="AD150" s="2" t="s">
        <v>317</v>
      </c>
      <c r="AE150" s="2" t="s">
        <v>194</v>
      </c>
      <c r="AF150" s="2" t="s">
        <v>9</v>
      </c>
    </row>
    <row r="151" spans="1:32" x14ac:dyDescent="0.25">
      <c r="A151" s="2" t="s">
        <v>510</v>
      </c>
      <c r="B151" s="2" t="s">
        <v>39</v>
      </c>
      <c r="C151" s="2" t="s">
        <v>90</v>
      </c>
      <c r="D151" s="2" t="s">
        <v>318</v>
      </c>
      <c r="E151" s="2">
        <v>6</v>
      </c>
      <c r="F151" s="2" t="s">
        <v>9</v>
      </c>
      <c r="G151" s="2" t="s">
        <v>9</v>
      </c>
      <c r="H151" s="2" t="s">
        <v>9</v>
      </c>
      <c r="I151" s="2">
        <v>27.67615</v>
      </c>
      <c r="J151" s="2">
        <v>-82.681299999999993</v>
      </c>
      <c r="K151" s="2" t="s">
        <v>37</v>
      </c>
      <c r="L151" s="2" t="s">
        <v>37</v>
      </c>
      <c r="M151" s="3" t="s">
        <v>37</v>
      </c>
      <c r="N151" s="3" t="s">
        <v>37</v>
      </c>
      <c r="O151" s="2" t="s">
        <v>33</v>
      </c>
      <c r="P151" s="3" t="s">
        <v>33</v>
      </c>
      <c r="Q151" s="3" t="s">
        <v>33</v>
      </c>
      <c r="R151" s="2" t="s">
        <v>37</v>
      </c>
      <c r="S151" s="3">
        <v>44896</v>
      </c>
      <c r="T151" s="3">
        <v>73050</v>
      </c>
      <c r="U151" s="2" t="s">
        <v>540</v>
      </c>
      <c r="V151" s="2" t="s">
        <v>9</v>
      </c>
      <c r="W151" s="2" t="s">
        <v>9</v>
      </c>
      <c r="X151" s="2" t="s">
        <v>9</v>
      </c>
      <c r="Y151" s="2" t="s">
        <v>9</v>
      </c>
      <c r="Z151" s="2" t="s">
        <v>9</v>
      </c>
      <c r="AA151" s="2" t="s">
        <v>9</v>
      </c>
      <c r="AB151" s="2" t="s">
        <v>9</v>
      </c>
      <c r="AC151" s="2" t="s">
        <v>603</v>
      </c>
      <c r="AD151" s="2" t="s">
        <v>319</v>
      </c>
      <c r="AE151" s="2" t="s">
        <v>41</v>
      </c>
      <c r="AF151" s="2" t="s">
        <v>9</v>
      </c>
    </row>
    <row r="152" spans="1:32" x14ac:dyDescent="0.25">
      <c r="A152" s="2" t="s">
        <v>511</v>
      </c>
      <c r="B152" s="2" t="s">
        <v>39</v>
      </c>
      <c r="C152" s="2" t="s">
        <v>88</v>
      </c>
      <c r="D152" s="2" t="s">
        <v>320</v>
      </c>
      <c r="E152" s="2">
        <v>7</v>
      </c>
      <c r="F152" s="2" t="s">
        <v>9</v>
      </c>
      <c r="G152" s="2" t="s">
        <v>9</v>
      </c>
      <c r="H152" s="2" t="s">
        <v>9</v>
      </c>
      <c r="I152" s="2">
        <v>27.52722</v>
      </c>
      <c r="J152" s="2">
        <v>-82.485399999999998</v>
      </c>
      <c r="K152" s="2" t="s">
        <v>37</v>
      </c>
      <c r="L152" s="2" t="s">
        <v>37</v>
      </c>
      <c r="M152" s="3" t="s">
        <v>37</v>
      </c>
      <c r="N152" s="3" t="s">
        <v>37</v>
      </c>
      <c r="O152" s="2" t="s">
        <v>33</v>
      </c>
      <c r="P152" s="3" t="s">
        <v>33</v>
      </c>
      <c r="Q152" s="3" t="s">
        <v>33</v>
      </c>
      <c r="R152" s="2" t="s">
        <v>37</v>
      </c>
      <c r="S152" s="3">
        <v>44896</v>
      </c>
      <c r="T152" s="3">
        <v>73050</v>
      </c>
      <c r="U152" s="2" t="s">
        <v>540</v>
      </c>
      <c r="V152" s="2" t="s">
        <v>9</v>
      </c>
      <c r="W152" s="2" t="s">
        <v>9</v>
      </c>
      <c r="X152" s="2" t="s">
        <v>9</v>
      </c>
      <c r="Y152" s="2" t="s">
        <v>9</v>
      </c>
      <c r="Z152" s="2" t="s">
        <v>9</v>
      </c>
      <c r="AA152" s="2" t="s">
        <v>9</v>
      </c>
      <c r="AB152" s="2" t="s">
        <v>9</v>
      </c>
      <c r="AC152" s="2" t="s">
        <v>603</v>
      </c>
      <c r="AD152" s="2" t="s">
        <v>321</v>
      </c>
      <c r="AE152" s="2" t="s">
        <v>41</v>
      </c>
      <c r="AF152" s="2" t="s">
        <v>9</v>
      </c>
    </row>
    <row r="153" spans="1:32" x14ac:dyDescent="0.25">
      <c r="A153" s="2" t="s">
        <v>512</v>
      </c>
      <c r="B153" s="2" t="s">
        <v>39</v>
      </c>
      <c r="C153" s="2" t="s">
        <v>88</v>
      </c>
      <c r="D153" s="2" t="s">
        <v>322</v>
      </c>
      <c r="E153" s="2">
        <v>8</v>
      </c>
      <c r="F153" s="2" t="s">
        <v>9</v>
      </c>
      <c r="G153" s="2" t="s">
        <v>9</v>
      </c>
      <c r="H153" s="2" t="s">
        <v>9</v>
      </c>
      <c r="I153" s="2">
        <v>27.49682</v>
      </c>
      <c r="J153" s="2">
        <v>-82.524900000000002</v>
      </c>
      <c r="K153" s="2" t="s">
        <v>37</v>
      </c>
      <c r="L153" s="2" t="s">
        <v>37</v>
      </c>
      <c r="M153" s="3" t="s">
        <v>37</v>
      </c>
      <c r="N153" s="3" t="s">
        <v>37</v>
      </c>
      <c r="O153" s="2" t="s">
        <v>33</v>
      </c>
      <c r="P153" s="3" t="s">
        <v>33</v>
      </c>
      <c r="Q153" s="3" t="s">
        <v>33</v>
      </c>
      <c r="R153" s="2" t="s">
        <v>37</v>
      </c>
      <c r="S153" s="3">
        <v>44896</v>
      </c>
      <c r="T153" s="3">
        <v>73050</v>
      </c>
      <c r="U153" s="2" t="s">
        <v>540</v>
      </c>
      <c r="V153" s="2" t="s">
        <v>9</v>
      </c>
      <c r="W153" s="2" t="s">
        <v>9</v>
      </c>
      <c r="X153" s="2" t="s">
        <v>9</v>
      </c>
      <c r="Y153" s="2" t="s">
        <v>9</v>
      </c>
      <c r="Z153" s="2" t="s">
        <v>9</v>
      </c>
      <c r="AA153" s="2" t="s">
        <v>9</v>
      </c>
      <c r="AB153" s="2" t="s">
        <v>9</v>
      </c>
      <c r="AC153" s="2" t="s">
        <v>603</v>
      </c>
      <c r="AD153" s="2" t="s">
        <v>323</v>
      </c>
      <c r="AE153" s="2" t="s">
        <v>41</v>
      </c>
      <c r="AF153" s="2" t="s">
        <v>9</v>
      </c>
    </row>
    <row r="154" spans="1:32" x14ac:dyDescent="0.25">
      <c r="A154" s="2" t="s">
        <v>517</v>
      </c>
      <c r="B154" s="2" t="s">
        <v>45</v>
      </c>
      <c r="C154" s="2" t="s">
        <v>55</v>
      </c>
      <c r="D154" s="2" t="s">
        <v>324</v>
      </c>
      <c r="E154" s="2">
        <v>1</v>
      </c>
      <c r="F154" s="2" t="s">
        <v>604</v>
      </c>
      <c r="G154" s="2" t="s">
        <v>9</v>
      </c>
      <c r="H154" s="2" t="s">
        <v>9</v>
      </c>
      <c r="I154" s="2">
        <v>29.227506000000002</v>
      </c>
      <c r="J154" s="2">
        <v>-83.134162000000003</v>
      </c>
      <c r="K154" s="2" t="s">
        <v>33</v>
      </c>
      <c r="L154" s="2" t="s">
        <v>37</v>
      </c>
      <c r="M154" s="3" t="s">
        <v>33</v>
      </c>
      <c r="N154" s="3" t="s">
        <v>37</v>
      </c>
      <c r="O154" s="2" t="s">
        <v>37</v>
      </c>
      <c r="P154" s="3" t="s">
        <v>33</v>
      </c>
      <c r="Q154" s="3" t="s">
        <v>33</v>
      </c>
      <c r="R154" s="2" t="s">
        <v>33</v>
      </c>
      <c r="S154" s="3">
        <v>45077</v>
      </c>
      <c r="T154" s="3">
        <v>73050</v>
      </c>
      <c r="U154" s="2" t="s">
        <v>540</v>
      </c>
      <c r="V154" s="2" t="s">
        <v>9</v>
      </c>
      <c r="W154" s="2" t="s">
        <v>9</v>
      </c>
      <c r="X154" s="2" t="s">
        <v>9</v>
      </c>
      <c r="Y154" s="2" t="s">
        <v>9</v>
      </c>
      <c r="Z154" s="2" t="s">
        <v>9</v>
      </c>
      <c r="AA154" s="2" t="s">
        <v>9</v>
      </c>
      <c r="AB154" s="2" t="s">
        <v>605</v>
      </c>
      <c r="AC154" s="2" t="s">
        <v>555</v>
      </c>
      <c r="AD154" s="2" t="s">
        <v>325</v>
      </c>
      <c r="AE154" s="2" t="s">
        <v>48</v>
      </c>
      <c r="AF154" s="2" t="s">
        <v>9</v>
      </c>
    </row>
    <row r="155" spans="1:32" x14ac:dyDescent="0.25">
      <c r="A155" s="2" t="s">
        <v>518</v>
      </c>
      <c r="B155" s="2" t="s">
        <v>45</v>
      </c>
      <c r="C155" s="2" t="s">
        <v>55</v>
      </c>
      <c r="D155" s="2" t="s">
        <v>326</v>
      </c>
      <c r="E155" s="2">
        <v>2</v>
      </c>
      <c r="F155" s="2" t="s">
        <v>604</v>
      </c>
      <c r="G155" s="2" t="s">
        <v>9</v>
      </c>
      <c r="H155" s="2" t="s">
        <v>9</v>
      </c>
      <c r="I155" s="2">
        <v>29.229101</v>
      </c>
      <c r="J155" s="2">
        <v>-83.135886999999997</v>
      </c>
      <c r="K155" s="2" t="s">
        <v>33</v>
      </c>
      <c r="L155" s="2" t="s">
        <v>37</v>
      </c>
      <c r="M155" s="3" t="s">
        <v>33</v>
      </c>
      <c r="N155" s="3" t="s">
        <v>37</v>
      </c>
      <c r="O155" s="2" t="s">
        <v>37</v>
      </c>
      <c r="P155" s="3" t="s">
        <v>33</v>
      </c>
      <c r="Q155" s="3" t="s">
        <v>33</v>
      </c>
      <c r="R155" s="2" t="s">
        <v>33</v>
      </c>
      <c r="S155" s="3">
        <v>45077</v>
      </c>
      <c r="T155" s="3">
        <v>73050</v>
      </c>
      <c r="U155" s="2" t="s">
        <v>540</v>
      </c>
      <c r="V155" s="2" t="s">
        <v>9</v>
      </c>
      <c r="W155" s="2" t="s">
        <v>9</v>
      </c>
      <c r="X155" s="2" t="s">
        <v>9</v>
      </c>
      <c r="Y155" s="2" t="s">
        <v>9</v>
      </c>
      <c r="Z155" s="2" t="s">
        <v>9</v>
      </c>
      <c r="AA155" s="2" t="s">
        <v>9</v>
      </c>
      <c r="AB155" s="2" t="s">
        <v>605</v>
      </c>
      <c r="AC155" s="2" t="s">
        <v>555</v>
      </c>
      <c r="AD155" s="2" t="s">
        <v>327</v>
      </c>
      <c r="AE155" s="2" t="s">
        <v>48</v>
      </c>
      <c r="AF155" s="2" t="s">
        <v>9</v>
      </c>
    </row>
    <row r="156" spans="1:32" x14ac:dyDescent="0.25">
      <c r="A156" s="2" t="s">
        <v>519</v>
      </c>
      <c r="B156" s="2" t="s">
        <v>45</v>
      </c>
      <c r="C156" s="2" t="s">
        <v>55</v>
      </c>
      <c r="D156" s="2" t="s">
        <v>328</v>
      </c>
      <c r="E156" s="2">
        <v>3</v>
      </c>
      <c r="F156" s="2" t="s">
        <v>604</v>
      </c>
      <c r="G156" s="2" t="s">
        <v>9</v>
      </c>
      <c r="H156" s="2" t="s">
        <v>9</v>
      </c>
      <c r="I156" s="2">
        <v>29.232572999999999</v>
      </c>
      <c r="J156" s="2">
        <v>-83.140765000000002</v>
      </c>
      <c r="K156" s="2" t="s">
        <v>33</v>
      </c>
      <c r="L156" s="2" t="s">
        <v>37</v>
      </c>
      <c r="M156" s="3" t="s">
        <v>33</v>
      </c>
      <c r="N156" s="3" t="s">
        <v>37</v>
      </c>
      <c r="O156" s="2" t="s">
        <v>37</v>
      </c>
      <c r="P156" s="3" t="s">
        <v>33</v>
      </c>
      <c r="Q156" s="3" t="s">
        <v>33</v>
      </c>
      <c r="R156" s="2" t="s">
        <v>33</v>
      </c>
      <c r="S156" s="3">
        <v>45077</v>
      </c>
      <c r="T156" s="3">
        <v>73050</v>
      </c>
      <c r="U156" s="2" t="s">
        <v>540</v>
      </c>
      <c r="V156" s="2" t="s">
        <v>9</v>
      </c>
      <c r="W156" s="2" t="s">
        <v>9</v>
      </c>
      <c r="X156" s="2" t="s">
        <v>9</v>
      </c>
      <c r="Y156" s="2" t="s">
        <v>9</v>
      </c>
      <c r="Z156" s="2" t="s">
        <v>9</v>
      </c>
      <c r="AA156" s="2" t="s">
        <v>9</v>
      </c>
      <c r="AB156" s="2" t="s">
        <v>605</v>
      </c>
      <c r="AC156" s="2" t="s">
        <v>555</v>
      </c>
      <c r="AD156" s="2" t="s">
        <v>329</v>
      </c>
      <c r="AE156" s="2" t="s">
        <v>48</v>
      </c>
      <c r="AF156" s="2" t="s">
        <v>9</v>
      </c>
    </row>
    <row r="157" spans="1:32" x14ac:dyDescent="0.25">
      <c r="A157" s="2" t="s">
        <v>520</v>
      </c>
      <c r="B157" s="2" t="s">
        <v>45</v>
      </c>
      <c r="C157" s="2" t="s">
        <v>55</v>
      </c>
      <c r="D157" s="2" t="s">
        <v>330</v>
      </c>
      <c r="E157" s="2">
        <v>4</v>
      </c>
      <c r="F157" s="2" t="s">
        <v>604</v>
      </c>
      <c r="G157" s="2" t="s">
        <v>9</v>
      </c>
      <c r="H157" s="2" t="s">
        <v>9</v>
      </c>
      <c r="I157" s="2">
        <v>29.234097999999999</v>
      </c>
      <c r="J157" s="2">
        <v>-83.142520000000005</v>
      </c>
      <c r="K157" s="2" t="s">
        <v>33</v>
      </c>
      <c r="L157" s="2" t="s">
        <v>37</v>
      </c>
      <c r="M157" s="3" t="s">
        <v>33</v>
      </c>
      <c r="N157" s="3" t="s">
        <v>37</v>
      </c>
      <c r="O157" s="2" t="s">
        <v>37</v>
      </c>
      <c r="P157" s="3" t="s">
        <v>33</v>
      </c>
      <c r="Q157" s="3" t="s">
        <v>33</v>
      </c>
      <c r="R157" s="2" t="s">
        <v>33</v>
      </c>
      <c r="S157" s="3">
        <v>45077</v>
      </c>
      <c r="T157" s="3">
        <v>73050</v>
      </c>
      <c r="U157" s="2" t="s">
        <v>540</v>
      </c>
      <c r="V157" s="2" t="s">
        <v>9</v>
      </c>
      <c r="W157" s="2" t="s">
        <v>9</v>
      </c>
      <c r="X157" s="2" t="s">
        <v>9</v>
      </c>
      <c r="Y157" s="2" t="s">
        <v>9</v>
      </c>
      <c r="Z157" s="2" t="s">
        <v>9</v>
      </c>
      <c r="AA157" s="2" t="s">
        <v>9</v>
      </c>
      <c r="AB157" s="2" t="s">
        <v>605</v>
      </c>
      <c r="AC157" s="2" t="s">
        <v>555</v>
      </c>
      <c r="AD157" s="2" t="s">
        <v>331</v>
      </c>
      <c r="AE157" s="2" t="s">
        <v>48</v>
      </c>
      <c r="AF157" s="2" t="s">
        <v>9</v>
      </c>
    </row>
    <row r="158" spans="1:32" x14ac:dyDescent="0.25">
      <c r="A158" s="2" t="s">
        <v>521</v>
      </c>
      <c r="B158" s="2" t="s">
        <v>45</v>
      </c>
      <c r="C158" s="2" t="s">
        <v>55</v>
      </c>
      <c r="D158" s="2" t="s">
        <v>332</v>
      </c>
      <c r="E158" s="2">
        <v>5</v>
      </c>
      <c r="F158" s="2" t="s">
        <v>604</v>
      </c>
      <c r="G158" s="2" t="s">
        <v>9</v>
      </c>
      <c r="H158" s="2" t="s">
        <v>9</v>
      </c>
      <c r="I158" s="2">
        <v>29.236775000000002</v>
      </c>
      <c r="J158" s="2">
        <v>-83.145456999999993</v>
      </c>
      <c r="K158" s="2" t="s">
        <v>33</v>
      </c>
      <c r="L158" s="2" t="s">
        <v>37</v>
      </c>
      <c r="M158" s="3" t="s">
        <v>33</v>
      </c>
      <c r="N158" s="3" t="s">
        <v>37</v>
      </c>
      <c r="O158" s="2" t="s">
        <v>37</v>
      </c>
      <c r="P158" s="3" t="s">
        <v>33</v>
      </c>
      <c r="Q158" s="3" t="s">
        <v>33</v>
      </c>
      <c r="R158" s="2" t="s">
        <v>33</v>
      </c>
      <c r="S158" s="3">
        <v>45077</v>
      </c>
      <c r="T158" s="3">
        <v>73050</v>
      </c>
      <c r="U158" s="2" t="s">
        <v>540</v>
      </c>
      <c r="V158" s="2" t="s">
        <v>9</v>
      </c>
      <c r="W158" s="2" t="s">
        <v>9</v>
      </c>
      <c r="X158" s="2" t="s">
        <v>9</v>
      </c>
      <c r="Y158" s="2" t="s">
        <v>9</v>
      </c>
      <c r="Z158" s="2" t="s">
        <v>9</v>
      </c>
      <c r="AA158" s="2" t="s">
        <v>9</v>
      </c>
      <c r="AB158" s="2" t="s">
        <v>605</v>
      </c>
      <c r="AC158" s="2" t="s">
        <v>555</v>
      </c>
      <c r="AD158" s="2" t="s">
        <v>333</v>
      </c>
      <c r="AE158" s="2" t="s">
        <v>48</v>
      </c>
      <c r="AF158" s="2" t="s">
        <v>9</v>
      </c>
    </row>
    <row r="159" spans="1:32" x14ac:dyDescent="0.25">
      <c r="A159" s="2" t="s">
        <v>522</v>
      </c>
      <c r="B159" s="2" t="s">
        <v>45</v>
      </c>
      <c r="C159" s="2" t="s">
        <v>55</v>
      </c>
      <c r="D159" s="2" t="s">
        <v>334</v>
      </c>
      <c r="E159" s="2">
        <v>6</v>
      </c>
      <c r="F159" s="2" t="s">
        <v>604</v>
      </c>
      <c r="G159" s="2" t="s">
        <v>9</v>
      </c>
      <c r="H159" s="2" t="s">
        <v>9</v>
      </c>
      <c r="I159" s="2">
        <v>29.230951999999998</v>
      </c>
      <c r="J159" s="2">
        <v>-83.137834999999995</v>
      </c>
      <c r="K159" s="2" t="s">
        <v>33</v>
      </c>
      <c r="L159" s="2" t="s">
        <v>37</v>
      </c>
      <c r="M159" s="3" t="s">
        <v>33</v>
      </c>
      <c r="N159" s="3" t="s">
        <v>37</v>
      </c>
      <c r="O159" s="2" t="s">
        <v>37</v>
      </c>
      <c r="P159" s="3" t="s">
        <v>33</v>
      </c>
      <c r="Q159" s="3" t="s">
        <v>33</v>
      </c>
      <c r="R159" s="2" t="s">
        <v>33</v>
      </c>
      <c r="S159" s="3">
        <v>45077</v>
      </c>
      <c r="T159" s="3">
        <v>73050</v>
      </c>
      <c r="U159" s="2" t="s">
        <v>540</v>
      </c>
      <c r="V159" s="2" t="s">
        <v>9</v>
      </c>
      <c r="W159" s="2" t="s">
        <v>9</v>
      </c>
      <c r="X159" s="2" t="s">
        <v>9</v>
      </c>
      <c r="Y159" s="2" t="s">
        <v>9</v>
      </c>
      <c r="Z159" s="2" t="s">
        <v>9</v>
      </c>
      <c r="AA159" s="2" t="s">
        <v>9</v>
      </c>
      <c r="AB159" s="2" t="s">
        <v>605</v>
      </c>
      <c r="AC159" s="2" t="s">
        <v>555</v>
      </c>
      <c r="AD159" s="2" t="s">
        <v>335</v>
      </c>
      <c r="AE159" s="2" t="s">
        <v>48</v>
      </c>
      <c r="AF159" s="2" t="s">
        <v>9</v>
      </c>
    </row>
    <row r="160" spans="1:32" x14ac:dyDescent="0.25">
      <c r="A160" s="2" t="s">
        <v>523</v>
      </c>
      <c r="B160" s="2" t="s">
        <v>45</v>
      </c>
      <c r="C160" s="2" t="s">
        <v>55</v>
      </c>
      <c r="D160" s="2" t="s">
        <v>336</v>
      </c>
      <c r="E160" s="2">
        <v>1</v>
      </c>
      <c r="F160" s="2" t="s">
        <v>606</v>
      </c>
      <c r="G160" s="2" t="s">
        <v>9</v>
      </c>
      <c r="H160" s="2" t="s">
        <v>9</v>
      </c>
      <c r="I160" s="2">
        <v>29.264115</v>
      </c>
      <c r="J160" s="2">
        <v>-83.110787000000002</v>
      </c>
      <c r="K160" s="2" t="s">
        <v>33</v>
      </c>
      <c r="L160" s="2" t="s">
        <v>37</v>
      </c>
      <c r="M160" s="3" t="s">
        <v>33</v>
      </c>
      <c r="N160" s="3" t="s">
        <v>37</v>
      </c>
      <c r="O160" s="2" t="s">
        <v>37</v>
      </c>
      <c r="P160" s="3" t="s">
        <v>33</v>
      </c>
      <c r="Q160" s="3" t="s">
        <v>33</v>
      </c>
      <c r="R160" s="2" t="s">
        <v>33</v>
      </c>
      <c r="S160" s="3">
        <v>45077</v>
      </c>
      <c r="T160" s="3">
        <v>73050</v>
      </c>
      <c r="U160" s="2" t="s">
        <v>540</v>
      </c>
      <c r="V160" s="2" t="s">
        <v>9</v>
      </c>
      <c r="W160" s="2" t="s">
        <v>9</v>
      </c>
      <c r="X160" s="2" t="s">
        <v>9</v>
      </c>
      <c r="Y160" s="2" t="s">
        <v>9</v>
      </c>
      <c r="Z160" s="2" t="s">
        <v>9</v>
      </c>
      <c r="AA160" s="2" t="s">
        <v>9</v>
      </c>
      <c r="AB160" s="2" t="s">
        <v>557</v>
      </c>
      <c r="AC160" s="2" t="s">
        <v>555</v>
      </c>
      <c r="AD160" s="2" t="s">
        <v>337</v>
      </c>
      <c r="AE160" s="2" t="s">
        <v>48</v>
      </c>
      <c r="AF160" s="2" t="s">
        <v>9</v>
      </c>
    </row>
    <row r="161" spans="1:32" x14ac:dyDescent="0.25">
      <c r="A161" s="2" t="s">
        <v>524</v>
      </c>
      <c r="B161" s="2" t="s">
        <v>45</v>
      </c>
      <c r="C161" s="2" t="s">
        <v>55</v>
      </c>
      <c r="D161" s="2" t="s">
        <v>338</v>
      </c>
      <c r="E161" s="2">
        <v>2</v>
      </c>
      <c r="F161" s="2" t="s">
        <v>606</v>
      </c>
      <c r="G161" s="2" t="s">
        <v>9</v>
      </c>
      <c r="H161" s="2" t="s">
        <v>9</v>
      </c>
      <c r="I161" s="2">
        <v>29.265635</v>
      </c>
      <c r="J161" s="2">
        <v>-83.117403999999993</v>
      </c>
      <c r="K161" s="2" t="s">
        <v>33</v>
      </c>
      <c r="L161" s="2" t="s">
        <v>37</v>
      </c>
      <c r="M161" s="3" t="s">
        <v>33</v>
      </c>
      <c r="N161" s="3" t="s">
        <v>37</v>
      </c>
      <c r="O161" s="2" t="s">
        <v>37</v>
      </c>
      <c r="P161" s="3" t="s">
        <v>33</v>
      </c>
      <c r="Q161" s="3" t="s">
        <v>33</v>
      </c>
      <c r="R161" s="2" t="s">
        <v>33</v>
      </c>
      <c r="S161" s="3">
        <v>45077</v>
      </c>
      <c r="T161" s="3">
        <v>73050</v>
      </c>
      <c r="U161" s="2" t="s">
        <v>540</v>
      </c>
      <c r="V161" s="2" t="s">
        <v>9</v>
      </c>
      <c r="W161" s="2" t="s">
        <v>9</v>
      </c>
      <c r="X161" s="2" t="s">
        <v>9</v>
      </c>
      <c r="Y161" s="2" t="s">
        <v>9</v>
      </c>
      <c r="Z161" s="2" t="s">
        <v>9</v>
      </c>
      <c r="AA161" s="2" t="s">
        <v>9</v>
      </c>
      <c r="AB161" s="2" t="s">
        <v>557</v>
      </c>
      <c r="AC161" s="2" t="s">
        <v>555</v>
      </c>
      <c r="AD161" s="2" t="s">
        <v>339</v>
      </c>
      <c r="AE161" s="2" t="s">
        <v>48</v>
      </c>
      <c r="AF161" s="2" t="s">
        <v>9</v>
      </c>
    </row>
    <row r="162" spans="1:32" x14ac:dyDescent="0.25">
      <c r="A162" s="2" t="s">
        <v>525</v>
      </c>
      <c r="B162" s="2" t="s">
        <v>45</v>
      </c>
      <c r="C162" s="2" t="s">
        <v>55</v>
      </c>
      <c r="D162" s="2" t="s">
        <v>340</v>
      </c>
      <c r="E162" s="2">
        <v>3</v>
      </c>
      <c r="F162" s="2" t="s">
        <v>606</v>
      </c>
      <c r="G162" s="2" t="s">
        <v>9</v>
      </c>
      <c r="H162" s="2" t="s">
        <v>9</v>
      </c>
      <c r="I162" s="2">
        <v>29.262910999999999</v>
      </c>
      <c r="J162" s="2">
        <v>-83.104777999999996</v>
      </c>
      <c r="K162" s="2" t="s">
        <v>33</v>
      </c>
      <c r="L162" s="2" t="s">
        <v>37</v>
      </c>
      <c r="M162" s="3" t="s">
        <v>33</v>
      </c>
      <c r="N162" s="3" t="s">
        <v>37</v>
      </c>
      <c r="O162" s="2" t="s">
        <v>37</v>
      </c>
      <c r="P162" s="3" t="s">
        <v>33</v>
      </c>
      <c r="Q162" s="3" t="s">
        <v>33</v>
      </c>
      <c r="R162" s="2" t="s">
        <v>33</v>
      </c>
      <c r="S162" s="3">
        <v>45077</v>
      </c>
      <c r="T162" s="3">
        <v>73050</v>
      </c>
      <c r="U162" s="2" t="s">
        <v>540</v>
      </c>
      <c r="V162" s="2" t="s">
        <v>9</v>
      </c>
      <c r="W162" s="2" t="s">
        <v>9</v>
      </c>
      <c r="X162" s="2" t="s">
        <v>9</v>
      </c>
      <c r="Y162" s="2" t="s">
        <v>9</v>
      </c>
      <c r="Z162" s="2" t="s">
        <v>9</v>
      </c>
      <c r="AA162" s="2" t="s">
        <v>9</v>
      </c>
      <c r="AB162" s="2" t="s">
        <v>557</v>
      </c>
      <c r="AC162" s="2" t="s">
        <v>555</v>
      </c>
      <c r="AD162" s="2" t="s">
        <v>341</v>
      </c>
      <c r="AE162" s="2" t="s">
        <v>48</v>
      </c>
      <c r="AF162" s="2" t="s">
        <v>9</v>
      </c>
    </row>
    <row r="163" spans="1:32" x14ac:dyDescent="0.25">
      <c r="A163" s="2" t="s">
        <v>526</v>
      </c>
      <c r="B163" s="2" t="s">
        <v>45</v>
      </c>
      <c r="C163" s="2" t="s">
        <v>55</v>
      </c>
      <c r="D163" s="2" t="s">
        <v>342</v>
      </c>
      <c r="E163" s="2">
        <v>4</v>
      </c>
      <c r="F163" s="2" t="s">
        <v>606</v>
      </c>
      <c r="G163" s="2" t="s">
        <v>9</v>
      </c>
      <c r="H163" s="2" t="s">
        <v>9</v>
      </c>
      <c r="I163" s="2">
        <v>29.267520999999999</v>
      </c>
      <c r="J163" s="2">
        <v>-83.107699999999994</v>
      </c>
      <c r="K163" s="2" t="s">
        <v>33</v>
      </c>
      <c r="L163" s="2" t="s">
        <v>37</v>
      </c>
      <c r="M163" s="3" t="s">
        <v>33</v>
      </c>
      <c r="N163" s="3" t="s">
        <v>37</v>
      </c>
      <c r="O163" s="2" t="s">
        <v>37</v>
      </c>
      <c r="P163" s="3" t="s">
        <v>33</v>
      </c>
      <c r="Q163" s="3" t="s">
        <v>33</v>
      </c>
      <c r="R163" s="2" t="s">
        <v>33</v>
      </c>
      <c r="S163" s="3">
        <v>45077</v>
      </c>
      <c r="T163" s="3">
        <v>73050</v>
      </c>
      <c r="U163" s="2" t="s">
        <v>540</v>
      </c>
      <c r="V163" s="2" t="s">
        <v>9</v>
      </c>
      <c r="W163" s="2" t="s">
        <v>9</v>
      </c>
      <c r="X163" s="2" t="s">
        <v>9</v>
      </c>
      <c r="Y163" s="2" t="s">
        <v>9</v>
      </c>
      <c r="Z163" s="2" t="s">
        <v>9</v>
      </c>
      <c r="AA163" s="2" t="s">
        <v>9</v>
      </c>
      <c r="AB163" s="2" t="s">
        <v>557</v>
      </c>
      <c r="AC163" s="2" t="s">
        <v>555</v>
      </c>
      <c r="AD163" s="2" t="s">
        <v>343</v>
      </c>
      <c r="AE163" s="2" t="s">
        <v>48</v>
      </c>
      <c r="AF163" s="2" t="s">
        <v>9</v>
      </c>
    </row>
    <row r="164" spans="1:32" x14ac:dyDescent="0.25">
      <c r="A164" s="2" t="s">
        <v>527</v>
      </c>
      <c r="B164" s="2" t="s">
        <v>45</v>
      </c>
      <c r="C164" s="2" t="s">
        <v>55</v>
      </c>
      <c r="D164" s="2" t="s">
        <v>344</v>
      </c>
      <c r="E164" s="2">
        <v>5</v>
      </c>
      <c r="F164" s="2" t="s">
        <v>606</v>
      </c>
      <c r="G164" s="2" t="s">
        <v>9</v>
      </c>
      <c r="H164" s="2" t="s">
        <v>9</v>
      </c>
      <c r="I164" s="2">
        <v>29.264074000000001</v>
      </c>
      <c r="J164" s="2">
        <v>-83.112545999999995</v>
      </c>
      <c r="K164" s="2" t="s">
        <v>33</v>
      </c>
      <c r="L164" s="2" t="s">
        <v>37</v>
      </c>
      <c r="M164" s="3" t="s">
        <v>33</v>
      </c>
      <c r="N164" s="3" t="s">
        <v>37</v>
      </c>
      <c r="O164" s="2" t="s">
        <v>37</v>
      </c>
      <c r="P164" s="3" t="s">
        <v>33</v>
      </c>
      <c r="Q164" s="3" t="s">
        <v>33</v>
      </c>
      <c r="R164" s="2" t="s">
        <v>33</v>
      </c>
      <c r="S164" s="3">
        <v>45077</v>
      </c>
      <c r="T164" s="3">
        <v>73050</v>
      </c>
      <c r="U164" s="2" t="s">
        <v>540</v>
      </c>
      <c r="V164" s="2" t="s">
        <v>9</v>
      </c>
      <c r="W164" s="2" t="s">
        <v>9</v>
      </c>
      <c r="X164" s="2" t="s">
        <v>9</v>
      </c>
      <c r="Y164" s="2" t="s">
        <v>9</v>
      </c>
      <c r="Z164" s="2" t="s">
        <v>9</v>
      </c>
      <c r="AA164" s="2" t="s">
        <v>9</v>
      </c>
      <c r="AB164" s="2" t="s">
        <v>557</v>
      </c>
      <c r="AC164" s="2" t="s">
        <v>555</v>
      </c>
      <c r="AD164" s="2" t="s">
        <v>345</v>
      </c>
      <c r="AE164" s="2" t="s">
        <v>48</v>
      </c>
      <c r="AF164" s="2" t="s">
        <v>9</v>
      </c>
    </row>
    <row r="165" spans="1:32" x14ac:dyDescent="0.25">
      <c r="A165" s="2" t="s">
        <v>528</v>
      </c>
      <c r="B165" s="2" t="s">
        <v>45</v>
      </c>
      <c r="C165" s="2" t="s">
        <v>55</v>
      </c>
      <c r="D165" s="2" t="s">
        <v>346</v>
      </c>
      <c r="E165" s="2">
        <v>6</v>
      </c>
      <c r="F165" s="2" t="s">
        <v>606</v>
      </c>
      <c r="G165" s="2" t="s">
        <v>9</v>
      </c>
      <c r="H165" s="2" t="s">
        <v>9</v>
      </c>
      <c r="I165" s="2">
        <v>29.269030000000001</v>
      </c>
      <c r="J165" s="2">
        <v>-83.112424000000004</v>
      </c>
      <c r="K165" s="2" t="s">
        <v>33</v>
      </c>
      <c r="L165" s="2" t="s">
        <v>37</v>
      </c>
      <c r="M165" s="3" t="s">
        <v>33</v>
      </c>
      <c r="N165" s="3" t="s">
        <v>37</v>
      </c>
      <c r="O165" s="2" t="s">
        <v>37</v>
      </c>
      <c r="P165" s="3" t="s">
        <v>33</v>
      </c>
      <c r="Q165" s="3" t="s">
        <v>33</v>
      </c>
      <c r="R165" s="2" t="s">
        <v>33</v>
      </c>
      <c r="S165" s="3">
        <v>45077</v>
      </c>
      <c r="T165" s="3">
        <v>73050</v>
      </c>
      <c r="U165" s="2" t="s">
        <v>540</v>
      </c>
      <c r="V165" s="2" t="s">
        <v>9</v>
      </c>
      <c r="W165" s="2" t="s">
        <v>9</v>
      </c>
      <c r="X165" s="2" t="s">
        <v>9</v>
      </c>
      <c r="Y165" s="2" t="s">
        <v>9</v>
      </c>
      <c r="Z165" s="2" t="s">
        <v>9</v>
      </c>
      <c r="AA165" s="2" t="s">
        <v>9</v>
      </c>
      <c r="AB165" s="2" t="s">
        <v>557</v>
      </c>
      <c r="AC165" s="2" t="s">
        <v>555</v>
      </c>
      <c r="AD165" s="2" t="s">
        <v>347</v>
      </c>
      <c r="AE165" s="2" t="s">
        <v>48</v>
      </c>
      <c r="AF165" s="2" t="s">
        <v>9</v>
      </c>
    </row>
    <row r="166" spans="1:32" x14ac:dyDescent="0.25">
      <c r="A166" s="2" t="s">
        <v>529</v>
      </c>
      <c r="B166" s="2" t="s">
        <v>45</v>
      </c>
      <c r="C166" s="2" t="s">
        <v>55</v>
      </c>
      <c r="D166" s="2" t="s">
        <v>348</v>
      </c>
      <c r="E166" s="2">
        <v>1</v>
      </c>
      <c r="F166" s="2" t="s">
        <v>553</v>
      </c>
      <c r="G166" s="2" t="s">
        <v>9</v>
      </c>
      <c r="H166" s="2" t="s">
        <v>9</v>
      </c>
      <c r="I166" s="2">
        <v>29.238714000000002</v>
      </c>
      <c r="J166" s="2">
        <v>-83.071095999999997</v>
      </c>
      <c r="K166" s="2" t="s">
        <v>33</v>
      </c>
      <c r="L166" s="2" t="s">
        <v>37</v>
      </c>
      <c r="M166" s="3" t="s">
        <v>33</v>
      </c>
      <c r="N166" s="3" t="s">
        <v>37</v>
      </c>
      <c r="O166" s="2" t="s">
        <v>37</v>
      </c>
      <c r="P166" s="3" t="s">
        <v>33</v>
      </c>
      <c r="Q166" s="3" t="s">
        <v>33</v>
      </c>
      <c r="R166" s="2" t="s">
        <v>33</v>
      </c>
      <c r="S166" s="3">
        <v>45077</v>
      </c>
      <c r="T166" s="3">
        <v>73050</v>
      </c>
      <c r="U166" s="2" t="s">
        <v>540</v>
      </c>
      <c r="V166" s="2" t="s">
        <v>9</v>
      </c>
      <c r="W166" s="2" t="s">
        <v>9</v>
      </c>
      <c r="X166" s="2" t="s">
        <v>9</v>
      </c>
      <c r="Y166" s="2" t="s">
        <v>9</v>
      </c>
      <c r="Z166" s="2" t="s">
        <v>9</v>
      </c>
      <c r="AA166" s="2" t="s">
        <v>9</v>
      </c>
      <c r="AB166" s="2" t="s">
        <v>554</v>
      </c>
      <c r="AC166" s="2" t="s">
        <v>555</v>
      </c>
      <c r="AD166" s="2" t="s">
        <v>349</v>
      </c>
      <c r="AE166" s="2" t="s">
        <v>48</v>
      </c>
      <c r="AF166" s="2" t="s">
        <v>9</v>
      </c>
    </row>
    <row r="167" spans="1:32" x14ac:dyDescent="0.25">
      <c r="A167" s="2" t="s">
        <v>530</v>
      </c>
      <c r="B167" s="2" t="s">
        <v>45</v>
      </c>
      <c r="C167" s="2" t="s">
        <v>55</v>
      </c>
      <c r="D167" s="2" t="s">
        <v>350</v>
      </c>
      <c r="E167" s="2">
        <v>2</v>
      </c>
      <c r="F167" s="2" t="s">
        <v>553</v>
      </c>
      <c r="G167" s="2" t="s">
        <v>9</v>
      </c>
      <c r="H167" s="2" t="s">
        <v>9</v>
      </c>
      <c r="I167" s="2">
        <v>29.239916000000001</v>
      </c>
      <c r="J167" s="2">
        <v>-83.073884000000007</v>
      </c>
      <c r="K167" s="2" t="s">
        <v>33</v>
      </c>
      <c r="L167" s="2" t="s">
        <v>37</v>
      </c>
      <c r="M167" s="3" t="s">
        <v>33</v>
      </c>
      <c r="N167" s="3" t="s">
        <v>37</v>
      </c>
      <c r="O167" s="2" t="s">
        <v>37</v>
      </c>
      <c r="P167" s="3" t="s">
        <v>33</v>
      </c>
      <c r="Q167" s="3" t="s">
        <v>33</v>
      </c>
      <c r="R167" s="2" t="s">
        <v>33</v>
      </c>
      <c r="S167" s="3">
        <v>45077</v>
      </c>
      <c r="T167" s="3">
        <v>73050</v>
      </c>
      <c r="U167" s="2" t="s">
        <v>540</v>
      </c>
      <c r="V167" s="2" t="s">
        <v>9</v>
      </c>
      <c r="W167" s="2" t="s">
        <v>9</v>
      </c>
      <c r="X167" s="2" t="s">
        <v>9</v>
      </c>
      <c r="Y167" s="2" t="s">
        <v>9</v>
      </c>
      <c r="Z167" s="2" t="s">
        <v>9</v>
      </c>
      <c r="AA167" s="2" t="s">
        <v>9</v>
      </c>
      <c r="AB167" s="2" t="s">
        <v>554</v>
      </c>
      <c r="AC167" s="2" t="s">
        <v>555</v>
      </c>
      <c r="AD167" s="2" t="s">
        <v>351</v>
      </c>
      <c r="AE167" s="2" t="s">
        <v>48</v>
      </c>
      <c r="AF167" s="2" t="s">
        <v>9</v>
      </c>
    </row>
    <row r="168" spans="1:32" x14ac:dyDescent="0.25">
      <c r="A168" s="2" t="s">
        <v>531</v>
      </c>
      <c r="B168" s="2" t="s">
        <v>45</v>
      </c>
      <c r="C168" s="2" t="s">
        <v>55</v>
      </c>
      <c r="D168" s="2" t="s">
        <v>352</v>
      </c>
      <c r="E168" s="2">
        <v>3</v>
      </c>
      <c r="F168" s="2" t="s">
        <v>553</v>
      </c>
      <c r="G168" s="2" t="s">
        <v>9</v>
      </c>
      <c r="H168" s="2" t="s">
        <v>9</v>
      </c>
      <c r="I168" s="2">
        <v>29.238382000000001</v>
      </c>
      <c r="J168" s="2">
        <v>-83.077701000000005</v>
      </c>
      <c r="K168" s="2" t="s">
        <v>33</v>
      </c>
      <c r="L168" s="2" t="s">
        <v>37</v>
      </c>
      <c r="M168" s="3" t="s">
        <v>33</v>
      </c>
      <c r="N168" s="3" t="s">
        <v>37</v>
      </c>
      <c r="O168" s="2" t="s">
        <v>37</v>
      </c>
      <c r="P168" s="3" t="s">
        <v>33</v>
      </c>
      <c r="Q168" s="3" t="s">
        <v>33</v>
      </c>
      <c r="R168" s="2" t="s">
        <v>33</v>
      </c>
      <c r="S168" s="3">
        <v>45077</v>
      </c>
      <c r="T168" s="3">
        <v>73050</v>
      </c>
      <c r="U168" s="2" t="s">
        <v>540</v>
      </c>
      <c r="V168" s="2" t="s">
        <v>9</v>
      </c>
      <c r="W168" s="2" t="s">
        <v>9</v>
      </c>
      <c r="X168" s="2" t="s">
        <v>9</v>
      </c>
      <c r="Y168" s="2" t="s">
        <v>9</v>
      </c>
      <c r="Z168" s="2" t="s">
        <v>9</v>
      </c>
      <c r="AA168" s="2" t="s">
        <v>9</v>
      </c>
      <c r="AB168" s="2" t="s">
        <v>554</v>
      </c>
      <c r="AC168" s="2" t="s">
        <v>555</v>
      </c>
      <c r="AD168" s="2" t="s">
        <v>353</v>
      </c>
      <c r="AE168" s="2" t="s">
        <v>48</v>
      </c>
      <c r="AF168" s="2" t="s">
        <v>9</v>
      </c>
    </row>
    <row r="169" spans="1:32" x14ac:dyDescent="0.25">
      <c r="A169" s="2" t="s">
        <v>532</v>
      </c>
      <c r="B169" s="2" t="s">
        <v>45</v>
      </c>
      <c r="C169" s="2" t="s">
        <v>55</v>
      </c>
      <c r="D169" s="2" t="s">
        <v>354</v>
      </c>
      <c r="E169" s="2">
        <v>4</v>
      </c>
      <c r="F169" s="2" t="s">
        <v>553</v>
      </c>
      <c r="G169" s="2" t="s">
        <v>9</v>
      </c>
      <c r="H169" s="2" t="s">
        <v>9</v>
      </c>
      <c r="I169" s="2">
        <v>29.234109</v>
      </c>
      <c r="J169" s="2">
        <v>-83.071511999999998</v>
      </c>
      <c r="K169" s="2" t="s">
        <v>33</v>
      </c>
      <c r="L169" s="2" t="s">
        <v>37</v>
      </c>
      <c r="M169" s="3" t="s">
        <v>33</v>
      </c>
      <c r="N169" s="3" t="s">
        <v>37</v>
      </c>
      <c r="O169" s="2" t="s">
        <v>37</v>
      </c>
      <c r="P169" s="3" t="s">
        <v>33</v>
      </c>
      <c r="Q169" s="3" t="s">
        <v>33</v>
      </c>
      <c r="R169" s="2" t="s">
        <v>33</v>
      </c>
      <c r="S169" s="3">
        <v>45077</v>
      </c>
      <c r="T169" s="3">
        <v>73050</v>
      </c>
      <c r="U169" s="2" t="s">
        <v>540</v>
      </c>
      <c r="V169" s="2" t="s">
        <v>9</v>
      </c>
      <c r="W169" s="2" t="s">
        <v>9</v>
      </c>
      <c r="X169" s="2" t="s">
        <v>9</v>
      </c>
      <c r="Y169" s="2" t="s">
        <v>9</v>
      </c>
      <c r="Z169" s="2" t="s">
        <v>9</v>
      </c>
      <c r="AA169" s="2" t="s">
        <v>9</v>
      </c>
      <c r="AB169" s="2" t="s">
        <v>554</v>
      </c>
      <c r="AC169" s="2" t="s">
        <v>555</v>
      </c>
      <c r="AD169" s="2" t="s">
        <v>355</v>
      </c>
      <c r="AE169" s="2" t="s">
        <v>48</v>
      </c>
      <c r="AF169" s="2" t="s">
        <v>9</v>
      </c>
    </row>
    <row r="170" spans="1:32" x14ac:dyDescent="0.25">
      <c r="A170" s="2" t="s">
        <v>533</v>
      </c>
      <c r="B170" s="2" t="s">
        <v>45</v>
      </c>
      <c r="C170" s="2" t="s">
        <v>55</v>
      </c>
      <c r="D170" s="2" t="s">
        <v>356</v>
      </c>
      <c r="E170" s="2">
        <v>5</v>
      </c>
      <c r="F170" s="2" t="s">
        <v>553</v>
      </c>
      <c r="G170" s="2" t="s">
        <v>9</v>
      </c>
      <c r="H170" s="2" t="s">
        <v>9</v>
      </c>
      <c r="I170" s="2">
        <v>29.230806999999999</v>
      </c>
      <c r="J170" s="2">
        <v>-83.077128000000002</v>
      </c>
      <c r="K170" s="2" t="s">
        <v>33</v>
      </c>
      <c r="L170" s="2" t="s">
        <v>37</v>
      </c>
      <c r="M170" s="3" t="s">
        <v>33</v>
      </c>
      <c r="N170" s="3" t="s">
        <v>37</v>
      </c>
      <c r="O170" s="2" t="s">
        <v>37</v>
      </c>
      <c r="P170" s="3" t="s">
        <v>33</v>
      </c>
      <c r="Q170" s="3" t="s">
        <v>33</v>
      </c>
      <c r="R170" s="2" t="s">
        <v>33</v>
      </c>
      <c r="S170" s="3">
        <v>45077</v>
      </c>
      <c r="T170" s="3">
        <v>73050</v>
      </c>
      <c r="U170" s="2" t="s">
        <v>540</v>
      </c>
      <c r="V170" s="2" t="s">
        <v>9</v>
      </c>
      <c r="W170" s="2" t="s">
        <v>9</v>
      </c>
      <c r="X170" s="2" t="s">
        <v>9</v>
      </c>
      <c r="Y170" s="2" t="s">
        <v>9</v>
      </c>
      <c r="Z170" s="2" t="s">
        <v>9</v>
      </c>
      <c r="AA170" s="2" t="s">
        <v>9</v>
      </c>
      <c r="AB170" s="2" t="s">
        <v>554</v>
      </c>
      <c r="AC170" s="2" t="s">
        <v>555</v>
      </c>
      <c r="AD170" s="2" t="s">
        <v>357</v>
      </c>
      <c r="AE170" s="2" t="s">
        <v>48</v>
      </c>
      <c r="AF170" s="2" t="s">
        <v>9</v>
      </c>
    </row>
    <row r="171" spans="1:32" x14ac:dyDescent="0.25">
      <c r="A171" s="2" t="s">
        <v>358</v>
      </c>
      <c r="B171" s="2" t="s">
        <v>39</v>
      </c>
      <c r="C171" s="2" t="s">
        <v>40</v>
      </c>
      <c r="D171" s="2" t="s">
        <v>359</v>
      </c>
      <c r="E171" s="2">
        <v>31</v>
      </c>
      <c r="F171" s="2" t="s">
        <v>9</v>
      </c>
      <c r="G171" s="2" t="s">
        <v>9</v>
      </c>
      <c r="H171" s="2" t="s">
        <v>9</v>
      </c>
      <c r="I171" s="2">
        <v>27.795829999999999</v>
      </c>
      <c r="J171" s="2">
        <v>-82.759079999999997</v>
      </c>
      <c r="K171" s="2" t="s">
        <v>33</v>
      </c>
      <c r="L171" s="2" t="s">
        <v>37</v>
      </c>
      <c r="M171" s="3" t="s">
        <v>33</v>
      </c>
      <c r="N171" s="3" t="s">
        <v>37</v>
      </c>
      <c r="O171" s="2" t="s">
        <v>33</v>
      </c>
      <c r="P171" s="3" t="s">
        <v>33</v>
      </c>
      <c r="Q171" s="3" t="s">
        <v>33</v>
      </c>
      <c r="R171" s="2" t="s">
        <v>33</v>
      </c>
      <c r="S171" s="7">
        <v>45230</v>
      </c>
      <c r="T171" s="3">
        <v>45261</v>
      </c>
      <c r="U171" s="2" t="s">
        <v>537</v>
      </c>
      <c r="V171" s="7">
        <v>45268</v>
      </c>
      <c r="W171" s="2" t="s">
        <v>538</v>
      </c>
      <c r="X171" s="2" t="s">
        <v>9</v>
      </c>
      <c r="Y171" s="2" t="s">
        <v>9</v>
      </c>
      <c r="Z171" s="2" t="s">
        <v>9</v>
      </c>
      <c r="AA171" s="2" t="s">
        <v>9</v>
      </c>
      <c r="AB171" s="2" t="s">
        <v>607</v>
      </c>
      <c r="AC171" s="2" t="s">
        <v>9</v>
      </c>
      <c r="AD171" s="2" t="s">
        <v>360</v>
      </c>
      <c r="AE171" s="2" t="s">
        <v>41</v>
      </c>
      <c r="AF171" s="2" t="s">
        <v>9</v>
      </c>
    </row>
    <row r="172" spans="1:32" x14ac:dyDescent="0.25">
      <c r="A172" s="2" t="s">
        <v>361</v>
      </c>
      <c r="B172" s="2" t="s">
        <v>39</v>
      </c>
      <c r="C172" s="2" t="s">
        <v>40</v>
      </c>
      <c r="D172" s="2" t="s">
        <v>362</v>
      </c>
      <c r="E172" s="2">
        <v>32</v>
      </c>
      <c r="F172" s="2" t="s">
        <v>9</v>
      </c>
      <c r="G172" s="2" t="s">
        <v>9</v>
      </c>
      <c r="H172" s="2" t="s">
        <v>9</v>
      </c>
      <c r="I172" s="2">
        <v>27.8003</v>
      </c>
      <c r="J172" s="2">
        <v>-82.762969999999996</v>
      </c>
      <c r="K172" s="2" t="s">
        <v>33</v>
      </c>
      <c r="L172" s="2" t="s">
        <v>37</v>
      </c>
      <c r="M172" s="3" t="s">
        <v>33</v>
      </c>
      <c r="N172" s="3" t="s">
        <v>37</v>
      </c>
      <c r="O172" s="2" t="s">
        <v>33</v>
      </c>
      <c r="P172" s="3" t="s">
        <v>33</v>
      </c>
      <c r="Q172" s="3" t="s">
        <v>33</v>
      </c>
      <c r="R172" s="2" t="s">
        <v>33</v>
      </c>
      <c r="S172" s="7">
        <v>45230</v>
      </c>
      <c r="T172" s="3">
        <v>45261</v>
      </c>
      <c r="U172" s="2" t="s">
        <v>537</v>
      </c>
      <c r="V172" s="7">
        <v>45268</v>
      </c>
      <c r="W172" s="2" t="s">
        <v>538</v>
      </c>
      <c r="X172" s="2" t="s">
        <v>9</v>
      </c>
      <c r="Y172" s="2" t="s">
        <v>9</v>
      </c>
      <c r="Z172" s="2" t="s">
        <v>9</v>
      </c>
      <c r="AA172" s="2" t="s">
        <v>9</v>
      </c>
      <c r="AB172" s="2" t="s">
        <v>608</v>
      </c>
      <c r="AC172" s="2" t="s">
        <v>9</v>
      </c>
      <c r="AD172" s="2" t="s">
        <v>363</v>
      </c>
      <c r="AE172" s="2" t="s">
        <v>41</v>
      </c>
      <c r="AF172" s="2" t="s">
        <v>9</v>
      </c>
    </row>
    <row r="173" spans="1:32" x14ac:dyDescent="0.25">
      <c r="A173" s="2" t="s">
        <v>513</v>
      </c>
      <c r="B173" s="2" t="s">
        <v>31</v>
      </c>
      <c r="C173" s="2" t="s">
        <v>32</v>
      </c>
      <c r="D173" s="2" t="s">
        <v>118</v>
      </c>
      <c r="E173" s="2">
        <v>11</v>
      </c>
      <c r="F173" s="2" t="s">
        <v>9</v>
      </c>
      <c r="G173" s="2" t="s">
        <v>9</v>
      </c>
      <c r="H173" s="2" t="s">
        <v>9</v>
      </c>
      <c r="I173" s="2">
        <v>29.70909</v>
      </c>
      <c r="J173" s="2">
        <v>-84.879900000000006</v>
      </c>
      <c r="K173" s="2" t="s">
        <v>37</v>
      </c>
      <c r="L173" s="2" t="s">
        <v>37</v>
      </c>
      <c r="M173" s="3" t="s">
        <v>33</v>
      </c>
      <c r="N173" s="3" t="s">
        <v>37</v>
      </c>
      <c r="O173" s="2" t="s">
        <v>33</v>
      </c>
      <c r="P173" s="3" t="s">
        <v>33</v>
      </c>
      <c r="Q173" s="3" t="s">
        <v>33</v>
      </c>
      <c r="R173" s="2" t="s">
        <v>33</v>
      </c>
      <c r="S173" s="3">
        <v>45372</v>
      </c>
      <c r="T173" s="3">
        <v>73050</v>
      </c>
      <c r="U173" s="2" t="s">
        <v>540</v>
      </c>
      <c r="V173" s="2" t="s">
        <v>9</v>
      </c>
      <c r="W173" s="2" t="s">
        <v>9</v>
      </c>
      <c r="X173" s="2" t="s">
        <v>9</v>
      </c>
      <c r="Y173" s="2" t="s">
        <v>9</v>
      </c>
      <c r="Z173" s="2" t="s">
        <v>9</v>
      </c>
      <c r="AA173" s="2" t="s">
        <v>9</v>
      </c>
      <c r="AB173" s="2" t="s">
        <v>9</v>
      </c>
      <c r="AC173" s="2" t="s">
        <v>9</v>
      </c>
      <c r="AD173" s="2" t="s">
        <v>119</v>
      </c>
      <c r="AE173" s="2" t="s">
        <v>34</v>
      </c>
      <c r="AF173" s="2" t="s">
        <v>9</v>
      </c>
    </row>
    <row r="174" spans="1:32" x14ac:dyDescent="0.25">
      <c r="A174" s="2" t="s">
        <v>514</v>
      </c>
      <c r="B174" s="2" t="s">
        <v>31</v>
      </c>
      <c r="C174" s="2" t="s">
        <v>32</v>
      </c>
      <c r="D174" s="2" t="s">
        <v>120</v>
      </c>
      <c r="E174" s="2">
        <v>12</v>
      </c>
      <c r="F174" s="2" t="s">
        <v>9</v>
      </c>
      <c r="G174" s="2" t="s">
        <v>9</v>
      </c>
      <c r="H174" s="2" t="s">
        <v>9</v>
      </c>
      <c r="I174" s="2">
        <v>29.682040000000001</v>
      </c>
      <c r="J174" s="2">
        <v>-84.865989999999996</v>
      </c>
      <c r="K174" s="2" t="s">
        <v>37</v>
      </c>
      <c r="L174" s="2" t="s">
        <v>37</v>
      </c>
      <c r="M174" s="3" t="s">
        <v>37</v>
      </c>
      <c r="N174" s="3" t="s">
        <v>37</v>
      </c>
      <c r="O174" s="2" t="s">
        <v>33</v>
      </c>
      <c r="P174" s="3" t="s">
        <v>33</v>
      </c>
      <c r="Q174" s="3" t="s">
        <v>33</v>
      </c>
      <c r="R174" s="2" t="s">
        <v>33</v>
      </c>
      <c r="S174" s="3">
        <v>45372</v>
      </c>
      <c r="T174" s="3">
        <v>73050</v>
      </c>
      <c r="U174" s="2" t="s">
        <v>540</v>
      </c>
      <c r="V174" s="2" t="s">
        <v>9</v>
      </c>
      <c r="W174" s="2" t="s">
        <v>9</v>
      </c>
      <c r="X174" s="2" t="s">
        <v>9</v>
      </c>
      <c r="Y174" s="2" t="s">
        <v>9</v>
      </c>
      <c r="Z174" s="2" t="s">
        <v>9</v>
      </c>
      <c r="AA174" s="2" t="s">
        <v>9</v>
      </c>
      <c r="AB174" s="2" t="s">
        <v>9</v>
      </c>
      <c r="AC174" s="2" t="s">
        <v>9</v>
      </c>
      <c r="AD174" s="2" t="s">
        <v>121</v>
      </c>
      <c r="AE174" s="2" t="s">
        <v>34</v>
      </c>
      <c r="AF174" s="2" t="s">
        <v>9</v>
      </c>
    </row>
    <row r="175" spans="1:32" x14ac:dyDescent="0.25">
      <c r="A175" s="2" t="s">
        <v>515</v>
      </c>
      <c r="B175" s="2" t="s">
        <v>31</v>
      </c>
      <c r="C175" s="2" t="s">
        <v>32</v>
      </c>
      <c r="D175" s="2" t="s">
        <v>122</v>
      </c>
      <c r="E175" s="2">
        <v>13</v>
      </c>
      <c r="F175" s="2" t="s">
        <v>9</v>
      </c>
      <c r="G175" s="2" t="s">
        <v>9</v>
      </c>
      <c r="H175" s="2" t="s">
        <v>9</v>
      </c>
      <c r="I175" s="2">
        <v>29.703189999999999</v>
      </c>
      <c r="J175" s="2">
        <v>-84.831789999999998</v>
      </c>
      <c r="K175" s="2" t="s">
        <v>37</v>
      </c>
      <c r="L175" s="2" t="s">
        <v>37</v>
      </c>
      <c r="M175" s="3" t="s">
        <v>37</v>
      </c>
      <c r="N175" s="3" t="s">
        <v>37</v>
      </c>
      <c r="O175" s="2" t="s">
        <v>33</v>
      </c>
      <c r="P175" s="3" t="s">
        <v>33</v>
      </c>
      <c r="Q175" s="3" t="s">
        <v>33</v>
      </c>
      <c r="R175" s="2" t="s">
        <v>33</v>
      </c>
      <c r="S175" s="3">
        <v>45372</v>
      </c>
      <c r="T175" s="3">
        <v>73050</v>
      </c>
      <c r="U175" s="2" t="s">
        <v>540</v>
      </c>
      <c r="V175" s="2" t="s">
        <v>9</v>
      </c>
      <c r="W175" s="2" t="s">
        <v>9</v>
      </c>
      <c r="X175" s="2" t="s">
        <v>9</v>
      </c>
      <c r="Y175" s="2" t="s">
        <v>9</v>
      </c>
      <c r="Z175" s="2" t="s">
        <v>9</v>
      </c>
      <c r="AA175" s="2" t="s">
        <v>9</v>
      </c>
      <c r="AB175" s="2" t="s">
        <v>9</v>
      </c>
      <c r="AC175" s="2" t="s">
        <v>9</v>
      </c>
      <c r="AD175" s="2" t="s">
        <v>123</v>
      </c>
      <c r="AE175" s="2" t="s">
        <v>34</v>
      </c>
      <c r="AF175" s="2" t="s">
        <v>9</v>
      </c>
    </row>
    <row r="176" spans="1:32" x14ac:dyDescent="0.25">
      <c r="A176" s="2">
        <v>401</v>
      </c>
      <c r="B176" s="2" t="s">
        <v>39</v>
      </c>
      <c r="C176" s="2" t="s">
        <v>88</v>
      </c>
      <c r="D176" s="2" t="s">
        <v>627</v>
      </c>
      <c r="E176" s="2">
        <v>9</v>
      </c>
      <c r="F176" s="2" t="s">
        <v>9</v>
      </c>
      <c r="G176" s="2" t="s">
        <v>9</v>
      </c>
      <c r="H176" s="2" t="s">
        <v>9</v>
      </c>
      <c r="I176" s="2">
        <v>27.495699999999999</v>
      </c>
      <c r="J176" s="2">
        <v>82.523679999999999</v>
      </c>
      <c r="K176" s="2" t="s">
        <v>33</v>
      </c>
      <c r="L176" s="2" t="s">
        <v>33</v>
      </c>
      <c r="M176" s="3" t="s">
        <v>33</v>
      </c>
      <c r="N176" s="3" t="s">
        <v>37</v>
      </c>
      <c r="O176" s="2" t="s">
        <v>33</v>
      </c>
      <c r="P176" s="2" t="s">
        <v>37</v>
      </c>
      <c r="Q176" s="2" t="s">
        <v>33</v>
      </c>
      <c r="R176" s="2" t="s">
        <v>33</v>
      </c>
      <c r="S176" s="3">
        <v>46113</v>
      </c>
      <c r="T176" s="3">
        <v>73050</v>
      </c>
      <c r="U176" s="2" t="s">
        <v>540</v>
      </c>
      <c r="V176" s="7">
        <v>46141</v>
      </c>
      <c r="W176" s="2" t="s">
        <v>628</v>
      </c>
      <c r="X176" s="7">
        <v>46141</v>
      </c>
      <c r="Y176" s="2" t="s">
        <v>628</v>
      </c>
      <c r="Z176" s="2" t="s">
        <v>9</v>
      </c>
      <c r="AA176" s="2" t="s">
        <v>9</v>
      </c>
      <c r="AB176" s="2" t="s">
        <v>629</v>
      </c>
      <c r="AC176" s="2" t="s">
        <v>630</v>
      </c>
      <c r="AD176" s="2" t="s">
        <v>631</v>
      </c>
      <c r="AE176" s="2" t="s">
        <v>41</v>
      </c>
      <c r="AF176" s="2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Template</vt:lpstr>
      <vt:lpstr>FixedLocations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2024-12-17T12:44:21Z</dcterms:created>
  <dcterms:modified xsi:type="dcterms:W3CDTF">2026-07-27T14:10:31Z</dcterms:modified>
</cp:coreProperties>
</file>